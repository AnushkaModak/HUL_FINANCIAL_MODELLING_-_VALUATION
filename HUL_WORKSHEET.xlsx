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1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ushka\Desktop\PROJECTS\HUL\"/>
    </mc:Choice>
  </mc:AlternateContent>
  <xr:revisionPtr revIDLastSave="0" documentId="13_ncr:1_{33C92222-49AE-44BA-A34B-D25956A663F2}" xr6:coauthVersionLast="47" xr6:coauthVersionMax="47" xr10:uidLastSave="{00000000-0000-0000-0000-000000000000}"/>
  <bookViews>
    <workbookView xWindow="-110" yWindow="-110" windowWidth="19420" windowHeight="11500" tabRatio="861" firstSheet="8" activeTab="12" xr2:uid="{19040E5E-2890-4CCA-91ED-3CAB031B9B0B}"/>
  </bookViews>
  <sheets>
    <sheet name="Financials&gt;" sheetId="12" r:id="rId1"/>
    <sheet name="HistoricalFS" sheetId="11" r:id="rId2"/>
    <sheet name="Forecasting" sheetId="14" r:id="rId3"/>
    <sheet name="Ratio Analysis" sheetId="13" r:id="rId4"/>
    <sheet name="Common Size Income Statement" sheetId="18" r:id="rId5"/>
    <sheet name="DCF&gt;" sheetId="1" r:id="rId6"/>
    <sheet name="WACC" sheetId="2" r:id="rId7"/>
    <sheet name="Beta Regression" sheetId="4" r:id="rId8"/>
    <sheet name="Beta Comps" sheetId="5" r:id="rId9"/>
    <sheet name="Rm" sheetId="6" r:id="rId10"/>
    <sheet name="Intrinsic Growth" sheetId="10" r:id="rId11"/>
    <sheet name="DCF" sheetId="19" r:id="rId12"/>
    <sheet name="Relative Valuation" sheetId="21" r:id="rId13"/>
    <sheet name="Football Field" sheetId="23" r:id="rId14"/>
    <sheet name="Historical Approach" sheetId="24" r:id="rId15"/>
    <sheet name="Monte Carlo" sheetId="26" r:id="rId16"/>
    <sheet name="Dupont Analysis" sheetId="27" r:id="rId17"/>
    <sheet name="Altman Z Score" sheetId="28" r:id="rId18"/>
    <sheet name="Data Room&gt;" sheetId="8" r:id="rId19"/>
    <sheet name="Data Sheet" sheetId="17" r:id="rId20"/>
    <sheet name="Cash Flow Data " sheetId="16" r:id="rId21"/>
    <sheet name="Data" sheetId="22" r:id="rId22"/>
    <sheet name="Raw FS" sheetId="7" r:id="rId23"/>
  </sheets>
  <definedNames>
    <definedName name="_xlnm._FilterDatabase" localSheetId="7" hidden="1">'Beta Regression'!$B$11:$D$117</definedName>
    <definedName name="_xlnm._FilterDatabase" localSheetId="14" hidden="1">'Historical Approach'!$B$8:$E$8</definedName>
    <definedName name="_xlnm._FilterDatabase" localSheetId="15" hidden="1">'Monte Carlo'!$B$7:$E$7</definedName>
    <definedName name="_xlchart.v1.0" hidden="1">'Monte Carlo'!$H$8:$H$10007</definedName>
    <definedName name="Levered_Raw_Beta">'Beta Regression'!$J$11</definedName>
    <definedName name="Market_Beta">'Beta Regression'!$J$14</definedName>
    <definedName name="Market_Beta_Weight">'Beta Regression'!$J$15</definedName>
    <definedName name="_xlnm.Print_Area" localSheetId="16">'Dupont Analysis'!$A$1:$J$114</definedName>
    <definedName name="_xlnm.Print_Area" localSheetId="1">HistoricalFS!$A$1:$M$116</definedName>
    <definedName name="_xlnm.Print_Area" localSheetId="15">'Monte Carlo'!$A$1:$M$10007</definedName>
    <definedName name="_xlnm.Print_Area" localSheetId="6">WACC!$A$1:$L$49</definedName>
    <definedName name="Raw_Beta_Weight">'Beta Regression'!$J$12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9" i="19" l="1"/>
  <c r="K57" i="10"/>
  <c r="L23" i="11"/>
  <c r="L38" i="11"/>
  <c r="M38" i="11"/>
  <c r="L114" i="11"/>
  <c r="K114" i="11"/>
  <c r="J114" i="11"/>
  <c r="I114" i="11"/>
  <c r="H114" i="11"/>
  <c r="G114" i="11"/>
  <c r="F114" i="11"/>
  <c r="E114" i="11"/>
  <c r="D114" i="11"/>
  <c r="C114" i="11"/>
  <c r="L112" i="11"/>
  <c r="K112" i="11"/>
  <c r="J112" i="11"/>
  <c r="I112" i="11"/>
  <c r="H112" i="11"/>
  <c r="G112" i="11"/>
  <c r="F112" i="11"/>
  <c r="E112" i="11"/>
  <c r="D112" i="11"/>
  <c r="C112" i="11"/>
  <c r="C90" i="11"/>
  <c r="L89" i="11"/>
  <c r="K89" i="11"/>
  <c r="J89" i="11"/>
  <c r="I89" i="11"/>
  <c r="H89" i="11"/>
  <c r="G89" i="11"/>
  <c r="F89" i="11"/>
  <c r="E89" i="11"/>
  <c r="D89" i="11"/>
  <c r="C89" i="11"/>
  <c r="L88" i="11"/>
  <c r="K88" i="11"/>
  <c r="J88" i="11"/>
  <c r="I88" i="11"/>
  <c r="H88" i="11"/>
  <c r="G88" i="11"/>
  <c r="F88" i="11"/>
  <c r="E88" i="11"/>
  <c r="D88" i="11"/>
  <c r="C88" i="11"/>
  <c r="L111" i="11"/>
  <c r="K111" i="11"/>
  <c r="J111" i="11"/>
  <c r="I111" i="11"/>
  <c r="H111" i="11"/>
  <c r="G111" i="11"/>
  <c r="F111" i="11"/>
  <c r="E111" i="11"/>
  <c r="D111" i="11"/>
  <c r="C111" i="11"/>
  <c r="L110" i="11"/>
  <c r="K110" i="11"/>
  <c r="J110" i="11"/>
  <c r="I110" i="11"/>
  <c r="H110" i="11"/>
  <c r="G110" i="11"/>
  <c r="F110" i="11"/>
  <c r="E110" i="11"/>
  <c r="D110" i="11"/>
  <c r="C110" i="11"/>
  <c r="L109" i="11"/>
  <c r="K109" i="11"/>
  <c r="J109" i="11"/>
  <c r="I109" i="11"/>
  <c r="H109" i="11"/>
  <c r="G109" i="11"/>
  <c r="F109" i="11"/>
  <c r="E109" i="11"/>
  <c r="D109" i="11"/>
  <c r="C109" i="11"/>
  <c r="L108" i="11"/>
  <c r="K108" i="11"/>
  <c r="J108" i="11"/>
  <c r="I108" i="11"/>
  <c r="H108" i="11"/>
  <c r="G108" i="11"/>
  <c r="F108" i="11"/>
  <c r="E108" i="11"/>
  <c r="D108" i="11"/>
  <c r="C108" i="11"/>
  <c r="L107" i="11"/>
  <c r="K107" i="11"/>
  <c r="J107" i="11"/>
  <c r="I107" i="11"/>
  <c r="H107" i="11"/>
  <c r="G107" i="11"/>
  <c r="F107" i="11"/>
  <c r="E107" i="11"/>
  <c r="D107" i="11"/>
  <c r="C107" i="11"/>
  <c r="L106" i="11"/>
  <c r="K106" i="11"/>
  <c r="J106" i="11"/>
  <c r="I106" i="11"/>
  <c r="H106" i="11"/>
  <c r="G106" i="11"/>
  <c r="F106" i="11"/>
  <c r="E106" i="11"/>
  <c r="D106" i="11"/>
  <c r="C106" i="11"/>
  <c r="L105" i="11"/>
  <c r="K105" i="11"/>
  <c r="J105" i="11"/>
  <c r="I105" i="11"/>
  <c r="H105" i="11"/>
  <c r="G105" i="11"/>
  <c r="F105" i="11"/>
  <c r="E105" i="11"/>
  <c r="D105" i="11"/>
  <c r="C105" i="11"/>
  <c r="L101" i="11"/>
  <c r="K101" i="11"/>
  <c r="J101" i="11"/>
  <c r="I101" i="11"/>
  <c r="H101" i="11"/>
  <c r="G101" i="11"/>
  <c r="F101" i="11"/>
  <c r="E101" i="11"/>
  <c r="D101" i="11"/>
  <c r="C101" i="11"/>
  <c r="L100" i="11"/>
  <c r="K100" i="11"/>
  <c r="J100" i="11"/>
  <c r="I100" i="11"/>
  <c r="H100" i="11"/>
  <c r="G100" i="11"/>
  <c r="F100" i="11"/>
  <c r="E100" i="11"/>
  <c r="D100" i="11"/>
  <c r="C100" i="11"/>
  <c r="L99" i="11"/>
  <c r="K99" i="11"/>
  <c r="J99" i="11"/>
  <c r="I99" i="11"/>
  <c r="H99" i="11"/>
  <c r="G99" i="11"/>
  <c r="F99" i="11"/>
  <c r="E99" i="11"/>
  <c r="D99" i="11"/>
  <c r="C99" i="11"/>
  <c r="L98" i="11"/>
  <c r="K98" i="11"/>
  <c r="J98" i="11"/>
  <c r="I98" i="11"/>
  <c r="H98" i="11"/>
  <c r="G98" i="11"/>
  <c r="F98" i="11"/>
  <c r="E98" i="11"/>
  <c r="D98" i="11"/>
  <c r="C98" i="11"/>
  <c r="L97" i="11"/>
  <c r="K97" i="11"/>
  <c r="J97" i="11"/>
  <c r="I97" i="11"/>
  <c r="H97" i="11"/>
  <c r="G97" i="11"/>
  <c r="F97" i="11"/>
  <c r="E97" i="11"/>
  <c r="D97" i="11"/>
  <c r="C97" i="11"/>
  <c r="L96" i="11"/>
  <c r="K96" i="11"/>
  <c r="J96" i="11"/>
  <c r="I96" i="11"/>
  <c r="H96" i="11"/>
  <c r="G96" i="11"/>
  <c r="F96" i="11"/>
  <c r="E96" i="11"/>
  <c r="D96" i="11"/>
  <c r="C96" i="11"/>
  <c r="L95" i="11"/>
  <c r="K95" i="11"/>
  <c r="J95" i="11"/>
  <c r="I95" i="11"/>
  <c r="H95" i="11"/>
  <c r="G95" i="11"/>
  <c r="F95" i="11"/>
  <c r="E95" i="11"/>
  <c r="D95" i="11"/>
  <c r="C95" i="11"/>
  <c r="L94" i="11"/>
  <c r="K94" i="11"/>
  <c r="J94" i="11"/>
  <c r="I94" i="11"/>
  <c r="H94" i="11"/>
  <c r="G94" i="11"/>
  <c r="F94" i="11"/>
  <c r="E94" i="11"/>
  <c r="D94" i="11"/>
  <c r="C94" i="11"/>
  <c r="L93" i="11"/>
  <c r="L102" i="11" s="1"/>
  <c r="K93" i="11"/>
  <c r="K102" i="11" s="1"/>
  <c r="J93" i="11"/>
  <c r="J102" i="11" s="1"/>
  <c r="I93" i="11"/>
  <c r="I102" i="11" s="1"/>
  <c r="H93" i="11"/>
  <c r="H102" i="11" s="1"/>
  <c r="G93" i="11"/>
  <c r="G102" i="11" s="1"/>
  <c r="F93" i="11"/>
  <c r="F102" i="11" s="1"/>
  <c r="E93" i="11"/>
  <c r="E102" i="11" s="1"/>
  <c r="D93" i="11"/>
  <c r="D102" i="11" s="1"/>
  <c r="C93" i="11"/>
  <c r="C102" i="11"/>
  <c r="L87" i="11"/>
  <c r="K87" i="11"/>
  <c r="J87" i="11"/>
  <c r="I87" i="11"/>
  <c r="H87" i="11"/>
  <c r="G87" i="11"/>
  <c r="F87" i="11"/>
  <c r="E87" i="11"/>
  <c r="D87" i="11"/>
  <c r="C87" i="11"/>
  <c r="L86" i="11"/>
  <c r="K86" i="11"/>
  <c r="J86" i="11"/>
  <c r="I86" i="11"/>
  <c r="H86" i="11"/>
  <c r="G86" i="11"/>
  <c r="F86" i="11"/>
  <c r="E86" i="11"/>
  <c r="D86" i="11"/>
  <c r="C86" i="11"/>
  <c r="L85" i="11"/>
  <c r="K85" i="11"/>
  <c r="J85" i="11"/>
  <c r="I85" i="11"/>
  <c r="H85" i="11"/>
  <c r="G85" i="11"/>
  <c r="F85" i="11"/>
  <c r="E85" i="11"/>
  <c r="D85" i="11"/>
  <c r="C85" i="11"/>
  <c r="L84" i="11"/>
  <c r="K84" i="11"/>
  <c r="J84" i="11"/>
  <c r="I84" i="11"/>
  <c r="H84" i="11"/>
  <c r="G84" i="11"/>
  <c r="F84" i="11"/>
  <c r="E84" i="11"/>
  <c r="D84" i="11"/>
  <c r="C84" i="11"/>
  <c r="L83" i="11"/>
  <c r="K83" i="11"/>
  <c r="J83" i="11"/>
  <c r="I83" i="11"/>
  <c r="H83" i="11"/>
  <c r="G83" i="11"/>
  <c r="F83" i="11"/>
  <c r="E83" i="11"/>
  <c r="D83" i="11"/>
  <c r="C83" i="11"/>
  <c r="L82" i="11"/>
  <c r="K82" i="11"/>
  <c r="J82" i="11"/>
  <c r="I82" i="11"/>
  <c r="H82" i="11"/>
  <c r="G82" i="11"/>
  <c r="F82" i="11"/>
  <c r="E82" i="11"/>
  <c r="D82" i="11"/>
  <c r="C82" i="11"/>
  <c r="L81" i="11"/>
  <c r="K81" i="11"/>
  <c r="J81" i="11"/>
  <c r="I81" i="11"/>
  <c r="H81" i="11"/>
  <c r="G81" i="11"/>
  <c r="F81" i="11"/>
  <c r="E81" i="11"/>
  <c r="D81" i="11"/>
  <c r="C81" i="11"/>
  <c r="L80" i="11"/>
  <c r="K80" i="11"/>
  <c r="J80" i="11"/>
  <c r="I80" i="11"/>
  <c r="H80" i="11"/>
  <c r="G80" i="11"/>
  <c r="F80" i="11"/>
  <c r="E80" i="11"/>
  <c r="D80" i="11"/>
  <c r="C80" i="11"/>
  <c r="L79" i="11"/>
  <c r="L90" i="11" s="1"/>
  <c r="K79" i="11"/>
  <c r="K90" i="11" s="1"/>
  <c r="J79" i="11"/>
  <c r="J90" i="11" s="1"/>
  <c r="I79" i="11"/>
  <c r="I90" i="11" s="1"/>
  <c r="H79" i="11"/>
  <c r="H90" i="11" s="1"/>
  <c r="G79" i="11"/>
  <c r="G90" i="11" s="1"/>
  <c r="F79" i="11"/>
  <c r="F90" i="11" s="1"/>
  <c r="E79" i="11"/>
  <c r="E90" i="11" s="1"/>
  <c r="D79" i="11"/>
  <c r="D90" i="11" s="1"/>
  <c r="C79" i="11"/>
  <c r="I52" i="28"/>
  <c r="H52" i="28"/>
  <c r="G52" i="28"/>
  <c r="F52" i="28"/>
  <c r="E52" i="28"/>
  <c r="D52" i="28"/>
  <c r="C52" i="28"/>
  <c r="I46" i="28"/>
  <c r="H46" i="28"/>
  <c r="G46" i="28"/>
  <c r="F46" i="28"/>
  <c r="E46" i="28"/>
  <c r="D46" i="28"/>
  <c r="C46" i="28"/>
  <c r="I34" i="28"/>
  <c r="H34" i="28"/>
  <c r="G34" i="28"/>
  <c r="F34" i="28"/>
  <c r="E34" i="28"/>
  <c r="D34" i="28"/>
  <c r="C34" i="28"/>
  <c r="I28" i="28"/>
  <c r="I35" i="28" s="1"/>
  <c r="H28" i="28"/>
  <c r="H35" i="28" s="1"/>
  <c r="G28" i="28"/>
  <c r="G35" i="28" s="1"/>
  <c r="F28" i="28"/>
  <c r="F35" i="28" s="1"/>
  <c r="E28" i="28"/>
  <c r="E35" i="28" s="1"/>
  <c r="D28" i="28"/>
  <c r="D35" i="28" s="1"/>
  <c r="C28" i="28"/>
  <c r="C35" i="28" s="1"/>
  <c r="I27" i="28"/>
  <c r="I29" i="28" s="1"/>
  <c r="H27" i="28"/>
  <c r="H29" i="28" s="1"/>
  <c r="G27" i="28"/>
  <c r="G29" i="28" s="1"/>
  <c r="F27" i="28"/>
  <c r="F29" i="28" s="1"/>
  <c r="E27" i="28"/>
  <c r="E29" i="28" s="1"/>
  <c r="D27" i="28"/>
  <c r="D29" i="28" s="1"/>
  <c r="C27" i="28"/>
  <c r="C29" i="28" s="1"/>
  <c r="K37" i="17"/>
  <c r="J37" i="17"/>
  <c r="I37" i="17"/>
  <c r="H37" i="17"/>
  <c r="G37" i="17"/>
  <c r="F37" i="17"/>
  <c r="E37" i="17"/>
  <c r="D37" i="17"/>
  <c r="C37" i="17"/>
  <c r="B37" i="17"/>
  <c r="C41" i="11"/>
  <c r="D36" i="18"/>
  <c r="H71" i="27"/>
  <c r="G71" i="27"/>
  <c r="F71" i="27"/>
  <c r="E71" i="27"/>
  <c r="D71" i="27"/>
  <c r="C71" i="27"/>
  <c r="I71" i="27"/>
  <c r="H67" i="27"/>
  <c r="G67" i="27"/>
  <c r="F67" i="27"/>
  <c r="E67" i="27"/>
  <c r="D67" i="27"/>
  <c r="C67" i="27"/>
  <c r="I67" i="27"/>
  <c r="B66" i="27"/>
  <c r="C60" i="27"/>
  <c r="C75" i="27" s="1"/>
  <c r="H60" i="27"/>
  <c r="H75" i="27" s="1"/>
  <c r="G60" i="27"/>
  <c r="G75" i="27" s="1"/>
  <c r="F60" i="27"/>
  <c r="F75" i="27" s="1"/>
  <c r="E60" i="27"/>
  <c r="E75" i="27" s="1"/>
  <c r="D60" i="27"/>
  <c r="D75" i="27" s="1"/>
  <c r="I60" i="27"/>
  <c r="I75" i="27" s="1"/>
  <c r="H59" i="27"/>
  <c r="G59" i="27"/>
  <c r="F59" i="27"/>
  <c r="E59" i="27"/>
  <c r="D59" i="27"/>
  <c r="C59" i="27"/>
  <c r="I59" i="27"/>
  <c r="M11" i="26"/>
  <c r="M10" i="26"/>
  <c r="H8" i="26"/>
  <c r="H10007" i="26"/>
  <c r="H10006" i="26"/>
  <c r="H10005" i="26"/>
  <c r="H10004" i="26"/>
  <c r="H10003" i="26"/>
  <c r="H10002" i="26"/>
  <c r="H10001" i="26"/>
  <c r="H10000" i="26"/>
  <c r="H9999" i="26"/>
  <c r="H9998" i="26"/>
  <c r="H9997" i="26"/>
  <c r="H9996" i="26"/>
  <c r="H9995" i="26"/>
  <c r="H9994" i="26"/>
  <c r="H9993" i="26"/>
  <c r="H9992" i="26"/>
  <c r="H9991" i="26"/>
  <c r="H9990" i="26"/>
  <c r="H9989" i="26"/>
  <c r="H9988" i="26"/>
  <c r="H9987" i="26"/>
  <c r="H9986" i="26"/>
  <c r="H9985" i="26"/>
  <c r="H9984" i="26"/>
  <c r="H9983" i="26"/>
  <c r="H9982" i="26"/>
  <c r="H9981" i="26"/>
  <c r="H9980" i="26"/>
  <c r="H9979" i="26"/>
  <c r="H9978" i="26"/>
  <c r="H9977" i="26"/>
  <c r="H9976" i="26"/>
  <c r="H9975" i="26"/>
  <c r="H9974" i="26"/>
  <c r="H9973" i="26"/>
  <c r="H9972" i="26"/>
  <c r="H9971" i="26"/>
  <c r="H9970" i="26"/>
  <c r="H9969" i="26"/>
  <c r="H9968" i="26"/>
  <c r="H9967" i="26"/>
  <c r="H9966" i="26"/>
  <c r="H9965" i="26"/>
  <c r="H9964" i="26"/>
  <c r="H9963" i="26"/>
  <c r="H9962" i="26"/>
  <c r="H9961" i="26"/>
  <c r="H9960" i="26"/>
  <c r="H9959" i="26"/>
  <c r="H9958" i="26"/>
  <c r="H9957" i="26"/>
  <c r="H9956" i="26"/>
  <c r="H9955" i="26"/>
  <c r="H9954" i="26"/>
  <c r="H9953" i="26"/>
  <c r="H9952" i="26"/>
  <c r="H9951" i="26"/>
  <c r="H9950" i="26"/>
  <c r="H9949" i="26"/>
  <c r="H9948" i="26"/>
  <c r="H9947" i="26"/>
  <c r="H9946" i="26"/>
  <c r="H9945" i="26"/>
  <c r="H9944" i="26"/>
  <c r="H9943" i="26"/>
  <c r="H9942" i="26"/>
  <c r="H9941" i="26"/>
  <c r="H9940" i="26"/>
  <c r="H9939" i="26"/>
  <c r="H9938" i="26"/>
  <c r="H9937" i="26"/>
  <c r="H9936" i="26"/>
  <c r="H9935" i="26"/>
  <c r="H9934" i="26"/>
  <c r="H9933" i="26"/>
  <c r="H9932" i="26"/>
  <c r="H9931" i="26"/>
  <c r="H9930" i="26"/>
  <c r="H9929" i="26"/>
  <c r="H9928" i="26"/>
  <c r="H9927" i="26"/>
  <c r="H9926" i="26"/>
  <c r="H9925" i="26"/>
  <c r="H9924" i="26"/>
  <c r="H9923" i="26"/>
  <c r="H9922" i="26"/>
  <c r="H9921" i="26"/>
  <c r="H9920" i="26"/>
  <c r="H9919" i="26"/>
  <c r="H9918" i="26"/>
  <c r="H9917" i="26"/>
  <c r="H9916" i="26"/>
  <c r="H9915" i="26"/>
  <c r="H9914" i="26"/>
  <c r="H9913" i="26"/>
  <c r="H9912" i="26"/>
  <c r="H9911" i="26"/>
  <c r="H9910" i="26"/>
  <c r="H9909" i="26"/>
  <c r="H9908" i="26"/>
  <c r="H9907" i="26"/>
  <c r="H9906" i="26"/>
  <c r="H9905" i="26"/>
  <c r="H9904" i="26"/>
  <c r="H9903" i="26"/>
  <c r="H9902" i="26"/>
  <c r="H9901" i="26"/>
  <c r="H9900" i="26"/>
  <c r="H9899" i="26"/>
  <c r="H9898" i="26"/>
  <c r="H9897" i="26"/>
  <c r="H9896" i="26"/>
  <c r="H9895" i="26"/>
  <c r="H9894" i="26"/>
  <c r="H9893" i="26"/>
  <c r="H9892" i="26"/>
  <c r="H9891" i="26"/>
  <c r="H9890" i="26"/>
  <c r="H9889" i="26"/>
  <c r="H9888" i="26"/>
  <c r="H9887" i="26"/>
  <c r="H9886" i="26"/>
  <c r="H9885" i="26"/>
  <c r="H9884" i="26"/>
  <c r="H9883" i="26"/>
  <c r="H9882" i="26"/>
  <c r="H9881" i="26"/>
  <c r="H9880" i="26"/>
  <c r="H9879" i="26"/>
  <c r="H9878" i="26"/>
  <c r="H9877" i="26"/>
  <c r="H9876" i="26"/>
  <c r="H9875" i="26"/>
  <c r="H9874" i="26"/>
  <c r="H9873" i="26"/>
  <c r="H9872" i="26"/>
  <c r="H9871" i="26"/>
  <c r="H9870" i="26"/>
  <c r="H9869" i="26"/>
  <c r="H9868" i="26"/>
  <c r="H9867" i="26"/>
  <c r="H9866" i="26"/>
  <c r="H9865" i="26"/>
  <c r="H9864" i="26"/>
  <c r="H9863" i="26"/>
  <c r="H9862" i="26"/>
  <c r="H9861" i="26"/>
  <c r="H9860" i="26"/>
  <c r="H9859" i="26"/>
  <c r="H9858" i="26"/>
  <c r="H9857" i="26"/>
  <c r="H9856" i="26"/>
  <c r="H9855" i="26"/>
  <c r="H9854" i="26"/>
  <c r="H9853" i="26"/>
  <c r="H9852" i="26"/>
  <c r="H9851" i="26"/>
  <c r="H9850" i="26"/>
  <c r="H9849" i="26"/>
  <c r="H9848" i="26"/>
  <c r="H9847" i="26"/>
  <c r="H9846" i="26"/>
  <c r="H9845" i="26"/>
  <c r="H9844" i="26"/>
  <c r="H9843" i="26"/>
  <c r="H9842" i="26"/>
  <c r="H9841" i="26"/>
  <c r="H9840" i="26"/>
  <c r="H9839" i="26"/>
  <c r="H9838" i="26"/>
  <c r="H9837" i="26"/>
  <c r="H9836" i="26"/>
  <c r="H9835" i="26"/>
  <c r="H9834" i="26"/>
  <c r="H9833" i="26"/>
  <c r="H9832" i="26"/>
  <c r="H9831" i="26"/>
  <c r="H9830" i="26"/>
  <c r="H9829" i="26"/>
  <c r="H9828" i="26"/>
  <c r="H9827" i="26"/>
  <c r="H9826" i="26"/>
  <c r="H9825" i="26"/>
  <c r="H9824" i="26"/>
  <c r="H9823" i="26"/>
  <c r="H9822" i="26"/>
  <c r="H9821" i="26"/>
  <c r="H9820" i="26"/>
  <c r="H9819" i="26"/>
  <c r="H9818" i="26"/>
  <c r="H9817" i="26"/>
  <c r="H9816" i="26"/>
  <c r="H9815" i="26"/>
  <c r="H9814" i="26"/>
  <c r="H9813" i="26"/>
  <c r="H9812" i="26"/>
  <c r="H9811" i="26"/>
  <c r="H9810" i="26"/>
  <c r="H9809" i="26"/>
  <c r="H9808" i="26"/>
  <c r="H9807" i="26"/>
  <c r="H9806" i="26"/>
  <c r="H9805" i="26"/>
  <c r="H9804" i="26"/>
  <c r="H9803" i="26"/>
  <c r="H9802" i="26"/>
  <c r="H9801" i="26"/>
  <c r="H9800" i="26"/>
  <c r="H9799" i="26"/>
  <c r="H9798" i="26"/>
  <c r="H9797" i="26"/>
  <c r="H9796" i="26"/>
  <c r="H9795" i="26"/>
  <c r="H9794" i="26"/>
  <c r="H9793" i="26"/>
  <c r="H9792" i="26"/>
  <c r="H9791" i="26"/>
  <c r="H9790" i="26"/>
  <c r="H9789" i="26"/>
  <c r="H9788" i="26"/>
  <c r="H9787" i="26"/>
  <c r="H9786" i="26"/>
  <c r="H9785" i="26"/>
  <c r="H9784" i="26"/>
  <c r="H9783" i="26"/>
  <c r="H9782" i="26"/>
  <c r="H9781" i="26"/>
  <c r="H9780" i="26"/>
  <c r="H9779" i="26"/>
  <c r="H9778" i="26"/>
  <c r="H9777" i="26"/>
  <c r="H9776" i="26"/>
  <c r="H9775" i="26"/>
  <c r="H9774" i="26"/>
  <c r="H9773" i="26"/>
  <c r="H9772" i="26"/>
  <c r="H9771" i="26"/>
  <c r="H9770" i="26"/>
  <c r="H9769" i="26"/>
  <c r="H9768" i="26"/>
  <c r="H9767" i="26"/>
  <c r="H9766" i="26"/>
  <c r="H9765" i="26"/>
  <c r="H9764" i="26"/>
  <c r="H9763" i="26"/>
  <c r="H9762" i="26"/>
  <c r="H9761" i="26"/>
  <c r="H9760" i="26"/>
  <c r="H9759" i="26"/>
  <c r="H9758" i="26"/>
  <c r="H9757" i="26"/>
  <c r="H9756" i="26"/>
  <c r="H9755" i="26"/>
  <c r="H9754" i="26"/>
  <c r="H9753" i="26"/>
  <c r="H9752" i="26"/>
  <c r="H9751" i="26"/>
  <c r="H9750" i="26"/>
  <c r="H9749" i="26"/>
  <c r="H9748" i="26"/>
  <c r="H9747" i="26"/>
  <c r="H9746" i="26"/>
  <c r="H9745" i="26"/>
  <c r="H9744" i="26"/>
  <c r="H9743" i="26"/>
  <c r="H9742" i="26"/>
  <c r="H9741" i="26"/>
  <c r="H9740" i="26"/>
  <c r="H9739" i="26"/>
  <c r="H9738" i="26"/>
  <c r="H9737" i="26"/>
  <c r="H9736" i="26"/>
  <c r="H9735" i="26"/>
  <c r="H9734" i="26"/>
  <c r="H9733" i="26"/>
  <c r="H9732" i="26"/>
  <c r="H9731" i="26"/>
  <c r="H9730" i="26"/>
  <c r="H9729" i="26"/>
  <c r="H9728" i="26"/>
  <c r="H9727" i="26"/>
  <c r="H9726" i="26"/>
  <c r="H9725" i="26"/>
  <c r="H9724" i="26"/>
  <c r="H9723" i="26"/>
  <c r="H9722" i="26"/>
  <c r="H9721" i="26"/>
  <c r="H9720" i="26"/>
  <c r="H9719" i="26"/>
  <c r="H9718" i="26"/>
  <c r="H9717" i="26"/>
  <c r="H9716" i="26"/>
  <c r="H9715" i="26"/>
  <c r="H9714" i="26"/>
  <c r="H9713" i="26"/>
  <c r="H9712" i="26"/>
  <c r="H9711" i="26"/>
  <c r="H9710" i="26"/>
  <c r="H9709" i="26"/>
  <c r="H9708" i="26"/>
  <c r="H9707" i="26"/>
  <c r="H9706" i="26"/>
  <c r="H9705" i="26"/>
  <c r="H9704" i="26"/>
  <c r="H9703" i="26"/>
  <c r="H9702" i="26"/>
  <c r="H9701" i="26"/>
  <c r="H9700" i="26"/>
  <c r="H9699" i="26"/>
  <c r="H9698" i="26"/>
  <c r="H9697" i="26"/>
  <c r="H9696" i="26"/>
  <c r="H9695" i="26"/>
  <c r="H9694" i="26"/>
  <c r="H9693" i="26"/>
  <c r="H9692" i="26"/>
  <c r="H9691" i="26"/>
  <c r="H9690" i="26"/>
  <c r="H9689" i="26"/>
  <c r="H9688" i="26"/>
  <c r="H9687" i="26"/>
  <c r="H9686" i="26"/>
  <c r="H9685" i="26"/>
  <c r="H9684" i="26"/>
  <c r="H9683" i="26"/>
  <c r="H9682" i="26"/>
  <c r="H9681" i="26"/>
  <c r="H9680" i="26"/>
  <c r="H9679" i="26"/>
  <c r="H9678" i="26"/>
  <c r="H9677" i="26"/>
  <c r="H9676" i="26"/>
  <c r="H9675" i="26"/>
  <c r="H9674" i="26"/>
  <c r="H9673" i="26"/>
  <c r="H9672" i="26"/>
  <c r="H9671" i="26"/>
  <c r="H9670" i="26"/>
  <c r="H9669" i="26"/>
  <c r="H9668" i="26"/>
  <c r="H9667" i="26"/>
  <c r="H9666" i="26"/>
  <c r="H9665" i="26"/>
  <c r="H9664" i="26"/>
  <c r="H9663" i="26"/>
  <c r="H9662" i="26"/>
  <c r="H9661" i="26"/>
  <c r="H9660" i="26"/>
  <c r="H9659" i="26"/>
  <c r="H9658" i="26"/>
  <c r="H9657" i="26"/>
  <c r="H9656" i="26"/>
  <c r="H9655" i="26"/>
  <c r="H9654" i="26"/>
  <c r="H9653" i="26"/>
  <c r="H9652" i="26"/>
  <c r="H9651" i="26"/>
  <c r="H9650" i="26"/>
  <c r="H9649" i="26"/>
  <c r="H9648" i="26"/>
  <c r="H9647" i="26"/>
  <c r="H9646" i="26"/>
  <c r="H9645" i="26"/>
  <c r="H9644" i="26"/>
  <c r="H9643" i="26"/>
  <c r="H9642" i="26"/>
  <c r="H9641" i="26"/>
  <c r="H9640" i="26"/>
  <c r="H9639" i="26"/>
  <c r="H9638" i="26"/>
  <c r="H9637" i="26"/>
  <c r="H9636" i="26"/>
  <c r="H9635" i="26"/>
  <c r="H9634" i="26"/>
  <c r="H9633" i="26"/>
  <c r="H9632" i="26"/>
  <c r="H9631" i="26"/>
  <c r="H9630" i="26"/>
  <c r="H9629" i="26"/>
  <c r="H9628" i="26"/>
  <c r="H9627" i="26"/>
  <c r="H9626" i="26"/>
  <c r="H9625" i="26"/>
  <c r="H9624" i="26"/>
  <c r="H9623" i="26"/>
  <c r="H9622" i="26"/>
  <c r="H9621" i="26"/>
  <c r="H9620" i="26"/>
  <c r="H9619" i="26"/>
  <c r="H9618" i="26"/>
  <c r="H9617" i="26"/>
  <c r="H9616" i="26"/>
  <c r="H9615" i="26"/>
  <c r="H9614" i="26"/>
  <c r="H9613" i="26"/>
  <c r="H9612" i="26"/>
  <c r="H9611" i="26"/>
  <c r="H9610" i="26"/>
  <c r="H9609" i="26"/>
  <c r="H9608" i="26"/>
  <c r="H9607" i="26"/>
  <c r="H9606" i="26"/>
  <c r="H9605" i="26"/>
  <c r="H9604" i="26"/>
  <c r="H9603" i="26"/>
  <c r="H9602" i="26"/>
  <c r="H9601" i="26"/>
  <c r="H9600" i="26"/>
  <c r="H9599" i="26"/>
  <c r="H9598" i="26"/>
  <c r="H9597" i="26"/>
  <c r="H9596" i="26"/>
  <c r="H9595" i="26"/>
  <c r="H9594" i="26"/>
  <c r="H9593" i="26"/>
  <c r="H9592" i="26"/>
  <c r="H9591" i="26"/>
  <c r="H9590" i="26"/>
  <c r="H9589" i="26"/>
  <c r="H9588" i="26"/>
  <c r="H9587" i="26"/>
  <c r="H9586" i="26"/>
  <c r="H9585" i="26"/>
  <c r="H9584" i="26"/>
  <c r="H9583" i="26"/>
  <c r="H9582" i="26"/>
  <c r="H9581" i="26"/>
  <c r="H9580" i="26"/>
  <c r="H9579" i="26"/>
  <c r="H9578" i="26"/>
  <c r="H9577" i="26"/>
  <c r="H9576" i="26"/>
  <c r="H9575" i="26"/>
  <c r="H9574" i="26"/>
  <c r="H9573" i="26"/>
  <c r="H9572" i="26"/>
  <c r="H9571" i="26"/>
  <c r="H9570" i="26"/>
  <c r="H9569" i="26"/>
  <c r="H9568" i="26"/>
  <c r="H9567" i="26"/>
  <c r="H9566" i="26"/>
  <c r="H9565" i="26"/>
  <c r="H9564" i="26"/>
  <c r="H9563" i="26"/>
  <c r="H9562" i="26"/>
  <c r="H9561" i="26"/>
  <c r="H9560" i="26"/>
  <c r="H9559" i="26"/>
  <c r="H9558" i="26"/>
  <c r="H9557" i="26"/>
  <c r="H9556" i="26"/>
  <c r="H9555" i="26"/>
  <c r="H9554" i="26"/>
  <c r="H9553" i="26"/>
  <c r="H9552" i="26"/>
  <c r="H9551" i="26"/>
  <c r="H9550" i="26"/>
  <c r="H9549" i="26"/>
  <c r="H9548" i="26"/>
  <c r="H9547" i="26"/>
  <c r="H9546" i="26"/>
  <c r="H9545" i="26"/>
  <c r="H9544" i="26"/>
  <c r="H9543" i="26"/>
  <c r="H9542" i="26"/>
  <c r="H9541" i="26"/>
  <c r="H9540" i="26"/>
  <c r="H9539" i="26"/>
  <c r="H9538" i="26"/>
  <c r="H9537" i="26"/>
  <c r="H9536" i="26"/>
  <c r="H9535" i="26"/>
  <c r="H9534" i="26"/>
  <c r="H9533" i="26"/>
  <c r="H9532" i="26"/>
  <c r="H9531" i="26"/>
  <c r="H9530" i="26"/>
  <c r="H9529" i="26"/>
  <c r="H9528" i="26"/>
  <c r="H9527" i="26"/>
  <c r="H9526" i="26"/>
  <c r="H9525" i="26"/>
  <c r="H9524" i="26"/>
  <c r="H9523" i="26"/>
  <c r="H9522" i="26"/>
  <c r="H9521" i="26"/>
  <c r="H9520" i="26"/>
  <c r="H9519" i="26"/>
  <c r="H9518" i="26"/>
  <c r="H9517" i="26"/>
  <c r="H9516" i="26"/>
  <c r="H9515" i="26"/>
  <c r="H9514" i="26"/>
  <c r="H9513" i="26"/>
  <c r="H9512" i="26"/>
  <c r="H9511" i="26"/>
  <c r="H9510" i="26"/>
  <c r="H9509" i="26"/>
  <c r="H9508" i="26"/>
  <c r="H9507" i="26"/>
  <c r="H9506" i="26"/>
  <c r="H9505" i="26"/>
  <c r="H9504" i="26"/>
  <c r="H9503" i="26"/>
  <c r="H9502" i="26"/>
  <c r="H9501" i="26"/>
  <c r="H9500" i="26"/>
  <c r="H9499" i="26"/>
  <c r="H9498" i="26"/>
  <c r="H9497" i="26"/>
  <c r="H9496" i="26"/>
  <c r="H9495" i="26"/>
  <c r="H9494" i="26"/>
  <c r="H9493" i="26"/>
  <c r="H9492" i="26"/>
  <c r="H9491" i="26"/>
  <c r="H9490" i="26"/>
  <c r="H9489" i="26"/>
  <c r="H9488" i="26"/>
  <c r="H9487" i="26"/>
  <c r="H9486" i="26"/>
  <c r="H9485" i="26"/>
  <c r="H9484" i="26"/>
  <c r="H9483" i="26"/>
  <c r="H9482" i="26"/>
  <c r="H9481" i="26"/>
  <c r="H9480" i="26"/>
  <c r="H9479" i="26"/>
  <c r="H9478" i="26"/>
  <c r="H9477" i="26"/>
  <c r="H9476" i="26"/>
  <c r="H9475" i="26"/>
  <c r="H9474" i="26"/>
  <c r="H9473" i="26"/>
  <c r="H9472" i="26"/>
  <c r="H9471" i="26"/>
  <c r="H9470" i="26"/>
  <c r="H9469" i="26"/>
  <c r="H9468" i="26"/>
  <c r="H9467" i="26"/>
  <c r="H9466" i="26"/>
  <c r="H9465" i="26"/>
  <c r="H9464" i="26"/>
  <c r="H9463" i="26"/>
  <c r="H9462" i="26"/>
  <c r="H9461" i="26"/>
  <c r="H9460" i="26"/>
  <c r="H9459" i="26"/>
  <c r="H9458" i="26"/>
  <c r="H9457" i="26"/>
  <c r="H9456" i="26"/>
  <c r="H9455" i="26"/>
  <c r="H9454" i="26"/>
  <c r="H9453" i="26"/>
  <c r="H9452" i="26"/>
  <c r="H9451" i="26"/>
  <c r="H9450" i="26"/>
  <c r="H9449" i="26"/>
  <c r="H9448" i="26"/>
  <c r="H9447" i="26"/>
  <c r="H9446" i="26"/>
  <c r="H9445" i="26"/>
  <c r="H9444" i="26"/>
  <c r="H9443" i="26"/>
  <c r="H9442" i="26"/>
  <c r="H9441" i="26"/>
  <c r="H9440" i="26"/>
  <c r="H9439" i="26"/>
  <c r="H9438" i="26"/>
  <c r="H9437" i="26"/>
  <c r="H9436" i="26"/>
  <c r="H9435" i="26"/>
  <c r="H9434" i="26"/>
  <c r="H9433" i="26"/>
  <c r="H9432" i="26"/>
  <c r="H9431" i="26"/>
  <c r="H9430" i="26"/>
  <c r="H9429" i="26"/>
  <c r="H9428" i="26"/>
  <c r="H9427" i="26"/>
  <c r="H9426" i="26"/>
  <c r="H9425" i="26"/>
  <c r="H9424" i="26"/>
  <c r="H9423" i="26"/>
  <c r="H9422" i="26"/>
  <c r="H9421" i="26"/>
  <c r="H9420" i="26"/>
  <c r="H9419" i="26"/>
  <c r="H9418" i="26"/>
  <c r="H9417" i="26"/>
  <c r="H9416" i="26"/>
  <c r="H9415" i="26"/>
  <c r="H9414" i="26"/>
  <c r="H9413" i="26"/>
  <c r="H9412" i="26"/>
  <c r="H9411" i="26"/>
  <c r="H9410" i="26"/>
  <c r="H9409" i="26"/>
  <c r="H9408" i="26"/>
  <c r="H9407" i="26"/>
  <c r="H9406" i="26"/>
  <c r="H9405" i="26"/>
  <c r="H9404" i="26"/>
  <c r="H9403" i="26"/>
  <c r="H9402" i="26"/>
  <c r="H9401" i="26"/>
  <c r="H9400" i="26"/>
  <c r="H9399" i="26"/>
  <c r="H9398" i="26"/>
  <c r="H9397" i="26"/>
  <c r="H9396" i="26"/>
  <c r="H9395" i="26"/>
  <c r="H9394" i="26"/>
  <c r="H9393" i="26"/>
  <c r="H9392" i="26"/>
  <c r="H9391" i="26"/>
  <c r="H9390" i="26"/>
  <c r="H9389" i="26"/>
  <c r="H9388" i="26"/>
  <c r="H9387" i="26"/>
  <c r="H9386" i="26"/>
  <c r="H9385" i="26"/>
  <c r="H9384" i="26"/>
  <c r="H9383" i="26"/>
  <c r="H9382" i="26"/>
  <c r="H9381" i="26"/>
  <c r="H9380" i="26"/>
  <c r="H9379" i="26"/>
  <c r="H9378" i="26"/>
  <c r="H9377" i="26"/>
  <c r="H9376" i="26"/>
  <c r="H9375" i="26"/>
  <c r="H9374" i="26"/>
  <c r="H9373" i="26"/>
  <c r="H9372" i="26"/>
  <c r="H9371" i="26"/>
  <c r="H9370" i="26"/>
  <c r="H9369" i="26"/>
  <c r="H9368" i="26"/>
  <c r="H9367" i="26"/>
  <c r="H9366" i="26"/>
  <c r="H9365" i="26"/>
  <c r="H9364" i="26"/>
  <c r="H9363" i="26"/>
  <c r="H9362" i="26"/>
  <c r="H9361" i="26"/>
  <c r="H9360" i="26"/>
  <c r="H9359" i="26"/>
  <c r="H9358" i="26"/>
  <c r="H9357" i="26"/>
  <c r="H9356" i="26"/>
  <c r="H9355" i="26"/>
  <c r="H9354" i="26"/>
  <c r="H9353" i="26"/>
  <c r="H9352" i="26"/>
  <c r="H9351" i="26"/>
  <c r="H9350" i="26"/>
  <c r="H9349" i="26"/>
  <c r="H9348" i="26"/>
  <c r="H9347" i="26"/>
  <c r="H9346" i="26"/>
  <c r="H9345" i="26"/>
  <c r="H9344" i="26"/>
  <c r="H9343" i="26"/>
  <c r="H9342" i="26"/>
  <c r="H9341" i="26"/>
  <c r="H9340" i="26"/>
  <c r="H9339" i="26"/>
  <c r="H9338" i="26"/>
  <c r="H9337" i="26"/>
  <c r="H9336" i="26"/>
  <c r="H9335" i="26"/>
  <c r="H9334" i="26"/>
  <c r="H9333" i="26"/>
  <c r="H9332" i="26"/>
  <c r="H9331" i="26"/>
  <c r="H9330" i="26"/>
  <c r="H9329" i="26"/>
  <c r="H9328" i="26"/>
  <c r="H9327" i="26"/>
  <c r="H9326" i="26"/>
  <c r="H9325" i="26"/>
  <c r="H9324" i="26"/>
  <c r="H9323" i="26"/>
  <c r="H9322" i="26"/>
  <c r="H9321" i="26"/>
  <c r="H9320" i="26"/>
  <c r="H9319" i="26"/>
  <c r="H9318" i="26"/>
  <c r="H9317" i="26"/>
  <c r="H9316" i="26"/>
  <c r="H9315" i="26"/>
  <c r="H9314" i="26"/>
  <c r="H9313" i="26"/>
  <c r="H9312" i="26"/>
  <c r="H9311" i="26"/>
  <c r="H9310" i="26"/>
  <c r="H9309" i="26"/>
  <c r="H9308" i="26"/>
  <c r="H9307" i="26"/>
  <c r="H9306" i="26"/>
  <c r="H9305" i="26"/>
  <c r="H9304" i="26"/>
  <c r="H9303" i="26"/>
  <c r="H9302" i="26"/>
  <c r="H9301" i="26"/>
  <c r="H9300" i="26"/>
  <c r="H9299" i="26"/>
  <c r="H9298" i="26"/>
  <c r="H9297" i="26"/>
  <c r="H9296" i="26"/>
  <c r="H9295" i="26"/>
  <c r="H9294" i="26"/>
  <c r="H9293" i="26"/>
  <c r="H9292" i="26"/>
  <c r="H9291" i="26"/>
  <c r="H9290" i="26"/>
  <c r="H9289" i="26"/>
  <c r="H9288" i="26"/>
  <c r="H9287" i="26"/>
  <c r="H9286" i="26"/>
  <c r="H9285" i="26"/>
  <c r="H9284" i="26"/>
  <c r="H9283" i="26"/>
  <c r="H9282" i="26"/>
  <c r="H9281" i="26"/>
  <c r="H9280" i="26"/>
  <c r="H9279" i="26"/>
  <c r="H9278" i="26"/>
  <c r="H9277" i="26"/>
  <c r="H9276" i="26"/>
  <c r="H9275" i="26"/>
  <c r="H9274" i="26"/>
  <c r="H9273" i="26"/>
  <c r="H9272" i="26"/>
  <c r="H9271" i="26"/>
  <c r="H9270" i="26"/>
  <c r="H9269" i="26"/>
  <c r="H9268" i="26"/>
  <c r="H9267" i="26"/>
  <c r="H9266" i="26"/>
  <c r="H9265" i="26"/>
  <c r="H9264" i="26"/>
  <c r="H9263" i="26"/>
  <c r="H9262" i="26"/>
  <c r="H9261" i="26"/>
  <c r="H9260" i="26"/>
  <c r="H9259" i="26"/>
  <c r="H9258" i="26"/>
  <c r="H9257" i="26"/>
  <c r="H9256" i="26"/>
  <c r="H9255" i="26"/>
  <c r="H9254" i="26"/>
  <c r="H9253" i="26"/>
  <c r="H9252" i="26"/>
  <c r="H9251" i="26"/>
  <c r="H9250" i="26"/>
  <c r="H9249" i="26"/>
  <c r="H9248" i="26"/>
  <c r="H9247" i="26"/>
  <c r="H9246" i="26"/>
  <c r="H9245" i="26"/>
  <c r="H9244" i="26"/>
  <c r="H9243" i="26"/>
  <c r="H9242" i="26"/>
  <c r="H9241" i="26"/>
  <c r="H9240" i="26"/>
  <c r="H9239" i="26"/>
  <c r="H9238" i="26"/>
  <c r="H9237" i="26"/>
  <c r="H9236" i="26"/>
  <c r="H9235" i="26"/>
  <c r="H9234" i="26"/>
  <c r="H9233" i="26"/>
  <c r="H9232" i="26"/>
  <c r="H9231" i="26"/>
  <c r="H9230" i="26"/>
  <c r="H9229" i="26"/>
  <c r="H9228" i="26"/>
  <c r="H9227" i="26"/>
  <c r="H9226" i="26"/>
  <c r="H9225" i="26"/>
  <c r="H9224" i="26"/>
  <c r="H9223" i="26"/>
  <c r="H9222" i="26"/>
  <c r="H9221" i="26"/>
  <c r="H9220" i="26"/>
  <c r="H9219" i="26"/>
  <c r="H9218" i="26"/>
  <c r="H9217" i="26"/>
  <c r="H9216" i="26"/>
  <c r="H9215" i="26"/>
  <c r="H9214" i="26"/>
  <c r="H9213" i="26"/>
  <c r="H9212" i="26"/>
  <c r="H9211" i="26"/>
  <c r="H9210" i="26"/>
  <c r="H9209" i="26"/>
  <c r="H9208" i="26"/>
  <c r="H9207" i="26"/>
  <c r="H9206" i="26"/>
  <c r="H9205" i="26"/>
  <c r="H9204" i="26"/>
  <c r="H9203" i="26"/>
  <c r="H9202" i="26"/>
  <c r="H9201" i="26"/>
  <c r="H9200" i="26"/>
  <c r="H9199" i="26"/>
  <c r="H9198" i="26"/>
  <c r="H9197" i="26"/>
  <c r="H9196" i="26"/>
  <c r="H9195" i="26"/>
  <c r="H9194" i="26"/>
  <c r="H9193" i="26"/>
  <c r="H9192" i="26"/>
  <c r="H9191" i="26"/>
  <c r="H9190" i="26"/>
  <c r="H9189" i="26"/>
  <c r="H9188" i="26"/>
  <c r="H9187" i="26"/>
  <c r="H9186" i="26"/>
  <c r="H9185" i="26"/>
  <c r="H9184" i="26"/>
  <c r="H9183" i="26"/>
  <c r="H9182" i="26"/>
  <c r="H9181" i="26"/>
  <c r="H9180" i="26"/>
  <c r="H9179" i="26"/>
  <c r="H9178" i="26"/>
  <c r="H9177" i="26"/>
  <c r="H9176" i="26"/>
  <c r="H9175" i="26"/>
  <c r="H9174" i="26"/>
  <c r="H9173" i="26"/>
  <c r="H9172" i="26"/>
  <c r="H9171" i="26"/>
  <c r="H9170" i="26"/>
  <c r="H9169" i="26"/>
  <c r="H9168" i="26"/>
  <c r="H9167" i="26"/>
  <c r="H9166" i="26"/>
  <c r="H9165" i="26"/>
  <c r="H9164" i="26"/>
  <c r="H9163" i="26"/>
  <c r="H9162" i="26"/>
  <c r="H9161" i="26"/>
  <c r="H9160" i="26"/>
  <c r="H9159" i="26"/>
  <c r="H9158" i="26"/>
  <c r="H9157" i="26"/>
  <c r="H9156" i="26"/>
  <c r="H9155" i="26"/>
  <c r="H9154" i="26"/>
  <c r="H9153" i="26"/>
  <c r="H9152" i="26"/>
  <c r="H9151" i="26"/>
  <c r="H9150" i="26"/>
  <c r="H9149" i="26"/>
  <c r="H9148" i="26"/>
  <c r="H9147" i="26"/>
  <c r="H9146" i="26"/>
  <c r="H9145" i="26"/>
  <c r="H9144" i="26"/>
  <c r="H9143" i="26"/>
  <c r="H9142" i="26"/>
  <c r="H9141" i="26"/>
  <c r="H9140" i="26"/>
  <c r="H9139" i="26"/>
  <c r="H9138" i="26"/>
  <c r="H9137" i="26"/>
  <c r="H9136" i="26"/>
  <c r="H9135" i="26"/>
  <c r="H9134" i="26"/>
  <c r="H9133" i="26"/>
  <c r="H9132" i="26"/>
  <c r="H9131" i="26"/>
  <c r="H9130" i="26"/>
  <c r="H9129" i="26"/>
  <c r="H9128" i="26"/>
  <c r="H9127" i="26"/>
  <c r="H9126" i="26"/>
  <c r="H9125" i="26"/>
  <c r="H9124" i="26"/>
  <c r="H9123" i="26"/>
  <c r="H9122" i="26"/>
  <c r="H9121" i="26"/>
  <c r="H9120" i="26"/>
  <c r="H9119" i="26"/>
  <c r="H9118" i="26"/>
  <c r="H9117" i="26"/>
  <c r="H9116" i="26"/>
  <c r="H9115" i="26"/>
  <c r="H9114" i="26"/>
  <c r="H9113" i="26"/>
  <c r="H9112" i="26"/>
  <c r="H9111" i="26"/>
  <c r="H9110" i="26"/>
  <c r="H9109" i="26"/>
  <c r="H9108" i="26"/>
  <c r="H9107" i="26"/>
  <c r="H9106" i="26"/>
  <c r="H9105" i="26"/>
  <c r="H9104" i="26"/>
  <c r="H9103" i="26"/>
  <c r="H9102" i="26"/>
  <c r="H9101" i="26"/>
  <c r="H9100" i="26"/>
  <c r="H9099" i="26"/>
  <c r="H9098" i="26"/>
  <c r="H9097" i="26"/>
  <c r="H9096" i="26"/>
  <c r="H9095" i="26"/>
  <c r="H9094" i="26"/>
  <c r="H9093" i="26"/>
  <c r="H9092" i="26"/>
  <c r="H9091" i="26"/>
  <c r="H9090" i="26"/>
  <c r="H9089" i="26"/>
  <c r="H9088" i="26"/>
  <c r="H9087" i="26"/>
  <c r="H9086" i="26"/>
  <c r="H9085" i="26"/>
  <c r="H9084" i="26"/>
  <c r="H9083" i="26"/>
  <c r="H9082" i="26"/>
  <c r="H9081" i="26"/>
  <c r="H9080" i="26"/>
  <c r="H9079" i="26"/>
  <c r="H9078" i="26"/>
  <c r="H9077" i="26"/>
  <c r="H9076" i="26"/>
  <c r="H9075" i="26"/>
  <c r="H9074" i="26"/>
  <c r="H9073" i="26"/>
  <c r="H9072" i="26"/>
  <c r="H9071" i="26"/>
  <c r="H9070" i="26"/>
  <c r="H9069" i="26"/>
  <c r="H9068" i="26"/>
  <c r="H9067" i="26"/>
  <c r="H9066" i="26"/>
  <c r="H9065" i="26"/>
  <c r="H9064" i="26"/>
  <c r="H9063" i="26"/>
  <c r="H9062" i="26"/>
  <c r="H9061" i="26"/>
  <c r="H9060" i="26"/>
  <c r="H9059" i="26"/>
  <c r="H9058" i="26"/>
  <c r="H9057" i="26"/>
  <c r="H9056" i="26"/>
  <c r="H9055" i="26"/>
  <c r="H9054" i="26"/>
  <c r="H9053" i="26"/>
  <c r="H9052" i="26"/>
  <c r="H9051" i="26"/>
  <c r="H9050" i="26"/>
  <c r="H9049" i="26"/>
  <c r="H9048" i="26"/>
  <c r="H9047" i="26"/>
  <c r="H9046" i="26"/>
  <c r="H9045" i="26"/>
  <c r="H9044" i="26"/>
  <c r="H9043" i="26"/>
  <c r="H9042" i="26"/>
  <c r="H9041" i="26"/>
  <c r="H9040" i="26"/>
  <c r="H9039" i="26"/>
  <c r="H9038" i="26"/>
  <c r="H9037" i="26"/>
  <c r="H9036" i="26"/>
  <c r="H9035" i="26"/>
  <c r="H9034" i="26"/>
  <c r="H9033" i="26"/>
  <c r="H9032" i="26"/>
  <c r="H9031" i="26"/>
  <c r="H9030" i="26"/>
  <c r="H9029" i="26"/>
  <c r="H9028" i="26"/>
  <c r="H9027" i="26"/>
  <c r="H9026" i="26"/>
  <c r="H9025" i="26"/>
  <c r="H9024" i="26"/>
  <c r="H9023" i="26"/>
  <c r="H9022" i="26"/>
  <c r="H9021" i="26"/>
  <c r="H9020" i="26"/>
  <c r="H9019" i="26"/>
  <c r="H9018" i="26"/>
  <c r="H9017" i="26"/>
  <c r="H9016" i="26"/>
  <c r="H9015" i="26"/>
  <c r="H9014" i="26"/>
  <c r="H9013" i="26"/>
  <c r="H9012" i="26"/>
  <c r="H9011" i="26"/>
  <c r="H9010" i="26"/>
  <c r="H9009" i="26"/>
  <c r="H9008" i="26"/>
  <c r="H9007" i="26"/>
  <c r="H9006" i="26"/>
  <c r="H9005" i="26"/>
  <c r="H9004" i="26"/>
  <c r="H9003" i="26"/>
  <c r="H9002" i="26"/>
  <c r="H9001" i="26"/>
  <c r="H9000" i="26"/>
  <c r="H8999" i="26"/>
  <c r="H8998" i="26"/>
  <c r="H8997" i="26"/>
  <c r="H8996" i="26"/>
  <c r="H8995" i="26"/>
  <c r="H8994" i="26"/>
  <c r="H8993" i="26"/>
  <c r="H8992" i="26"/>
  <c r="H8991" i="26"/>
  <c r="H8990" i="26"/>
  <c r="H8989" i="26"/>
  <c r="H8988" i="26"/>
  <c r="H8987" i="26"/>
  <c r="H8986" i="26"/>
  <c r="H8985" i="26"/>
  <c r="H8984" i="26"/>
  <c r="H8983" i="26"/>
  <c r="H8982" i="26"/>
  <c r="H8981" i="26"/>
  <c r="H8980" i="26"/>
  <c r="H8979" i="26"/>
  <c r="H8978" i="26"/>
  <c r="H8977" i="26"/>
  <c r="H8976" i="26"/>
  <c r="H8975" i="26"/>
  <c r="H8974" i="26"/>
  <c r="H8973" i="26"/>
  <c r="H8972" i="26"/>
  <c r="H8971" i="26"/>
  <c r="H8970" i="26"/>
  <c r="H8969" i="26"/>
  <c r="H8968" i="26"/>
  <c r="H8967" i="26"/>
  <c r="H8966" i="26"/>
  <c r="H8965" i="26"/>
  <c r="H8964" i="26"/>
  <c r="H8963" i="26"/>
  <c r="H8962" i="26"/>
  <c r="H8961" i="26"/>
  <c r="H8960" i="26"/>
  <c r="H8959" i="26"/>
  <c r="H8958" i="26"/>
  <c r="H8957" i="26"/>
  <c r="H8956" i="26"/>
  <c r="H8955" i="26"/>
  <c r="H8954" i="26"/>
  <c r="H8953" i="26"/>
  <c r="H8952" i="26"/>
  <c r="H8951" i="26"/>
  <c r="H8950" i="26"/>
  <c r="H8949" i="26"/>
  <c r="H8948" i="26"/>
  <c r="H8947" i="26"/>
  <c r="H8946" i="26"/>
  <c r="H8945" i="26"/>
  <c r="H8944" i="26"/>
  <c r="H8943" i="26"/>
  <c r="H8942" i="26"/>
  <c r="H8941" i="26"/>
  <c r="H8940" i="26"/>
  <c r="H8939" i="26"/>
  <c r="H8938" i="26"/>
  <c r="H8937" i="26"/>
  <c r="H8936" i="26"/>
  <c r="H8935" i="26"/>
  <c r="H8934" i="26"/>
  <c r="H8933" i="26"/>
  <c r="H8932" i="26"/>
  <c r="H8931" i="26"/>
  <c r="H8930" i="26"/>
  <c r="H8929" i="26"/>
  <c r="H8928" i="26"/>
  <c r="H8927" i="26"/>
  <c r="H8926" i="26"/>
  <c r="H8925" i="26"/>
  <c r="H8924" i="26"/>
  <c r="H8923" i="26"/>
  <c r="H8922" i="26"/>
  <c r="H8921" i="26"/>
  <c r="H8920" i="26"/>
  <c r="H8919" i="26"/>
  <c r="H8918" i="26"/>
  <c r="H8917" i="26"/>
  <c r="H8916" i="26"/>
  <c r="H8915" i="26"/>
  <c r="H8914" i="26"/>
  <c r="H8913" i="26"/>
  <c r="H8912" i="26"/>
  <c r="H8911" i="26"/>
  <c r="H8910" i="26"/>
  <c r="H8909" i="26"/>
  <c r="H8908" i="26"/>
  <c r="H8907" i="26"/>
  <c r="H8906" i="26"/>
  <c r="H8905" i="26"/>
  <c r="H8904" i="26"/>
  <c r="H8903" i="26"/>
  <c r="H8902" i="26"/>
  <c r="H8901" i="26"/>
  <c r="H8900" i="26"/>
  <c r="H8899" i="26"/>
  <c r="H8898" i="26"/>
  <c r="H8897" i="26"/>
  <c r="H8896" i="26"/>
  <c r="H8895" i="26"/>
  <c r="H8894" i="26"/>
  <c r="H8893" i="26"/>
  <c r="H8892" i="26"/>
  <c r="H8891" i="26"/>
  <c r="H8890" i="26"/>
  <c r="H8889" i="26"/>
  <c r="H8888" i="26"/>
  <c r="H8887" i="26"/>
  <c r="H8886" i="26"/>
  <c r="H8885" i="26"/>
  <c r="H8884" i="26"/>
  <c r="H8883" i="26"/>
  <c r="H8882" i="26"/>
  <c r="H8881" i="26"/>
  <c r="H8880" i="26"/>
  <c r="H8879" i="26"/>
  <c r="H8878" i="26"/>
  <c r="H8877" i="26"/>
  <c r="H8876" i="26"/>
  <c r="H8875" i="26"/>
  <c r="H8874" i="26"/>
  <c r="H8873" i="26"/>
  <c r="H8872" i="26"/>
  <c r="H8871" i="26"/>
  <c r="H8870" i="26"/>
  <c r="H8869" i="26"/>
  <c r="H8868" i="26"/>
  <c r="H8867" i="26"/>
  <c r="H8866" i="26"/>
  <c r="H8865" i="26"/>
  <c r="H8864" i="26"/>
  <c r="H8863" i="26"/>
  <c r="H8862" i="26"/>
  <c r="H8861" i="26"/>
  <c r="H8860" i="26"/>
  <c r="H8859" i="26"/>
  <c r="H8858" i="26"/>
  <c r="H8857" i="26"/>
  <c r="H8856" i="26"/>
  <c r="H8855" i="26"/>
  <c r="H8854" i="26"/>
  <c r="H8853" i="26"/>
  <c r="H8852" i="26"/>
  <c r="H8851" i="26"/>
  <c r="H8850" i="26"/>
  <c r="H8849" i="26"/>
  <c r="H8848" i="26"/>
  <c r="H8847" i="26"/>
  <c r="H8846" i="26"/>
  <c r="H8845" i="26"/>
  <c r="H8844" i="26"/>
  <c r="H8843" i="26"/>
  <c r="H8842" i="26"/>
  <c r="H8841" i="26"/>
  <c r="H8840" i="26"/>
  <c r="H8839" i="26"/>
  <c r="H8838" i="26"/>
  <c r="H8837" i="26"/>
  <c r="H8836" i="26"/>
  <c r="H8835" i="26"/>
  <c r="H8834" i="26"/>
  <c r="H8833" i="26"/>
  <c r="H8832" i="26"/>
  <c r="H8831" i="26"/>
  <c r="H8830" i="26"/>
  <c r="H8829" i="26"/>
  <c r="H8828" i="26"/>
  <c r="H8827" i="26"/>
  <c r="H8826" i="26"/>
  <c r="H8825" i="26"/>
  <c r="H8824" i="26"/>
  <c r="H8823" i="26"/>
  <c r="H8822" i="26"/>
  <c r="H8821" i="26"/>
  <c r="H8820" i="26"/>
  <c r="H8819" i="26"/>
  <c r="H8818" i="26"/>
  <c r="H8817" i="26"/>
  <c r="H8816" i="26"/>
  <c r="H8815" i="26"/>
  <c r="H8814" i="26"/>
  <c r="H8813" i="26"/>
  <c r="H8812" i="26"/>
  <c r="H8811" i="26"/>
  <c r="H8810" i="26"/>
  <c r="H8809" i="26"/>
  <c r="H8808" i="26"/>
  <c r="H8807" i="26"/>
  <c r="H8806" i="26"/>
  <c r="H8805" i="26"/>
  <c r="H8804" i="26"/>
  <c r="H8803" i="26"/>
  <c r="H8802" i="26"/>
  <c r="H8801" i="26"/>
  <c r="H8800" i="26"/>
  <c r="H8799" i="26"/>
  <c r="H8798" i="26"/>
  <c r="H8797" i="26"/>
  <c r="H8796" i="26"/>
  <c r="H8795" i="26"/>
  <c r="H8794" i="26"/>
  <c r="H8793" i="26"/>
  <c r="H8792" i="26"/>
  <c r="H8791" i="26"/>
  <c r="H8790" i="26"/>
  <c r="H8789" i="26"/>
  <c r="H8788" i="26"/>
  <c r="H8787" i="26"/>
  <c r="H8786" i="26"/>
  <c r="H8785" i="26"/>
  <c r="H8784" i="26"/>
  <c r="H8783" i="26"/>
  <c r="H8782" i="26"/>
  <c r="H8781" i="26"/>
  <c r="H8780" i="26"/>
  <c r="H8779" i="26"/>
  <c r="H8778" i="26"/>
  <c r="H8777" i="26"/>
  <c r="H8776" i="26"/>
  <c r="H8775" i="26"/>
  <c r="H8774" i="26"/>
  <c r="H8773" i="26"/>
  <c r="H8772" i="26"/>
  <c r="H8771" i="26"/>
  <c r="H8770" i="26"/>
  <c r="H8769" i="26"/>
  <c r="H8768" i="26"/>
  <c r="H8767" i="26"/>
  <c r="H8766" i="26"/>
  <c r="H8765" i="26"/>
  <c r="H8764" i="26"/>
  <c r="H8763" i="26"/>
  <c r="H8762" i="26"/>
  <c r="H8761" i="26"/>
  <c r="H8760" i="26"/>
  <c r="H8759" i="26"/>
  <c r="H8758" i="26"/>
  <c r="H8757" i="26"/>
  <c r="H8756" i="26"/>
  <c r="H8755" i="26"/>
  <c r="H8754" i="26"/>
  <c r="H8753" i="26"/>
  <c r="H8752" i="26"/>
  <c r="H8751" i="26"/>
  <c r="H8750" i="26"/>
  <c r="H8749" i="26"/>
  <c r="H8748" i="26"/>
  <c r="H8747" i="26"/>
  <c r="H8746" i="26"/>
  <c r="H8745" i="26"/>
  <c r="H8744" i="26"/>
  <c r="H8743" i="26"/>
  <c r="H8742" i="26"/>
  <c r="H8741" i="26"/>
  <c r="H8740" i="26"/>
  <c r="H8739" i="26"/>
  <c r="H8738" i="26"/>
  <c r="H8737" i="26"/>
  <c r="H8736" i="26"/>
  <c r="H8735" i="26"/>
  <c r="H8734" i="26"/>
  <c r="H8733" i="26"/>
  <c r="H8732" i="26"/>
  <c r="H8731" i="26"/>
  <c r="H8730" i="26"/>
  <c r="H8729" i="26"/>
  <c r="H8728" i="26"/>
  <c r="H8727" i="26"/>
  <c r="H8726" i="26"/>
  <c r="H8725" i="26"/>
  <c r="H8724" i="26"/>
  <c r="H8723" i="26"/>
  <c r="H8722" i="26"/>
  <c r="H8721" i="26"/>
  <c r="H8720" i="26"/>
  <c r="H8719" i="26"/>
  <c r="H8718" i="26"/>
  <c r="H8717" i="26"/>
  <c r="H8716" i="26"/>
  <c r="H8715" i="26"/>
  <c r="H8714" i="26"/>
  <c r="H8713" i="26"/>
  <c r="H8712" i="26"/>
  <c r="H8711" i="26"/>
  <c r="H8710" i="26"/>
  <c r="H8709" i="26"/>
  <c r="H8708" i="26"/>
  <c r="H8707" i="26"/>
  <c r="H8706" i="26"/>
  <c r="H8705" i="26"/>
  <c r="H8704" i="26"/>
  <c r="H8703" i="26"/>
  <c r="H8702" i="26"/>
  <c r="H8701" i="26"/>
  <c r="H8700" i="26"/>
  <c r="H8699" i="26"/>
  <c r="H8698" i="26"/>
  <c r="H8697" i="26"/>
  <c r="H8696" i="26"/>
  <c r="H8695" i="26"/>
  <c r="H8694" i="26"/>
  <c r="H8693" i="26"/>
  <c r="H8692" i="26"/>
  <c r="H8691" i="26"/>
  <c r="H8690" i="26"/>
  <c r="H8689" i="26"/>
  <c r="H8688" i="26"/>
  <c r="H8687" i="26"/>
  <c r="H8686" i="26"/>
  <c r="H8685" i="26"/>
  <c r="H8684" i="26"/>
  <c r="H8683" i="26"/>
  <c r="H8682" i="26"/>
  <c r="H8681" i="26"/>
  <c r="H8680" i="26"/>
  <c r="H8679" i="26"/>
  <c r="H8678" i="26"/>
  <c r="H8677" i="26"/>
  <c r="H8676" i="26"/>
  <c r="H8675" i="26"/>
  <c r="H8674" i="26"/>
  <c r="H8673" i="26"/>
  <c r="H8672" i="26"/>
  <c r="H8671" i="26"/>
  <c r="H8670" i="26"/>
  <c r="H8669" i="26"/>
  <c r="H8668" i="26"/>
  <c r="H8667" i="26"/>
  <c r="H8666" i="26"/>
  <c r="H8665" i="26"/>
  <c r="H8664" i="26"/>
  <c r="H8663" i="26"/>
  <c r="H8662" i="26"/>
  <c r="H8661" i="26"/>
  <c r="H8660" i="26"/>
  <c r="H8659" i="26"/>
  <c r="H8658" i="26"/>
  <c r="H8657" i="26"/>
  <c r="H8656" i="26"/>
  <c r="H8655" i="26"/>
  <c r="H8654" i="26"/>
  <c r="H8653" i="26"/>
  <c r="H8652" i="26"/>
  <c r="H8651" i="26"/>
  <c r="H8650" i="26"/>
  <c r="H8649" i="26"/>
  <c r="H8648" i="26"/>
  <c r="H8647" i="26"/>
  <c r="H8646" i="26"/>
  <c r="H8645" i="26"/>
  <c r="H8644" i="26"/>
  <c r="H8643" i="26"/>
  <c r="H8642" i="26"/>
  <c r="H8641" i="26"/>
  <c r="H8640" i="26"/>
  <c r="H8639" i="26"/>
  <c r="H8638" i="26"/>
  <c r="H8637" i="26"/>
  <c r="H8636" i="26"/>
  <c r="H8635" i="26"/>
  <c r="H8634" i="26"/>
  <c r="H8633" i="26"/>
  <c r="H8632" i="26"/>
  <c r="H8631" i="26"/>
  <c r="H8630" i="26"/>
  <c r="H8629" i="26"/>
  <c r="H8628" i="26"/>
  <c r="H8627" i="26"/>
  <c r="H8626" i="26"/>
  <c r="H8625" i="26"/>
  <c r="H8624" i="26"/>
  <c r="H8623" i="26"/>
  <c r="H8622" i="26"/>
  <c r="H8621" i="26"/>
  <c r="H8620" i="26"/>
  <c r="H8619" i="26"/>
  <c r="H8618" i="26"/>
  <c r="H8617" i="26"/>
  <c r="H8616" i="26"/>
  <c r="H8615" i="26"/>
  <c r="H8614" i="26"/>
  <c r="H8613" i="26"/>
  <c r="H8612" i="26"/>
  <c r="H8611" i="26"/>
  <c r="H8610" i="26"/>
  <c r="H8609" i="26"/>
  <c r="H8608" i="26"/>
  <c r="H8607" i="26"/>
  <c r="H8606" i="26"/>
  <c r="H8605" i="26"/>
  <c r="H8604" i="26"/>
  <c r="H8603" i="26"/>
  <c r="H8602" i="26"/>
  <c r="H8601" i="26"/>
  <c r="H8600" i="26"/>
  <c r="H8599" i="26"/>
  <c r="H8598" i="26"/>
  <c r="H8597" i="26"/>
  <c r="H8596" i="26"/>
  <c r="H8595" i="26"/>
  <c r="H8594" i="26"/>
  <c r="H8593" i="26"/>
  <c r="H8592" i="26"/>
  <c r="H8591" i="26"/>
  <c r="H8590" i="26"/>
  <c r="H8589" i="26"/>
  <c r="H8588" i="26"/>
  <c r="H8587" i="26"/>
  <c r="H8586" i="26"/>
  <c r="H8585" i="26"/>
  <c r="H8584" i="26"/>
  <c r="H8583" i="26"/>
  <c r="H8582" i="26"/>
  <c r="H8581" i="26"/>
  <c r="H8580" i="26"/>
  <c r="H8579" i="26"/>
  <c r="H8578" i="26"/>
  <c r="H8577" i="26"/>
  <c r="H8576" i="26"/>
  <c r="H8575" i="26"/>
  <c r="H8574" i="26"/>
  <c r="H8573" i="26"/>
  <c r="H8572" i="26"/>
  <c r="H8571" i="26"/>
  <c r="H8570" i="26"/>
  <c r="H8569" i="26"/>
  <c r="H8568" i="26"/>
  <c r="H8567" i="26"/>
  <c r="H8566" i="26"/>
  <c r="H8565" i="26"/>
  <c r="H8564" i="26"/>
  <c r="H8563" i="26"/>
  <c r="H8562" i="26"/>
  <c r="H8561" i="26"/>
  <c r="H8560" i="26"/>
  <c r="H8559" i="26"/>
  <c r="H8558" i="26"/>
  <c r="H8557" i="26"/>
  <c r="H8556" i="26"/>
  <c r="H8555" i="26"/>
  <c r="H8554" i="26"/>
  <c r="H8553" i="26"/>
  <c r="H8552" i="26"/>
  <c r="H8551" i="26"/>
  <c r="H8550" i="26"/>
  <c r="H8549" i="26"/>
  <c r="H8548" i="26"/>
  <c r="H8547" i="26"/>
  <c r="H8546" i="26"/>
  <c r="H8545" i="26"/>
  <c r="H8544" i="26"/>
  <c r="H8543" i="26"/>
  <c r="H8542" i="26"/>
  <c r="H8541" i="26"/>
  <c r="H8540" i="26"/>
  <c r="H8539" i="26"/>
  <c r="H8538" i="26"/>
  <c r="H8537" i="26"/>
  <c r="H8536" i="26"/>
  <c r="H8535" i="26"/>
  <c r="H8534" i="26"/>
  <c r="H8533" i="26"/>
  <c r="H8532" i="26"/>
  <c r="H8531" i="26"/>
  <c r="H8530" i="26"/>
  <c r="H8529" i="26"/>
  <c r="H8528" i="26"/>
  <c r="H8527" i="26"/>
  <c r="H8526" i="26"/>
  <c r="H8525" i="26"/>
  <c r="H8524" i="26"/>
  <c r="H8523" i="26"/>
  <c r="H8522" i="26"/>
  <c r="H8521" i="26"/>
  <c r="H8520" i="26"/>
  <c r="H8519" i="26"/>
  <c r="H8518" i="26"/>
  <c r="H8517" i="26"/>
  <c r="H8516" i="26"/>
  <c r="H8515" i="26"/>
  <c r="H8514" i="26"/>
  <c r="H8513" i="26"/>
  <c r="H8512" i="26"/>
  <c r="H8511" i="26"/>
  <c r="H8510" i="26"/>
  <c r="H8509" i="26"/>
  <c r="H8508" i="26"/>
  <c r="H8507" i="26"/>
  <c r="H8506" i="26"/>
  <c r="H8505" i="26"/>
  <c r="H8504" i="26"/>
  <c r="H8503" i="26"/>
  <c r="H8502" i="26"/>
  <c r="H8501" i="26"/>
  <c r="H8500" i="26"/>
  <c r="H8499" i="26"/>
  <c r="H8498" i="26"/>
  <c r="H8497" i="26"/>
  <c r="H8496" i="26"/>
  <c r="H8495" i="26"/>
  <c r="H8494" i="26"/>
  <c r="H8493" i="26"/>
  <c r="H8492" i="26"/>
  <c r="H8491" i="26"/>
  <c r="H8490" i="26"/>
  <c r="H8489" i="26"/>
  <c r="H8488" i="26"/>
  <c r="H8487" i="26"/>
  <c r="H8486" i="26"/>
  <c r="H8485" i="26"/>
  <c r="H8484" i="26"/>
  <c r="H8483" i="26"/>
  <c r="H8482" i="26"/>
  <c r="H8481" i="26"/>
  <c r="H8480" i="26"/>
  <c r="H8479" i="26"/>
  <c r="H8478" i="26"/>
  <c r="H8477" i="26"/>
  <c r="H8476" i="26"/>
  <c r="H8475" i="26"/>
  <c r="H8474" i="26"/>
  <c r="H8473" i="26"/>
  <c r="H8472" i="26"/>
  <c r="H8471" i="26"/>
  <c r="H8470" i="26"/>
  <c r="H8469" i="26"/>
  <c r="H8468" i="26"/>
  <c r="H8467" i="26"/>
  <c r="H8466" i="26"/>
  <c r="H8465" i="26"/>
  <c r="H8464" i="26"/>
  <c r="H8463" i="26"/>
  <c r="H8462" i="26"/>
  <c r="H8461" i="26"/>
  <c r="H8460" i="26"/>
  <c r="H8459" i="26"/>
  <c r="H8458" i="26"/>
  <c r="H8457" i="26"/>
  <c r="H8456" i="26"/>
  <c r="H8455" i="26"/>
  <c r="H8454" i="26"/>
  <c r="H8453" i="26"/>
  <c r="H8452" i="26"/>
  <c r="H8451" i="26"/>
  <c r="H8450" i="26"/>
  <c r="H8449" i="26"/>
  <c r="H8448" i="26"/>
  <c r="H8447" i="26"/>
  <c r="H8446" i="26"/>
  <c r="H8445" i="26"/>
  <c r="H8444" i="26"/>
  <c r="H8443" i="26"/>
  <c r="H8442" i="26"/>
  <c r="H8441" i="26"/>
  <c r="H8440" i="26"/>
  <c r="H8439" i="26"/>
  <c r="H8438" i="26"/>
  <c r="H8437" i="26"/>
  <c r="H8436" i="26"/>
  <c r="H8435" i="26"/>
  <c r="H8434" i="26"/>
  <c r="H8433" i="26"/>
  <c r="H8432" i="26"/>
  <c r="H8431" i="26"/>
  <c r="H8430" i="26"/>
  <c r="H8429" i="26"/>
  <c r="H8428" i="26"/>
  <c r="H8427" i="26"/>
  <c r="H8426" i="26"/>
  <c r="H8425" i="26"/>
  <c r="H8424" i="26"/>
  <c r="H8423" i="26"/>
  <c r="H8422" i="26"/>
  <c r="H8421" i="26"/>
  <c r="H8420" i="26"/>
  <c r="H8419" i="26"/>
  <c r="H8418" i="26"/>
  <c r="H8417" i="26"/>
  <c r="H8416" i="26"/>
  <c r="H8415" i="26"/>
  <c r="H8414" i="26"/>
  <c r="H8413" i="26"/>
  <c r="H8412" i="26"/>
  <c r="H8411" i="26"/>
  <c r="H8410" i="26"/>
  <c r="H8409" i="26"/>
  <c r="H8408" i="26"/>
  <c r="H8407" i="26"/>
  <c r="H8406" i="26"/>
  <c r="H8405" i="26"/>
  <c r="H8404" i="26"/>
  <c r="H8403" i="26"/>
  <c r="H8402" i="26"/>
  <c r="H8401" i="26"/>
  <c r="H8400" i="26"/>
  <c r="H8399" i="26"/>
  <c r="H8398" i="26"/>
  <c r="H8397" i="26"/>
  <c r="H8396" i="26"/>
  <c r="H8395" i="26"/>
  <c r="H8394" i="26"/>
  <c r="H8393" i="26"/>
  <c r="H8392" i="26"/>
  <c r="H8391" i="26"/>
  <c r="H8390" i="26"/>
  <c r="H8389" i="26"/>
  <c r="H8388" i="26"/>
  <c r="H8387" i="26"/>
  <c r="H8386" i="26"/>
  <c r="H8385" i="26"/>
  <c r="H8384" i="26"/>
  <c r="H8383" i="26"/>
  <c r="H8382" i="26"/>
  <c r="H8381" i="26"/>
  <c r="H8380" i="26"/>
  <c r="H8379" i="26"/>
  <c r="H8378" i="26"/>
  <c r="H8377" i="26"/>
  <c r="H8376" i="26"/>
  <c r="H8375" i="26"/>
  <c r="H8374" i="26"/>
  <c r="H8373" i="26"/>
  <c r="H8372" i="26"/>
  <c r="H8371" i="26"/>
  <c r="H8370" i="26"/>
  <c r="H8369" i="26"/>
  <c r="H8368" i="26"/>
  <c r="H8367" i="26"/>
  <c r="H8366" i="26"/>
  <c r="H8365" i="26"/>
  <c r="H8364" i="26"/>
  <c r="H8363" i="26"/>
  <c r="H8362" i="26"/>
  <c r="H8361" i="26"/>
  <c r="H8360" i="26"/>
  <c r="H8359" i="26"/>
  <c r="H8358" i="26"/>
  <c r="H8357" i="26"/>
  <c r="H8356" i="26"/>
  <c r="H8355" i="26"/>
  <c r="H8354" i="26"/>
  <c r="H8353" i="26"/>
  <c r="H8352" i="26"/>
  <c r="H8351" i="26"/>
  <c r="H8350" i="26"/>
  <c r="H8349" i="26"/>
  <c r="H8348" i="26"/>
  <c r="H8347" i="26"/>
  <c r="H8346" i="26"/>
  <c r="H8345" i="26"/>
  <c r="H8344" i="26"/>
  <c r="H8343" i="26"/>
  <c r="H8342" i="26"/>
  <c r="H8341" i="26"/>
  <c r="H8340" i="26"/>
  <c r="H8339" i="26"/>
  <c r="H8338" i="26"/>
  <c r="H8337" i="26"/>
  <c r="H8336" i="26"/>
  <c r="H8335" i="26"/>
  <c r="H8334" i="26"/>
  <c r="H8333" i="26"/>
  <c r="H8332" i="26"/>
  <c r="H8331" i="26"/>
  <c r="H8330" i="26"/>
  <c r="H8329" i="26"/>
  <c r="H8328" i="26"/>
  <c r="H8327" i="26"/>
  <c r="H8326" i="26"/>
  <c r="H8325" i="26"/>
  <c r="H8324" i="26"/>
  <c r="H8323" i="26"/>
  <c r="H8322" i="26"/>
  <c r="H8321" i="26"/>
  <c r="H8320" i="26"/>
  <c r="H8319" i="26"/>
  <c r="H8318" i="26"/>
  <c r="H8317" i="26"/>
  <c r="H8316" i="26"/>
  <c r="H8315" i="26"/>
  <c r="H8314" i="26"/>
  <c r="H8313" i="26"/>
  <c r="H8312" i="26"/>
  <c r="H8311" i="26"/>
  <c r="H8310" i="26"/>
  <c r="H8309" i="26"/>
  <c r="H8308" i="26"/>
  <c r="H8307" i="26"/>
  <c r="H8306" i="26"/>
  <c r="H8305" i="26"/>
  <c r="H8304" i="26"/>
  <c r="H8303" i="26"/>
  <c r="H8302" i="26"/>
  <c r="H8301" i="26"/>
  <c r="H8300" i="26"/>
  <c r="H8299" i="26"/>
  <c r="H8298" i="26"/>
  <c r="H8297" i="26"/>
  <c r="H8296" i="26"/>
  <c r="H8295" i="26"/>
  <c r="H8294" i="26"/>
  <c r="H8293" i="26"/>
  <c r="H8292" i="26"/>
  <c r="H8291" i="26"/>
  <c r="H8290" i="26"/>
  <c r="H8289" i="26"/>
  <c r="H8288" i="26"/>
  <c r="H8287" i="26"/>
  <c r="H8286" i="26"/>
  <c r="H8285" i="26"/>
  <c r="H8284" i="26"/>
  <c r="H8283" i="26"/>
  <c r="H8282" i="26"/>
  <c r="H8281" i="26"/>
  <c r="H8280" i="26"/>
  <c r="H8279" i="26"/>
  <c r="H8278" i="26"/>
  <c r="H8277" i="26"/>
  <c r="H8276" i="26"/>
  <c r="H8275" i="26"/>
  <c r="H8274" i="26"/>
  <c r="H8273" i="26"/>
  <c r="H8272" i="26"/>
  <c r="H8271" i="26"/>
  <c r="H8270" i="26"/>
  <c r="H8269" i="26"/>
  <c r="H8268" i="26"/>
  <c r="H8267" i="26"/>
  <c r="H8266" i="26"/>
  <c r="H8265" i="26"/>
  <c r="H8264" i="26"/>
  <c r="H8263" i="26"/>
  <c r="H8262" i="26"/>
  <c r="H8261" i="26"/>
  <c r="H8260" i="26"/>
  <c r="H8259" i="26"/>
  <c r="H8258" i="26"/>
  <c r="H8257" i="26"/>
  <c r="H8256" i="26"/>
  <c r="H8255" i="26"/>
  <c r="H8254" i="26"/>
  <c r="H8253" i="26"/>
  <c r="H8252" i="26"/>
  <c r="H8251" i="26"/>
  <c r="H8250" i="26"/>
  <c r="H8249" i="26"/>
  <c r="H8248" i="26"/>
  <c r="H8247" i="26"/>
  <c r="H8246" i="26"/>
  <c r="H8245" i="26"/>
  <c r="H8244" i="26"/>
  <c r="H8243" i="26"/>
  <c r="H8242" i="26"/>
  <c r="H8241" i="26"/>
  <c r="H8240" i="26"/>
  <c r="H8239" i="26"/>
  <c r="H8238" i="26"/>
  <c r="H8237" i="26"/>
  <c r="H8236" i="26"/>
  <c r="H8235" i="26"/>
  <c r="H8234" i="26"/>
  <c r="H8233" i="26"/>
  <c r="H8232" i="26"/>
  <c r="H8231" i="26"/>
  <c r="H8230" i="26"/>
  <c r="H8229" i="26"/>
  <c r="H8228" i="26"/>
  <c r="H8227" i="26"/>
  <c r="H8226" i="26"/>
  <c r="H8225" i="26"/>
  <c r="H8224" i="26"/>
  <c r="H8223" i="26"/>
  <c r="H8222" i="26"/>
  <c r="H8221" i="26"/>
  <c r="H8220" i="26"/>
  <c r="H8219" i="26"/>
  <c r="H8218" i="26"/>
  <c r="H8217" i="26"/>
  <c r="H8216" i="26"/>
  <c r="H8215" i="26"/>
  <c r="H8214" i="26"/>
  <c r="H8213" i="26"/>
  <c r="H8212" i="26"/>
  <c r="H8211" i="26"/>
  <c r="H8210" i="26"/>
  <c r="H8209" i="26"/>
  <c r="H8208" i="26"/>
  <c r="H8207" i="26"/>
  <c r="H8206" i="26"/>
  <c r="H8205" i="26"/>
  <c r="H8204" i="26"/>
  <c r="H8203" i="26"/>
  <c r="H8202" i="26"/>
  <c r="H8201" i="26"/>
  <c r="H8200" i="26"/>
  <c r="H8199" i="26"/>
  <c r="H8198" i="26"/>
  <c r="H8197" i="26"/>
  <c r="H8196" i="26"/>
  <c r="H8195" i="26"/>
  <c r="H8194" i="26"/>
  <c r="H8193" i="26"/>
  <c r="H8192" i="26"/>
  <c r="H8191" i="26"/>
  <c r="H8190" i="26"/>
  <c r="H8189" i="26"/>
  <c r="H8188" i="26"/>
  <c r="H8187" i="26"/>
  <c r="H8186" i="26"/>
  <c r="H8185" i="26"/>
  <c r="H8184" i="26"/>
  <c r="H8183" i="26"/>
  <c r="H8182" i="26"/>
  <c r="H8181" i="26"/>
  <c r="H8180" i="26"/>
  <c r="H8179" i="26"/>
  <c r="H8178" i="26"/>
  <c r="H8177" i="26"/>
  <c r="H8176" i="26"/>
  <c r="H8175" i="26"/>
  <c r="H8174" i="26"/>
  <c r="H8173" i="26"/>
  <c r="H8172" i="26"/>
  <c r="H8171" i="26"/>
  <c r="H8170" i="26"/>
  <c r="H8169" i="26"/>
  <c r="H8168" i="26"/>
  <c r="H8167" i="26"/>
  <c r="H8166" i="26"/>
  <c r="H8165" i="26"/>
  <c r="H8164" i="26"/>
  <c r="H8163" i="26"/>
  <c r="H8162" i="26"/>
  <c r="H8161" i="26"/>
  <c r="H8160" i="26"/>
  <c r="H8159" i="26"/>
  <c r="H8158" i="26"/>
  <c r="H8157" i="26"/>
  <c r="H8156" i="26"/>
  <c r="H8155" i="26"/>
  <c r="H8154" i="26"/>
  <c r="H8153" i="26"/>
  <c r="H8152" i="26"/>
  <c r="H8151" i="26"/>
  <c r="H8150" i="26"/>
  <c r="H8149" i="26"/>
  <c r="H8148" i="26"/>
  <c r="H8147" i="26"/>
  <c r="H8146" i="26"/>
  <c r="H8145" i="26"/>
  <c r="H8144" i="26"/>
  <c r="H8143" i="26"/>
  <c r="H8142" i="26"/>
  <c r="H8141" i="26"/>
  <c r="H8140" i="26"/>
  <c r="H8139" i="26"/>
  <c r="H8138" i="26"/>
  <c r="H8137" i="26"/>
  <c r="H8136" i="26"/>
  <c r="H8135" i="26"/>
  <c r="H8134" i="26"/>
  <c r="H8133" i="26"/>
  <c r="H8132" i="26"/>
  <c r="H8131" i="26"/>
  <c r="H8130" i="26"/>
  <c r="H8129" i="26"/>
  <c r="H8128" i="26"/>
  <c r="H8127" i="26"/>
  <c r="H8126" i="26"/>
  <c r="H8125" i="26"/>
  <c r="H8124" i="26"/>
  <c r="H8123" i="26"/>
  <c r="H8122" i="26"/>
  <c r="H8121" i="26"/>
  <c r="H8120" i="26"/>
  <c r="H8119" i="26"/>
  <c r="H8118" i="26"/>
  <c r="H8117" i="26"/>
  <c r="H8116" i="26"/>
  <c r="H8115" i="26"/>
  <c r="H8114" i="26"/>
  <c r="H8113" i="26"/>
  <c r="H8112" i="26"/>
  <c r="H8111" i="26"/>
  <c r="H8110" i="26"/>
  <c r="H8109" i="26"/>
  <c r="H8108" i="26"/>
  <c r="H8107" i="26"/>
  <c r="H8106" i="26"/>
  <c r="H8105" i="26"/>
  <c r="H8104" i="26"/>
  <c r="H8103" i="26"/>
  <c r="H8102" i="26"/>
  <c r="H8101" i="26"/>
  <c r="H8100" i="26"/>
  <c r="H8099" i="26"/>
  <c r="H8098" i="26"/>
  <c r="H8097" i="26"/>
  <c r="H8096" i="26"/>
  <c r="H8095" i="26"/>
  <c r="H8094" i="26"/>
  <c r="H8093" i="26"/>
  <c r="H8092" i="26"/>
  <c r="H8091" i="26"/>
  <c r="H8090" i="26"/>
  <c r="H8089" i="26"/>
  <c r="H8088" i="26"/>
  <c r="H8087" i="26"/>
  <c r="H8086" i="26"/>
  <c r="H8085" i="26"/>
  <c r="H8084" i="26"/>
  <c r="H8083" i="26"/>
  <c r="H8082" i="26"/>
  <c r="H8081" i="26"/>
  <c r="H8080" i="26"/>
  <c r="H8079" i="26"/>
  <c r="H8078" i="26"/>
  <c r="H8077" i="26"/>
  <c r="H8076" i="26"/>
  <c r="H8075" i="26"/>
  <c r="H8074" i="26"/>
  <c r="H8073" i="26"/>
  <c r="H8072" i="26"/>
  <c r="H8071" i="26"/>
  <c r="H8070" i="26"/>
  <c r="H8069" i="26"/>
  <c r="H8068" i="26"/>
  <c r="H8067" i="26"/>
  <c r="H8066" i="26"/>
  <c r="H8065" i="26"/>
  <c r="H8064" i="26"/>
  <c r="H8063" i="26"/>
  <c r="H8062" i="26"/>
  <c r="H8061" i="26"/>
  <c r="H8060" i="26"/>
  <c r="H8059" i="26"/>
  <c r="H8058" i="26"/>
  <c r="H8057" i="26"/>
  <c r="H8056" i="26"/>
  <c r="H8055" i="26"/>
  <c r="H8054" i="26"/>
  <c r="H8053" i="26"/>
  <c r="H8052" i="26"/>
  <c r="H8051" i="26"/>
  <c r="H8050" i="26"/>
  <c r="H8049" i="26"/>
  <c r="H8048" i="26"/>
  <c r="H8047" i="26"/>
  <c r="H8046" i="26"/>
  <c r="H8045" i="26"/>
  <c r="H8044" i="26"/>
  <c r="H8043" i="26"/>
  <c r="H8042" i="26"/>
  <c r="H8041" i="26"/>
  <c r="H8040" i="26"/>
  <c r="H8039" i="26"/>
  <c r="H8038" i="26"/>
  <c r="H8037" i="26"/>
  <c r="H8036" i="26"/>
  <c r="H8035" i="26"/>
  <c r="H8034" i="26"/>
  <c r="H8033" i="26"/>
  <c r="H8032" i="26"/>
  <c r="H8031" i="26"/>
  <c r="H8030" i="26"/>
  <c r="H8029" i="26"/>
  <c r="H8028" i="26"/>
  <c r="H8027" i="26"/>
  <c r="H8026" i="26"/>
  <c r="H8025" i="26"/>
  <c r="H8024" i="26"/>
  <c r="H8023" i="26"/>
  <c r="H8022" i="26"/>
  <c r="H8021" i="26"/>
  <c r="H8020" i="26"/>
  <c r="H8019" i="26"/>
  <c r="H8018" i="26"/>
  <c r="H8017" i="26"/>
  <c r="H8016" i="26"/>
  <c r="H8015" i="26"/>
  <c r="H8014" i="26"/>
  <c r="H8013" i="26"/>
  <c r="H8012" i="26"/>
  <c r="H8011" i="26"/>
  <c r="H8010" i="26"/>
  <c r="H8009" i="26"/>
  <c r="H8008" i="26"/>
  <c r="H8007" i="26"/>
  <c r="H8006" i="26"/>
  <c r="H8005" i="26"/>
  <c r="H8004" i="26"/>
  <c r="H8003" i="26"/>
  <c r="H8002" i="26"/>
  <c r="H8001" i="26"/>
  <c r="H8000" i="26"/>
  <c r="H7999" i="26"/>
  <c r="H7998" i="26"/>
  <c r="H7997" i="26"/>
  <c r="H7996" i="26"/>
  <c r="H7995" i="26"/>
  <c r="H7994" i="26"/>
  <c r="H7993" i="26"/>
  <c r="H7992" i="26"/>
  <c r="H7991" i="26"/>
  <c r="H7990" i="26"/>
  <c r="H7989" i="26"/>
  <c r="H7988" i="26"/>
  <c r="H7987" i="26"/>
  <c r="H7986" i="26"/>
  <c r="H7985" i="26"/>
  <c r="H7984" i="26"/>
  <c r="H7983" i="26"/>
  <c r="H7982" i="26"/>
  <c r="H7981" i="26"/>
  <c r="H7980" i="26"/>
  <c r="H7979" i="26"/>
  <c r="H7978" i="26"/>
  <c r="H7977" i="26"/>
  <c r="H7976" i="26"/>
  <c r="H7975" i="26"/>
  <c r="H7974" i="26"/>
  <c r="H7973" i="26"/>
  <c r="H7972" i="26"/>
  <c r="H7971" i="26"/>
  <c r="H7970" i="26"/>
  <c r="H7969" i="26"/>
  <c r="H7968" i="26"/>
  <c r="H7967" i="26"/>
  <c r="H7966" i="26"/>
  <c r="H7965" i="26"/>
  <c r="H7964" i="26"/>
  <c r="H7963" i="26"/>
  <c r="H7962" i="26"/>
  <c r="H7961" i="26"/>
  <c r="H7960" i="26"/>
  <c r="H7959" i="26"/>
  <c r="H7958" i="26"/>
  <c r="H7957" i="26"/>
  <c r="H7956" i="26"/>
  <c r="H7955" i="26"/>
  <c r="H7954" i="26"/>
  <c r="H7953" i="26"/>
  <c r="H7952" i="26"/>
  <c r="H7951" i="26"/>
  <c r="H7950" i="26"/>
  <c r="H7949" i="26"/>
  <c r="H7948" i="26"/>
  <c r="H7947" i="26"/>
  <c r="H7946" i="26"/>
  <c r="H7945" i="26"/>
  <c r="H7944" i="26"/>
  <c r="H7943" i="26"/>
  <c r="H7942" i="26"/>
  <c r="H7941" i="26"/>
  <c r="H7940" i="26"/>
  <c r="H7939" i="26"/>
  <c r="H7938" i="26"/>
  <c r="H7937" i="26"/>
  <c r="H7936" i="26"/>
  <c r="H7935" i="26"/>
  <c r="H7934" i="26"/>
  <c r="H7933" i="26"/>
  <c r="H7932" i="26"/>
  <c r="H7931" i="26"/>
  <c r="H7930" i="26"/>
  <c r="H7929" i="26"/>
  <c r="H7928" i="26"/>
  <c r="H7927" i="26"/>
  <c r="H7926" i="26"/>
  <c r="H7925" i="26"/>
  <c r="H7924" i="26"/>
  <c r="H7923" i="26"/>
  <c r="H7922" i="26"/>
  <c r="H7921" i="26"/>
  <c r="H7920" i="26"/>
  <c r="H7919" i="26"/>
  <c r="H7918" i="26"/>
  <c r="H7917" i="26"/>
  <c r="H7916" i="26"/>
  <c r="H7915" i="26"/>
  <c r="H7914" i="26"/>
  <c r="H7913" i="26"/>
  <c r="H7912" i="26"/>
  <c r="H7911" i="26"/>
  <c r="H7910" i="26"/>
  <c r="H7909" i="26"/>
  <c r="H7908" i="26"/>
  <c r="H7907" i="26"/>
  <c r="H7906" i="26"/>
  <c r="H7905" i="26"/>
  <c r="H7904" i="26"/>
  <c r="H7903" i="26"/>
  <c r="H7902" i="26"/>
  <c r="H7901" i="26"/>
  <c r="H7900" i="26"/>
  <c r="H7899" i="26"/>
  <c r="H7898" i="26"/>
  <c r="H7897" i="26"/>
  <c r="H7896" i="26"/>
  <c r="H7895" i="26"/>
  <c r="H7894" i="26"/>
  <c r="H7893" i="26"/>
  <c r="H7892" i="26"/>
  <c r="H7891" i="26"/>
  <c r="H7890" i="26"/>
  <c r="H7889" i="26"/>
  <c r="H7888" i="26"/>
  <c r="H7887" i="26"/>
  <c r="H7886" i="26"/>
  <c r="H7885" i="26"/>
  <c r="H7884" i="26"/>
  <c r="H7883" i="26"/>
  <c r="H7882" i="26"/>
  <c r="H7881" i="26"/>
  <c r="H7880" i="26"/>
  <c r="H7879" i="26"/>
  <c r="H7878" i="26"/>
  <c r="H7877" i="26"/>
  <c r="H7876" i="26"/>
  <c r="H7875" i="26"/>
  <c r="H7874" i="26"/>
  <c r="H7873" i="26"/>
  <c r="H7872" i="26"/>
  <c r="H7871" i="26"/>
  <c r="H7870" i="26"/>
  <c r="H7869" i="26"/>
  <c r="H7868" i="26"/>
  <c r="H7867" i="26"/>
  <c r="H7866" i="26"/>
  <c r="H7865" i="26"/>
  <c r="H7864" i="26"/>
  <c r="H7863" i="26"/>
  <c r="H7862" i="26"/>
  <c r="H7861" i="26"/>
  <c r="H7860" i="26"/>
  <c r="H7859" i="26"/>
  <c r="H7858" i="26"/>
  <c r="H7857" i="26"/>
  <c r="H7856" i="26"/>
  <c r="H7855" i="26"/>
  <c r="H7854" i="26"/>
  <c r="H7853" i="26"/>
  <c r="H7852" i="26"/>
  <c r="H7851" i="26"/>
  <c r="H7850" i="26"/>
  <c r="H7849" i="26"/>
  <c r="H7848" i="26"/>
  <c r="H7847" i="26"/>
  <c r="H7846" i="26"/>
  <c r="H7845" i="26"/>
  <c r="H7844" i="26"/>
  <c r="H7843" i="26"/>
  <c r="H7842" i="26"/>
  <c r="H7841" i="26"/>
  <c r="H7840" i="26"/>
  <c r="H7839" i="26"/>
  <c r="H7838" i="26"/>
  <c r="H7837" i="26"/>
  <c r="H7836" i="26"/>
  <c r="H7835" i="26"/>
  <c r="H7834" i="26"/>
  <c r="H7833" i="26"/>
  <c r="H7832" i="26"/>
  <c r="H7831" i="26"/>
  <c r="H7830" i="26"/>
  <c r="H7829" i="26"/>
  <c r="H7828" i="26"/>
  <c r="H7827" i="26"/>
  <c r="H7826" i="26"/>
  <c r="H7825" i="26"/>
  <c r="H7824" i="26"/>
  <c r="H7823" i="26"/>
  <c r="H7822" i="26"/>
  <c r="H7821" i="26"/>
  <c r="H7820" i="26"/>
  <c r="H7819" i="26"/>
  <c r="H7818" i="26"/>
  <c r="H7817" i="26"/>
  <c r="H7816" i="26"/>
  <c r="H7815" i="26"/>
  <c r="H7814" i="26"/>
  <c r="H7813" i="26"/>
  <c r="H7812" i="26"/>
  <c r="H7811" i="26"/>
  <c r="H7810" i="26"/>
  <c r="H7809" i="26"/>
  <c r="H7808" i="26"/>
  <c r="H7807" i="26"/>
  <c r="H7806" i="26"/>
  <c r="H7805" i="26"/>
  <c r="H7804" i="26"/>
  <c r="H7803" i="26"/>
  <c r="H7802" i="26"/>
  <c r="H7801" i="26"/>
  <c r="H7800" i="26"/>
  <c r="H7799" i="26"/>
  <c r="H7798" i="26"/>
  <c r="H7797" i="26"/>
  <c r="H7796" i="26"/>
  <c r="H7795" i="26"/>
  <c r="H7794" i="26"/>
  <c r="H7793" i="26"/>
  <c r="H7792" i="26"/>
  <c r="H7791" i="26"/>
  <c r="H7790" i="26"/>
  <c r="H7789" i="26"/>
  <c r="H7788" i="26"/>
  <c r="H7787" i="26"/>
  <c r="H7786" i="26"/>
  <c r="H7785" i="26"/>
  <c r="H7784" i="26"/>
  <c r="H7783" i="26"/>
  <c r="H7782" i="26"/>
  <c r="H7781" i="26"/>
  <c r="H7780" i="26"/>
  <c r="H7779" i="26"/>
  <c r="H7778" i="26"/>
  <c r="H7777" i="26"/>
  <c r="H7776" i="26"/>
  <c r="H7775" i="26"/>
  <c r="H7774" i="26"/>
  <c r="H7773" i="26"/>
  <c r="H7772" i="26"/>
  <c r="H7771" i="26"/>
  <c r="H7770" i="26"/>
  <c r="H7769" i="26"/>
  <c r="H7768" i="26"/>
  <c r="H7767" i="26"/>
  <c r="H7766" i="26"/>
  <c r="H7765" i="26"/>
  <c r="H7764" i="26"/>
  <c r="H7763" i="26"/>
  <c r="H7762" i="26"/>
  <c r="H7761" i="26"/>
  <c r="H7760" i="26"/>
  <c r="H7759" i="26"/>
  <c r="H7758" i="26"/>
  <c r="H7757" i="26"/>
  <c r="H7756" i="26"/>
  <c r="H7755" i="26"/>
  <c r="H7754" i="26"/>
  <c r="H7753" i="26"/>
  <c r="H7752" i="26"/>
  <c r="H7751" i="26"/>
  <c r="H7750" i="26"/>
  <c r="H7749" i="26"/>
  <c r="H7748" i="26"/>
  <c r="H7747" i="26"/>
  <c r="H7746" i="26"/>
  <c r="H7745" i="26"/>
  <c r="H7744" i="26"/>
  <c r="H7743" i="26"/>
  <c r="H7742" i="26"/>
  <c r="H7741" i="26"/>
  <c r="H7740" i="26"/>
  <c r="H7739" i="26"/>
  <c r="H7738" i="26"/>
  <c r="H7737" i="26"/>
  <c r="H7736" i="26"/>
  <c r="H7735" i="26"/>
  <c r="H7734" i="26"/>
  <c r="H7733" i="26"/>
  <c r="H7732" i="26"/>
  <c r="H7731" i="26"/>
  <c r="H7730" i="26"/>
  <c r="H7729" i="26"/>
  <c r="H7728" i="26"/>
  <c r="H7727" i="26"/>
  <c r="H7726" i="26"/>
  <c r="H7725" i="26"/>
  <c r="H7724" i="26"/>
  <c r="H7723" i="26"/>
  <c r="H7722" i="26"/>
  <c r="H7721" i="26"/>
  <c r="H7720" i="26"/>
  <c r="H7719" i="26"/>
  <c r="H7718" i="26"/>
  <c r="H7717" i="26"/>
  <c r="H7716" i="26"/>
  <c r="H7715" i="26"/>
  <c r="H7714" i="26"/>
  <c r="H7713" i="26"/>
  <c r="H7712" i="26"/>
  <c r="H7711" i="26"/>
  <c r="H7710" i="26"/>
  <c r="H7709" i="26"/>
  <c r="H7708" i="26"/>
  <c r="H7707" i="26"/>
  <c r="H7706" i="26"/>
  <c r="H7705" i="26"/>
  <c r="H7704" i="26"/>
  <c r="H7703" i="26"/>
  <c r="H7702" i="26"/>
  <c r="H7701" i="26"/>
  <c r="H7700" i="26"/>
  <c r="H7699" i="26"/>
  <c r="H7698" i="26"/>
  <c r="H7697" i="26"/>
  <c r="H7696" i="26"/>
  <c r="H7695" i="26"/>
  <c r="H7694" i="26"/>
  <c r="H7693" i="26"/>
  <c r="H7692" i="26"/>
  <c r="H7691" i="26"/>
  <c r="H7690" i="26"/>
  <c r="H7689" i="26"/>
  <c r="H7688" i="26"/>
  <c r="H7687" i="26"/>
  <c r="H7686" i="26"/>
  <c r="H7685" i="26"/>
  <c r="H7684" i="26"/>
  <c r="H7683" i="26"/>
  <c r="H7682" i="26"/>
  <c r="H7681" i="26"/>
  <c r="H7680" i="26"/>
  <c r="H7679" i="26"/>
  <c r="H7678" i="26"/>
  <c r="H7677" i="26"/>
  <c r="H7676" i="26"/>
  <c r="H7675" i="26"/>
  <c r="H7674" i="26"/>
  <c r="H7673" i="26"/>
  <c r="H7672" i="26"/>
  <c r="H7671" i="26"/>
  <c r="H7670" i="26"/>
  <c r="H7669" i="26"/>
  <c r="H7668" i="26"/>
  <c r="H7667" i="26"/>
  <c r="H7666" i="26"/>
  <c r="H7665" i="26"/>
  <c r="H7664" i="26"/>
  <c r="H7663" i="26"/>
  <c r="H7662" i="26"/>
  <c r="H7661" i="26"/>
  <c r="H7660" i="26"/>
  <c r="H7659" i="26"/>
  <c r="H7658" i="26"/>
  <c r="H7657" i="26"/>
  <c r="H7656" i="26"/>
  <c r="H7655" i="26"/>
  <c r="H7654" i="26"/>
  <c r="H7653" i="26"/>
  <c r="H7652" i="26"/>
  <c r="H7651" i="26"/>
  <c r="H7650" i="26"/>
  <c r="H7649" i="26"/>
  <c r="H7648" i="26"/>
  <c r="H7647" i="26"/>
  <c r="H7646" i="26"/>
  <c r="H7645" i="26"/>
  <c r="H7644" i="26"/>
  <c r="H7643" i="26"/>
  <c r="H7642" i="26"/>
  <c r="H7641" i="26"/>
  <c r="H7640" i="26"/>
  <c r="H7639" i="26"/>
  <c r="H7638" i="26"/>
  <c r="H7637" i="26"/>
  <c r="H7636" i="26"/>
  <c r="H7635" i="26"/>
  <c r="H7634" i="26"/>
  <c r="H7633" i="26"/>
  <c r="H7632" i="26"/>
  <c r="H7631" i="26"/>
  <c r="H7630" i="26"/>
  <c r="H7629" i="26"/>
  <c r="H7628" i="26"/>
  <c r="H7627" i="26"/>
  <c r="H7626" i="26"/>
  <c r="H7625" i="26"/>
  <c r="H7624" i="26"/>
  <c r="H7623" i="26"/>
  <c r="H7622" i="26"/>
  <c r="H7621" i="26"/>
  <c r="H7620" i="26"/>
  <c r="H7619" i="26"/>
  <c r="H7618" i="26"/>
  <c r="H7617" i="26"/>
  <c r="H7616" i="26"/>
  <c r="H7615" i="26"/>
  <c r="H7614" i="26"/>
  <c r="H7613" i="26"/>
  <c r="H7612" i="26"/>
  <c r="H7611" i="26"/>
  <c r="H7610" i="26"/>
  <c r="H7609" i="26"/>
  <c r="H7608" i="26"/>
  <c r="H7607" i="26"/>
  <c r="H7606" i="26"/>
  <c r="H7605" i="26"/>
  <c r="H7604" i="26"/>
  <c r="H7603" i="26"/>
  <c r="H7602" i="26"/>
  <c r="H7601" i="26"/>
  <c r="H7600" i="26"/>
  <c r="H7599" i="26"/>
  <c r="H7598" i="26"/>
  <c r="H7597" i="26"/>
  <c r="H7596" i="26"/>
  <c r="H7595" i="26"/>
  <c r="H7594" i="26"/>
  <c r="H7593" i="26"/>
  <c r="H7592" i="26"/>
  <c r="H7591" i="26"/>
  <c r="H7590" i="26"/>
  <c r="H7589" i="26"/>
  <c r="H7588" i="26"/>
  <c r="H7587" i="26"/>
  <c r="H7586" i="26"/>
  <c r="H7585" i="26"/>
  <c r="H7584" i="26"/>
  <c r="H7583" i="26"/>
  <c r="H7582" i="26"/>
  <c r="H7581" i="26"/>
  <c r="H7580" i="26"/>
  <c r="H7579" i="26"/>
  <c r="H7578" i="26"/>
  <c r="H7577" i="26"/>
  <c r="H7576" i="26"/>
  <c r="H7575" i="26"/>
  <c r="H7574" i="26"/>
  <c r="H7573" i="26"/>
  <c r="H7572" i="26"/>
  <c r="H7571" i="26"/>
  <c r="H7570" i="26"/>
  <c r="H7569" i="26"/>
  <c r="H7568" i="26"/>
  <c r="H7567" i="26"/>
  <c r="H7566" i="26"/>
  <c r="H7565" i="26"/>
  <c r="H7564" i="26"/>
  <c r="H7563" i="26"/>
  <c r="H7562" i="26"/>
  <c r="H7561" i="26"/>
  <c r="H7560" i="26"/>
  <c r="H7559" i="26"/>
  <c r="H7558" i="26"/>
  <c r="H7557" i="26"/>
  <c r="H7556" i="26"/>
  <c r="H7555" i="26"/>
  <c r="H7554" i="26"/>
  <c r="H7553" i="26"/>
  <c r="H7552" i="26"/>
  <c r="H7551" i="26"/>
  <c r="H7550" i="26"/>
  <c r="H7549" i="26"/>
  <c r="H7548" i="26"/>
  <c r="H7547" i="26"/>
  <c r="H7546" i="26"/>
  <c r="H7545" i="26"/>
  <c r="H7544" i="26"/>
  <c r="H7543" i="26"/>
  <c r="H7542" i="26"/>
  <c r="H7541" i="26"/>
  <c r="H7540" i="26"/>
  <c r="H7539" i="26"/>
  <c r="H7538" i="26"/>
  <c r="H7537" i="26"/>
  <c r="H7536" i="26"/>
  <c r="H7535" i="26"/>
  <c r="H7534" i="26"/>
  <c r="H7533" i="26"/>
  <c r="H7532" i="26"/>
  <c r="H7531" i="26"/>
  <c r="H7530" i="26"/>
  <c r="H7529" i="26"/>
  <c r="H7528" i="26"/>
  <c r="H7527" i="26"/>
  <c r="H7526" i="26"/>
  <c r="H7525" i="26"/>
  <c r="H7524" i="26"/>
  <c r="H7523" i="26"/>
  <c r="H7522" i="26"/>
  <c r="H7521" i="26"/>
  <c r="H7520" i="26"/>
  <c r="H7519" i="26"/>
  <c r="H7518" i="26"/>
  <c r="H7517" i="26"/>
  <c r="H7516" i="26"/>
  <c r="H7515" i="26"/>
  <c r="H7514" i="26"/>
  <c r="H7513" i="26"/>
  <c r="H7512" i="26"/>
  <c r="H7511" i="26"/>
  <c r="H7510" i="26"/>
  <c r="H7509" i="26"/>
  <c r="H7508" i="26"/>
  <c r="H7507" i="26"/>
  <c r="H7506" i="26"/>
  <c r="H7505" i="26"/>
  <c r="H7504" i="26"/>
  <c r="H7503" i="26"/>
  <c r="H7502" i="26"/>
  <c r="H7501" i="26"/>
  <c r="H7500" i="26"/>
  <c r="H7499" i="26"/>
  <c r="H7498" i="26"/>
  <c r="H7497" i="26"/>
  <c r="H7496" i="26"/>
  <c r="H7495" i="26"/>
  <c r="H7494" i="26"/>
  <c r="H7493" i="26"/>
  <c r="H7492" i="26"/>
  <c r="H7491" i="26"/>
  <c r="H7490" i="26"/>
  <c r="H7489" i="26"/>
  <c r="H7488" i="26"/>
  <c r="H7487" i="26"/>
  <c r="H7486" i="26"/>
  <c r="H7485" i="26"/>
  <c r="H7484" i="26"/>
  <c r="H7483" i="26"/>
  <c r="H7482" i="26"/>
  <c r="H7481" i="26"/>
  <c r="H7480" i="26"/>
  <c r="H7479" i="26"/>
  <c r="H7478" i="26"/>
  <c r="H7477" i="26"/>
  <c r="H7476" i="26"/>
  <c r="H7475" i="26"/>
  <c r="H7474" i="26"/>
  <c r="H7473" i="26"/>
  <c r="H7472" i="26"/>
  <c r="H7471" i="26"/>
  <c r="H7470" i="26"/>
  <c r="H7469" i="26"/>
  <c r="H7468" i="26"/>
  <c r="H7467" i="26"/>
  <c r="H7466" i="26"/>
  <c r="H7465" i="26"/>
  <c r="H7464" i="26"/>
  <c r="H7463" i="26"/>
  <c r="H7462" i="26"/>
  <c r="H7461" i="26"/>
  <c r="H7460" i="26"/>
  <c r="H7459" i="26"/>
  <c r="H7458" i="26"/>
  <c r="H7457" i="26"/>
  <c r="H7456" i="26"/>
  <c r="H7455" i="26"/>
  <c r="H7454" i="26"/>
  <c r="H7453" i="26"/>
  <c r="H7452" i="26"/>
  <c r="H7451" i="26"/>
  <c r="H7450" i="26"/>
  <c r="H7449" i="26"/>
  <c r="H7448" i="26"/>
  <c r="H7447" i="26"/>
  <c r="H7446" i="26"/>
  <c r="H7445" i="26"/>
  <c r="H7444" i="26"/>
  <c r="H7443" i="26"/>
  <c r="H7442" i="26"/>
  <c r="H7441" i="26"/>
  <c r="H7440" i="26"/>
  <c r="H7439" i="26"/>
  <c r="H7438" i="26"/>
  <c r="H7437" i="26"/>
  <c r="H7436" i="26"/>
  <c r="H7435" i="26"/>
  <c r="H7434" i="26"/>
  <c r="H7433" i="26"/>
  <c r="H7432" i="26"/>
  <c r="H7431" i="26"/>
  <c r="H7430" i="26"/>
  <c r="H7429" i="26"/>
  <c r="H7428" i="26"/>
  <c r="H7427" i="26"/>
  <c r="H7426" i="26"/>
  <c r="H7425" i="26"/>
  <c r="H7424" i="26"/>
  <c r="H7423" i="26"/>
  <c r="H7422" i="26"/>
  <c r="H7421" i="26"/>
  <c r="H7420" i="26"/>
  <c r="H7419" i="26"/>
  <c r="H7418" i="26"/>
  <c r="H7417" i="26"/>
  <c r="H7416" i="26"/>
  <c r="H7415" i="26"/>
  <c r="H7414" i="26"/>
  <c r="H7413" i="26"/>
  <c r="H7412" i="26"/>
  <c r="H7411" i="26"/>
  <c r="H7410" i="26"/>
  <c r="H7409" i="26"/>
  <c r="H7408" i="26"/>
  <c r="H7407" i="26"/>
  <c r="H7406" i="26"/>
  <c r="H7405" i="26"/>
  <c r="H7404" i="26"/>
  <c r="H7403" i="26"/>
  <c r="H7402" i="26"/>
  <c r="H7401" i="26"/>
  <c r="H7400" i="26"/>
  <c r="H7399" i="26"/>
  <c r="H7398" i="26"/>
  <c r="H7397" i="26"/>
  <c r="H7396" i="26"/>
  <c r="H7395" i="26"/>
  <c r="H7394" i="26"/>
  <c r="H7393" i="26"/>
  <c r="H7392" i="26"/>
  <c r="H7391" i="26"/>
  <c r="H7390" i="26"/>
  <c r="H7389" i="26"/>
  <c r="H7388" i="26"/>
  <c r="H7387" i="26"/>
  <c r="H7386" i="26"/>
  <c r="H7385" i="26"/>
  <c r="H7384" i="26"/>
  <c r="H7383" i="26"/>
  <c r="H7382" i="26"/>
  <c r="H7381" i="26"/>
  <c r="H7380" i="26"/>
  <c r="H7379" i="26"/>
  <c r="H7378" i="26"/>
  <c r="H7377" i="26"/>
  <c r="H7376" i="26"/>
  <c r="H7375" i="26"/>
  <c r="H7374" i="26"/>
  <c r="H7373" i="26"/>
  <c r="H7372" i="26"/>
  <c r="H7371" i="26"/>
  <c r="H7370" i="26"/>
  <c r="H7369" i="26"/>
  <c r="H7368" i="26"/>
  <c r="H7367" i="26"/>
  <c r="H7366" i="26"/>
  <c r="H7365" i="26"/>
  <c r="H7364" i="26"/>
  <c r="H7363" i="26"/>
  <c r="H7362" i="26"/>
  <c r="H7361" i="26"/>
  <c r="H7360" i="26"/>
  <c r="H7359" i="26"/>
  <c r="H7358" i="26"/>
  <c r="H7357" i="26"/>
  <c r="H7356" i="26"/>
  <c r="H7355" i="26"/>
  <c r="H7354" i="26"/>
  <c r="H7353" i="26"/>
  <c r="H7352" i="26"/>
  <c r="H7351" i="26"/>
  <c r="H7350" i="26"/>
  <c r="H7349" i="26"/>
  <c r="H7348" i="26"/>
  <c r="H7347" i="26"/>
  <c r="H7346" i="26"/>
  <c r="H7345" i="26"/>
  <c r="H7344" i="26"/>
  <c r="H7343" i="26"/>
  <c r="H7342" i="26"/>
  <c r="H7341" i="26"/>
  <c r="H7340" i="26"/>
  <c r="H7339" i="26"/>
  <c r="H7338" i="26"/>
  <c r="H7337" i="26"/>
  <c r="H7336" i="26"/>
  <c r="H7335" i="26"/>
  <c r="H7334" i="26"/>
  <c r="H7333" i="26"/>
  <c r="H7332" i="26"/>
  <c r="H7331" i="26"/>
  <c r="H7330" i="26"/>
  <c r="H7329" i="26"/>
  <c r="H7328" i="26"/>
  <c r="H7327" i="26"/>
  <c r="H7326" i="26"/>
  <c r="H7325" i="26"/>
  <c r="H7324" i="26"/>
  <c r="H7323" i="26"/>
  <c r="H7322" i="26"/>
  <c r="H7321" i="26"/>
  <c r="H7320" i="26"/>
  <c r="H7319" i="26"/>
  <c r="H7318" i="26"/>
  <c r="H7317" i="26"/>
  <c r="H7316" i="26"/>
  <c r="H7315" i="26"/>
  <c r="H7314" i="26"/>
  <c r="H7313" i="26"/>
  <c r="H7312" i="26"/>
  <c r="H7311" i="26"/>
  <c r="H7310" i="26"/>
  <c r="H7309" i="26"/>
  <c r="H7308" i="26"/>
  <c r="H7307" i="26"/>
  <c r="H7306" i="26"/>
  <c r="H7305" i="26"/>
  <c r="H7304" i="26"/>
  <c r="H7303" i="26"/>
  <c r="H7302" i="26"/>
  <c r="H7301" i="26"/>
  <c r="H7300" i="26"/>
  <c r="H7299" i="26"/>
  <c r="H7298" i="26"/>
  <c r="H7297" i="26"/>
  <c r="H7296" i="26"/>
  <c r="H7295" i="26"/>
  <c r="H7294" i="26"/>
  <c r="H7293" i="26"/>
  <c r="H7292" i="26"/>
  <c r="H7291" i="26"/>
  <c r="H7290" i="26"/>
  <c r="H7289" i="26"/>
  <c r="H7288" i="26"/>
  <c r="H7287" i="26"/>
  <c r="H7286" i="26"/>
  <c r="H7285" i="26"/>
  <c r="H7284" i="26"/>
  <c r="H7283" i="26"/>
  <c r="H7282" i="26"/>
  <c r="H7281" i="26"/>
  <c r="H7280" i="26"/>
  <c r="H7279" i="26"/>
  <c r="H7278" i="26"/>
  <c r="H7277" i="26"/>
  <c r="H7276" i="26"/>
  <c r="H7275" i="26"/>
  <c r="H7274" i="26"/>
  <c r="H7273" i="26"/>
  <c r="H7272" i="26"/>
  <c r="H7271" i="26"/>
  <c r="H7270" i="26"/>
  <c r="H7269" i="26"/>
  <c r="H7268" i="26"/>
  <c r="H7267" i="26"/>
  <c r="H7266" i="26"/>
  <c r="H7265" i="26"/>
  <c r="H7264" i="26"/>
  <c r="H7263" i="26"/>
  <c r="H7262" i="26"/>
  <c r="H7261" i="26"/>
  <c r="H7260" i="26"/>
  <c r="H7259" i="26"/>
  <c r="H7258" i="26"/>
  <c r="H7257" i="26"/>
  <c r="H7256" i="26"/>
  <c r="H7255" i="26"/>
  <c r="H7254" i="26"/>
  <c r="H7253" i="26"/>
  <c r="H7252" i="26"/>
  <c r="H7251" i="26"/>
  <c r="H7250" i="26"/>
  <c r="H7249" i="26"/>
  <c r="H7248" i="26"/>
  <c r="H7247" i="26"/>
  <c r="H7246" i="26"/>
  <c r="H7245" i="26"/>
  <c r="H7244" i="26"/>
  <c r="H7243" i="26"/>
  <c r="H7242" i="26"/>
  <c r="H7241" i="26"/>
  <c r="H7240" i="26"/>
  <c r="H7239" i="26"/>
  <c r="H7238" i="26"/>
  <c r="H7237" i="26"/>
  <c r="H7236" i="26"/>
  <c r="H7235" i="26"/>
  <c r="H7234" i="26"/>
  <c r="H7233" i="26"/>
  <c r="H7232" i="26"/>
  <c r="H7231" i="26"/>
  <c r="H7230" i="26"/>
  <c r="H7229" i="26"/>
  <c r="H7228" i="26"/>
  <c r="H7227" i="26"/>
  <c r="H7226" i="26"/>
  <c r="H7225" i="26"/>
  <c r="H7224" i="26"/>
  <c r="H7223" i="26"/>
  <c r="H7222" i="26"/>
  <c r="H7221" i="26"/>
  <c r="H7220" i="26"/>
  <c r="H7219" i="26"/>
  <c r="H7218" i="26"/>
  <c r="H7217" i="26"/>
  <c r="H7216" i="26"/>
  <c r="H7215" i="26"/>
  <c r="H7214" i="26"/>
  <c r="H7213" i="26"/>
  <c r="H7212" i="26"/>
  <c r="H7211" i="26"/>
  <c r="H7210" i="26"/>
  <c r="H7209" i="26"/>
  <c r="H7208" i="26"/>
  <c r="H7207" i="26"/>
  <c r="H7206" i="26"/>
  <c r="H7205" i="26"/>
  <c r="H7204" i="26"/>
  <c r="H7203" i="26"/>
  <c r="H7202" i="26"/>
  <c r="H7201" i="26"/>
  <c r="H7200" i="26"/>
  <c r="H7199" i="26"/>
  <c r="H7198" i="26"/>
  <c r="H7197" i="26"/>
  <c r="H7196" i="26"/>
  <c r="H7195" i="26"/>
  <c r="H7194" i="26"/>
  <c r="H7193" i="26"/>
  <c r="H7192" i="26"/>
  <c r="H7191" i="26"/>
  <c r="H7190" i="26"/>
  <c r="H7189" i="26"/>
  <c r="H7188" i="26"/>
  <c r="H7187" i="26"/>
  <c r="H7186" i="26"/>
  <c r="H7185" i="26"/>
  <c r="H7184" i="26"/>
  <c r="H7183" i="26"/>
  <c r="H7182" i="26"/>
  <c r="H7181" i="26"/>
  <c r="H7180" i="26"/>
  <c r="H7179" i="26"/>
  <c r="H7178" i="26"/>
  <c r="H7177" i="26"/>
  <c r="H7176" i="26"/>
  <c r="H7175" i="26"/>
  <c r="H7174" i="26"/>
  <c r="H7173" i="26"/>
  <c r="H7172" i="26"/>
  <c r="H7171" i="26"/>
  <c r="H7170" i="26"/>
  <c r="H7169" i="26"/>
  <c r="H7168" i="26"/>
  <c r="H7167" i="26"/>
  <c r="H7166" i="26"/>
  <c r="H7165" i="26"/>
  <c r="H7164" i="26"/>
  <c r="H7163" i="26"/>
  <c r="H7162" i="26"/>
  <c r="H7161" i="26"/>
  <c r="H7160" i="26"/>
  <c r="H7159" i="26"/>
  <c r="H7158" i="26"/>
  <c r="H7157" i="26"/>
  <c r="H7156" i="26"/>
  <c r="H7155" i="26"/>
  <c r="H7154" i="26"/>
  <c r="H7153" i="26"/>
  <c r="H7152" i="26"/>
  <c r="H7151" i="26"/>
  <c r="H7150" i="26"/>
  <c r="H7149" i="26"/>
  <c r="H7148" i="26"/>
  <c r="H7147" i="26"/>
  <c r="H7146" i="26"/>
  <c r="H7145" i="26"/>
  <c r="H7144" i="26"/>
  <c r="H7143" i="26"/>
  <c r="H7142" i="26"/>
  <c r="H7141" i="26"/>
  <c r="H7140" i="26"/>
  <c r="H7139" i="26"/>
  <c r="H7138" i="26"/>
  <c r="H7137" i="26"/>
  <c r="H7136" i="26"/>
  <c r="H7135" i="26"/>
  <c r="H7134" i="26"/>
  <c r="H7133" i="26"/>
  <c r="H7132" i="26"/>
  <c r="H7131" i="26"/>
  <c r="H7130" i="26"/>
  <c r="H7129" i="26"/>
  <c r="H7128" i="26"/>
  <c r="H7127" i="26"/>
  <c r="H7126" i="26"/>
  <c r="H7125" i="26"/>
  <c r="H7124" i="26"/>
  <c r="H7123" i="26"/>
  <c r="H7122" i="26"/>
  <c r="H7121" i="26"/>
  <c r="H7120" i="26"/>
  <c r="H7119" i="26"/>
  <c r="H7118" i="26"/>
  <c r="H7117" i="26"/>
  <c r="H7116" i="26"/>
  <c r="H7115" i="26"/>
  <c r="H7114" i="26"/>
  <c r="H7113" i="26"/>
  <c r="H7112" i="26"/>
  <c r="H7111" i="26"/>
  <c r="H7110" i="26"/>
  <c r="H7109" i="26"/>
  <c r="H7108" i="26"/>
  <c r="H7107" i="26"/>
  <c r="H7106" i="26"/>
  <c r="H7105" i="26"/>
  <c r="H7104" i="26"/>
  <c r="H7103" i="26"/>
  <c r="H7102" i="26"/>
  <c r="H7101" i="26"/>
  <c r="H7100" i="26"/>
  <c r="H7099" i="26"/>
  <c r="H7098" i="26"/>
  <c r="H7097" i="26"/>
  <c r="H7096" i="26"/>
  <c r="H7095" i="26"/>
  <c r="H7094" i="26"/>
  <c r="H7093" i="26"/>
  <c r="H7092" i="26"/>
  <c r="H7091" i="26"/>
  <c r="H7090" i="26"/>
  <c r="H7089" i="26"/>
  <c r="H7088" i="26"/>
  <c r="H7087" i="26"/>
  <c r="H7086" i="26"/>
  <c r="H7085" i="26"/>
  <c r="H7084" i="26"/>
  <c r="H7083" i="26"/>
  <c r="H7082" i="26"/>
  <c r="H7081" i="26"/>
  <c r="H7080" i="26"/>
  <c r="H7079" i="26"/>
  <c r="H7078" i="26"/>
  <c r="H7077" i="26"/>
  <c r="H7076" i="26"/>
  <c r="H7075" i="26"/>
  <c r="H7074" i="26"/>
  <c r="H7073" i="26"/>
  <c r="H7072" i="26"/>
  <c r="H7071" i="26"/>
  <c r="H7070" i="26"/>
  <c r="H7069" i="26"/>
  <c r="H7068" i="26"/>
  <c r="H7067" i="26"/>
  <c r="H7066" i="26"/>
  <c r="H7065" i="26"/>
  <c r="H7064" i="26"/>
  <c r="H7063" i="26"/>
  <c r="H7062" i="26"/>
  <c r="H7061" i="26"/>
  <c r="H7060" i="26"/>
  <c r="H7059" i="26"/>
  <c r="H7058" i="26"/>
  <c r="H7057" i="26"/>
  <c r="H7056" i="26"/>
  <c r="H7055" i="26"/>
  <c r="H7054" i="26"/>
  <c r="H7053" i="26"/>
  <c r="H7052" i="26"/>
  <c r="H7051" i="26"/>
  <c r="H7050" i="26"/>
  <c r="H7049" i="26"/>
  <c r="H7048" i="26"/>
  <c r="H7047" i="26"/>
  <c r="H7046" i="26"/>
  <c r="H7045" i="26"/>
  <c r="H7044" i="26"/>
  <c r="H7043" i="26"/>
  <c r="H7042" i="26"/>
  <c r="H7041" i="26"/>
  <c r="H7040" i="26"/>
  <c r="H7039" i="26"/>
  <c r="H7038" i="26"/>
  <c r="H7037" i="26"/>
  <c r="H7036" i="26"/>
  <c r="H7035" i="26"/>
  <c r="H7034" i="26"/>
  <c r="H7033" i="26"/>
  <c r="H7032" i="26"/>
  <c r="H7031" i="26"/>
  <c r="H7030" i="26"/>
  <c r="H7029" i="26"/>
  <c r="H7028" i="26"/>
  <c r="H7027" i="26"/>
  <c r="H7026" i="26"/>
  <c r="H7025" i="26"/>
  <c r="H7024" i="26"/>
  <c r="H7023" i="26"/>
  <c r="H7022" i="26"/>
  <c r="H7021" i="26"/>
  <c r="H7020" i="26"/>
  <c r="H7019" i="26"/>
  <c r="H7018" i="26"/>
  <c r="H7017" i="26"/>
  <c r="H7016" i="26"/>
  <c r="H7015" i="26"/>
  <c r="H7014" i="26"/>
  <c r="H7013" i="26"/>
  <c r="H7012" i="26"/>
  <c r="H7011" i="26"/>
  <c r="H7010" i="26"/>
  <c r="H7009" i="26"/>
  <c r="H7008" i="26"/>
  <c r="H7007" i="26"/>
  <c r="H7006" i="26"/>
  <c r="H7005" i="26"/>
  <c r="H7004" i="26"/>
  <c r="H7003" i="26"/>
  <c r="H7002" i="26"/>
  <c r="H7001" i="26"/>
  <c r="H7000" i="26"/>
  <c r="H6999" i="26"/>
  <c r="H6998" i="26"/>
  <c r="H6997" i="26"/>
  <c r="H6996" i="26"/>
  <c r="H6995" i="26"/>
  <c r="H6994" i="26"/>
  <c r="H6993" i="26"/>
  <c r="H6992" i="26"/>
  <c r="H6991" i="26"/>
  <c r="H6990" i="26"/>
  <c r="H6989" i="26"/>
  <c r="H6988" i="26"/>
  <c r="H6987" i="26"/>
  <c r="H6986" i="26"/>
  <c r="H6985" i="26"/>
  <c r="H6984" i="26"/>
  <c r="H6983" i="26"/>
  <c r="H6982" i="26"/>
  <c r="H6981" i="26"/>
  <c r="H6980" i="26"/>
  <c r="H6979" i="26"/>
  <c r="H6978" i="26"/>
  <c r="H6977" i="26"/>
  <c r="H6976" i="26"/>
  <c r="H6975" i="26"/>
  <c r="H6974" i="26"/>
  <c r="H6973" i="26"/>
  <c r="H6972" i="26"/>
  <c r="H6971" i="26"/>
  <c r="H6970" i="26"/>
  <c r="H6969" i="26"/>
  <c r="H6968" i="26"/>
  <c r="H6967" i="26"/>
  <c r="H6966" i="26"/>
  <c r="H6965" i="26"/>
  <c r="H6964" i="26"/>
  <c r="H6963" i="26"/>
  <c r="H6962" i="26"/>
  <c r="H6961" i="26"/>
  <c r="H6960" i="26"/>
  <c r="H6959" i="26"/>
  <c r="H6958" i="26"/>
  <c r="H6957" i="26"/>
  <c r="H6956" i="26"/>
  <c r="H6955" i="26"/>
  <c r="H6954" i="26"/>
  <c r="H6953" i="26"/>
  <c r="H6952" i="26"/>
  <c r="H6951" i="26"/>
  <c r="H6950" i="26"/>
  <c r="H6949" i="26"/>
  <c r="H6948" i="26"/>
  <c r="H6947" i="26"/>
  <c r="H6946" i="26"/>
  <c r="H6945" i="26"/>
  <c r="H6944" i="26"/>
  <c r="H6943" i="26"/>
  <c r="H6942" i="26"/>
  <c r="H6941" i="26"/>
  <c r="H6940" i="26"/>
  <c r="H6939" i="26"/>
  <c r="H6938" i="26"/>
  <c r="H6937" i="26"/>
  <c r="H6936" i="26"/>
  <c r="H6935" i="26"/>
  <c r="H6934" i="26"/>
  <c r="H6933" i="26"/>
  <c r="H6932" i="26"/>
  <c r="H6931" i="26"/>
  <c r="H6930" i="26"/>
  <c r="H6929" i="26"/>
  <c r="H6928" i="26"/>
  <c r="H6927" i="26"/>
  <c r="H6926" i="26"/>
  <c r="H6925" i="26"/>
  <c r="H6924" i="26"/>
  <c r="H6923" i="26"/>
  <c r="H6922" i="26"/>
  <c r="H6921" i="26"/>
  <c r="H6920" i="26"/>
  <c r="H6919" i="26"/>
  <c r="H6918" i="26"/>
  <c r="H6917" i="26"/>
  <c r="H6916" i="26"/>
  <c r="H6915" i="26"/>
  <c r="H6914" i="26"/>
  <c r="H6913" i="26"/>
  <c r="H6912" i="26"/>
  <c r="H6911" i="26"/>
  <c r="H6910" i="26"/>
  <c r="H6909" i="26"/>
  <c r="H6908" i="26"/>
  <c r="H6907" i="26"/>
  <c r="H6906" i="26"/>
  <c r="H6905" i="26"/>
  <c r="H6904" i="26"/>
  <c r="H6903" i="26"/>
  <c r="H6902" i="26"/>
  <c r="H6901" i="26"/>
  <c r="H6900" i="26"/>
  <c r="H6899" i="26"/>
  <c r="H6898" i="26"/>
  <c r="H6897" i="26"/>
  <c r="H6896" i="26"/>
  <c r="H6895" i="26"/>
  <c r="H6894" i="26"/>
  <c r="H6893" i="26"/>
  <c r="H6892" i="26"/>
  <c r="H6891" i="26"/>
  <c r="H6890" i="26"/>
  <c r="H6889" i="26"/>
  <c r="H6888" i="26"/>
  <c r="H6887" i="26"/>
  <c r="H6886" i="26"/>
  <c r="H6885" i="26"/>
  <c r="H6884" i="26"/>
  <c r="H6883" i="26"/>
  <c r="H6882" i="26"/>
  <c r="H6881" i="26"/>
  <c r="H6880" i="26"/>
  <c r="H6879" i="26"/>
  <c r="H6878" i="26"/>
  <c r="H6877" i="26"/>
  <c r="H6876" i="26"/>
  <c r="H6875" i="26"/>
  <c r="H6874" i="26"/>
  <c r="H6873" i="26"/>
  <c r="H6872" i="26"/>
  <c r="H6871" i="26"/>
  <c r="H6870" i="26"/>
  <c r="H6869" i="26"/>
  <c r="H6868" i="26"/>
  <c r="H6867" i="26"/>
  <c r="H6866" i="26"/>
  <c r="H6865" i="26"/>
  <c r="H6864" i="26"/>
  <c r="H6863" i="26"/>
  <c r="H6862" i="26"/>
  <c r="H6861" i="26"/>
  <c r="H6860" i="26"/>
  <c r="H6859" i="26"/>
  <c r="H6858" i="26"/>
  <c r="H6857" i="26"/>
  <c r="H6856" i="26"/>
  <c r="H6855" i="26"/>
  <c r="H6854" i="26"/>
  <c r="H6853" i="26"/>
  <c r="H6852" i="26"/>
  <c r="H6851" i="26"/>
  <c r="H6850" i="26"/>
  <c r="H6849" i="26"/>
  <c r="H6848" i="26"/>
  <c r="H6847" i="26"/>
  <c r="H6846" i="26"/>
  <c r="H6845" i="26"/>
  <c r="H6844" i="26"/>
  <c r="H6843" i="26"/>
  <c r="H6842" i="26"/>
  <c r="H6841" i="26"/>
  <c r="H6840" i="26"/>
  <c r="H6839" i="26"/>
  <c r="H6838" i="26"/>
  <c r="H6837" i="26"/>
  <c r="H6836" i="26"/>
  <c r="H6835" i="26"/>
  <c r="H6834" i="26"/>
  <c r="H6833" i="26"/>
  <c r="H6832" i="26"/>
  <c r="H6831" i="26"/>
  <c r="H6830" i="26"/>
  <c r="H6829" i="26"/>
  <c r="H6828" i="26"/>
  <c r="H6827" i="26"/>
  <c r="H6826" i="26"/>
  <c r="H6825" i="26"/>
  <c r="H6824" i="26"/>
  <c r="H6823" i="26"/>
  <c r="H6822" i="26"/>
  <c r="H6821" i="26"/>
  <c r="H6820" i="26"/>
  <c r="H6819" i="26"/>
  <c r="H6818" i="26"/>
  <c r="H6817" i="26"/>
  <c r="H6816" i="26"/>
  <c r="H6815" i="26"/>
  <c r="H6814" i="26"/>
  <c r="H6813" i="26"/>
  <c r="H6812" i="26"/>
  <c r="H6811" i="26"/>
  <c r="H6810" i="26"/>
  <c r="H6809" i="26"/>
  <c r="H6808" i="26"/>
  <c r="H6807" i="26"/>
  <c r="H6806" i="26"/>
  <c r="H6805" i="26"/>
  <c r="H6804" i="26"/>
  <c r="H6803" i="26"/>
  <c r="H6802" i="26"/>
  <c r="H6801" i="26"/>
  <c r="H6800" i="26"/>
  <c r="H6799" i="26"/>
  <c r="H6798" i="26"/>
  <c r="H6797" i="26"/>
  <c r="H6796" i="26"/>
  <c r="H6795" i="26"/>
  <c r="H6794" i="26"/>
  <c r="H6793" i="26"/>
  <c r="H6792" i="26"/>
  <c r="H6791" i="26"/>
  <c r="H6790" i="26"/>
  <c r="H6789" i="26"/>
  <c r="H6788" i="26"/>
  <c r="H6787" i="26"/>
  <c r="H6786" i="26"/>
  <c r="H6785" i="26"/>
  <c r="H6784" i="26"/>
  <c r="H6783" i="26"/>
  <c r="H6782" i="26"/>
  <c r="H6781" i="26"/>
  <c r="H6780" i="26"/>
  <c r="H6779" i="26"/>
  <c r="H6778" i="26"/>
  <c r="H6777" i="26"/>
  <c r="H6776" i="26"/>
  <c r="H6775" i="26"/>
  <c r="H6774" i="26"/>
  <c r="H6773" i="26"/>
  <c r="H6772" i="26"/>
  <c r="H6771" i="26"/>
  <c r="H6770" i="26"/>
  <c r="H6769" i="26"/>
  <c r="H6768" i="26"/>
  <c r="H6767" i="26"/>
  <c r="H6766" i="26"/>
  <c r="H6765" i="26"/>
  <c r="H6764" i="26"/>
  <c r="D375" i="26"/>
  <c r="D374" i="26"/>
  <c r="D373" i="26"/>
  <c r="D372" i="26"/>
  <c r="D371" i="26"/>
  <c r="D370" i="26"/>
  <c r="D369" i="26"/>
  <c r="D368" i="26"/>
  <c r="D367" i="26"/>
  <c r="D366" i="26"/>
  <c r="D365" i="26"/>
  <c r="D364" i="26"/>
  <c r="D363" i="26"/>
  <c r="D362" i="26"/>
  <c r="D361" i="26"/>
  <c r="D360" i="26"/>
  <c r="D359" i="26"/>
  <c r="D358" i="26"/>
  <c r="D357" i="26"/>
  <c r="D356" i="26"/>
  <c r="D355" i="26"/>
  <c r="D354" i="26"/>
  <c r="D353" i="26"/>
  <c r="D352" i="26"/>
  <c r="D351" i="26"/>
  <c r="D350" i="26"/>
  <c r="D349" i="26"/>
  <c r="D348" i="26"/>
  <c r="D347" i="26"/>
  <c r="D346" i="26"/>
  <c r="D345" i="26"/>
  <c r="D344" i="26"/>
  <c r="D343" i="26"/>
  <c r="D342" i="26"/>
  <c r="D341" i="26"/>
  <c r="D340" i="26"/>
  <c r="D339" i="26"/>
  <c r="D338" i="26"/>
  <c r="D337" i="26"/>
  <c r="D336" i="26"/>
  <c r="D335" i="26"/>
  <c r="D334" i="26"/>
  <c r="D333" i="26"/>
  <c r="D332" i="26"/>
  <c r="D331" i="26"/>
  <c r="D330" i="26"/>
  <c r="D329" i="26"/>
  <c r="D328" i="26"/>
  <c r="D327" i="26"/>
  <c r="D326" i="26"/>
  <c r="D325" i="26"/>
  <c r="D324" i="26"/>
  <c r="D323" i="26"/>
  <c r="D322" i="26"/>
  <c r="D321" i="26"/>
  <c r="D320" i="26"/>
  <c r="D319" i="26"/>
  <c r="D318" i="26"/>
  <c r="D317" i="26"/>
  <c r="D316" i="26"/>
  <c r="D315" i="26"/>
  <c r="D314" i="26"/>
  <c r="D313" i="26"/>
  <c r="D312" i="26"/>
  <c r="D311" i="26"/>
  <c r="D310" i="26"/>
  <c r="D309" i="26"/>
  <c r="D308" i="26"/>
  <c r="D307" i="26"/>
  <c r="D306" i="26"/>
  <c r="D305" i="26"/>
  <c r="D304" i="26"/>
  <c r="D303" i="26"/>
  <c r="D302" i="26"/>
  <c r="D301" i="26"/>
  <c r="D300" i="26"/>
  <c r="D299" i="26"/>
  <c r="D298" i="26"/>
  <c r="D297" i="26"/>
  <c r="D296" i="26"/>
  <c r="D295" i="26"/>
  <c r="D294" i="26"/>
  <c r="D293" i="26"/>
  <c r="D292" i="26"/>
  <c r="D291" i="26"/>
  <c r="D290" i="26"/>
  <c r="D289" i="26"/>
  <c r="D288" i="26"/>
  <c r="D287" i="26"/>
  <c r="D286" i="26"/>
  <c r="D285" i="26"/>
  <c r="D284" i="26"/>
  <c r="D283" i="26"/>
  <c r="D282" i="26"/>
  <c r="D281" i="26"/>
  <c r="D280" i="26"/>
  <c r="D279" i="26"/>
  <c r="D278" i="26"/>
  <c r="D277" i="26"/>
  <c r="D276" i="26"/>
  <c r="D275" i="26"/>
  <c r="D274" i="26"/>
  <c r="D273" i="26"/>
  <c r="D272" i="26"/>
  <c r="D271" i="26"/>
  <c r="D270" i="26"/>
  <c r="D269" i="26"/>
  <c r="D268" i="26"/>
  <c r="D267" i="26"/>
  <c r="D266" i="26"/>
  <c r="D265" i="26"/>
  <c r="D264" i="26"/>
  <c r="D263" i="26"/>
  <c r="D262" i="26"/>
  <c r="D261" i="26"/>
  <c r="D260" i="26"/>
  <c r="D259" i="26"/>
  <c r="D258" i="26"/>
  <c r="D257" i="26"/>
  <c r="D256" i="26"/>
  <c r="D255" i="26"/>
  <c r="D254" i="26"/>
  <c r="D253" i="26"/>
  <c r="D252" i="26"/>
  <c r="D251" i="26"/>
  <c r="D250" i="26"/>
  <c r="D249" i="26"/>
  <c r="D248" i="26"/>
  <c r="D247" i="26"/>
  <c r="D246" i="26"/>
  <c r="D245" i="26"/>
  <c r="D244" i="26"/>
  <c r="D243" i="26"/>
  <c r="D242" i="26"/>
  <c r="D241" i="26"/>
  <c r="D240" i="26"/>
  <c r="D239" i="26"/>
  <c r="D238" i="26"/>
  <c r="D237" i="26"/>
  <c r="D236" i="26"/>
  <c r="D235" i="26"/>
  <c r="D234" i="26"/>
  <c r="D233" i="26"/>
  <c r="D232" i="26"/>
  <c r="D231" i="26"/>
  <c r="D230" i="26"/>
  <c r="D229" i="26"/>
  <c r="D228" i="26"/>
  <c r="D227" i="26"/>
  <c r="D226" i="26"/>
  <c r="D225" i="26"/>
  <c r="D224" i="26"/>
  <c r="D223" i="26"/>
  <c r="D222" i="26"/>
  <c r="D221" i="26"/>
  <c r="D220" i="26"/>
  <c r="D219" i="26"/>
  <c r="D218" i="26"/>
  <c r="D217" i="26"/>
  <c r="D216" i="26"/>
  <c r="D215" i="26"/>
  <c r="D214" i="26"/>
  <c r="D213" i="26"/>
  <c r="D212" i="26"/>
  <c r="D211" i="26"/>
  <c r="D210" i="26"/>
  <c r="D209" i="26"/>
  <c r="D208" i="26"/>
  <c r="D207" i="26"/>
  <c r="D206" i="26"/>
  <c r="D205" i="26"/>
  <c r="D204" i="26"/>
  <c r="D203" i="26"/>
  <c r="D202" i="26"/>
  <c r="D201" i="26"/>
  <c r="D200" i="26"/>
  <c r="D199" i="26"/>
  <c r="D198" i="26"/>
  <c r="D197" i="26"/>
  <c r="D196" i="26"/>
  <c r="D195" i="26"/>
  <c r="D194" i="26"/>
  <c r="D193" i="26"/>
  <c r="D192" i="26"/>
  <c r="D191" i="26"/>
  <c r="D190" i="26"/>
  <c r="D189" i="26"/>
  <c r="D188" i="26"/>
  <c r="D187" i="26"/>
  <c r="D186" i="26"/>
  <c r="D185" i="26"/>
  <c r="D184" i="26"/>
  <c r="D183" i="26"/>
  <c r="D182" i="26"/>
  <c r="D181" i="26"/>
  <c r="D180" i="26"/>
  <c r="D179" i="26"/>
  <c r="D178" i="26"/>
  <c r="D177" i="26"/>
  <c r="D176" i="26"/>
  <c r="D175" i="26"/>
  <c r="D174" i="26"/>
  <c r="D173" i="26"/>
  <c r="D172" i="26"/>
  <c r="D171" i="26"/>
  <c r="D170" i="26"/>
  <c r="D169" i="26"/>
  <c r="D168" i="26"/>
  <c r="D167" i="26"/>
  <c r="D166" i="26"/>
  <c r="D165" i="26"/>
  <c r="D164" i="26"/>
  <c r="D163" i="26"/>
  <c r="D162" i="26"/>
  <c r="D161" i="26"/>
  <c r="D160" i="26"/>
  <c r="D159" i="26"/>
  <c r="D158" i="26"/>
  <c r="D157" i="26"/>
  <c r="D156" i="26"/>
  <c r="D155" i="26"/>
  <c r="D154" i="26"/>
  <c r="D153" i="26"/>
  <c r="D152" i="26"/>
  <c r="D151" i="26"/>
  <c r="D150" i="26"/>
  <c r="D149" i="26"/>
  <c r="D148" i="26"/>
  <c r="D147" i="26"/>
  <c r="D146" i="26"/>
  <c r="D145" i="26"/>
  <c r="D144" i="26"/>
  <c r="D143" i="26"/>
  <c r="D142" i="26"/>
  <c r="D141" i="26"/>
  <c r="D140" i="26"/>
  <c r="D139" i="26"/>
  <c r="D138" i="26"/>
  <c r="D137" i="26"/>
  <c r="D136" i="26"/>
  <c r="D135" i="26"/>
  <c r="D134" i="26"/>
  <c r="D133" i="26"/>
  <c r="D132" i="26"/>
  <c r="D131" i="26"/>
  <c r="D130" i="26"/>
  <c r="D129" i="26"/>
  <c r="D128" i="26"/>
  <c r="D127" i="26"/>
  <c r="D126" i="26"/>
  <c r="D125" i="26"/>
  <c r="D124" i="26"/>
  <c r="D123" i="26"/>
  <c r="D122" i="26"/>
  <c r="D121" i="26"/>
  <c r="D120" i="26"/>
  <c r="D119" i="26"/>
  <c r="D118" i="26"/>
  <c r="D117" i="26"/>
  <c r="D116" i="26"/>
  <c r="D115" i="26"/>
  <c r="D114" i="26"/>
  <c r="D113" i="26"/>
  <c r="D112" i="26"/>
  <c r="D111" i="26"/>
  <c r="D110" i="26"/>
  <c r="D109" i="26"/>
  <c r="D108" i="26"/>
  <c r="D107" i="26"/>
  <c r="D106" i="26"/>
  <c r="D105" i="26"/>
  <c r="D104" i="26"/>
  <c r="D103" i="26"/>
  <c r="D102" i="26"/>
  <c r="D101" i="26"/>
  <c r="D100" i="26"/>
  <c r="D99" i="26"/>
  <c r="D98" i="26"/>
  <c r="D97" i="26"/>
  <c r="D96" i="26"/>
  <c r="D95" i="26"/>
  <c r="D94" i="26"/>
  <c r="D93" i="26"/>
  <c r="D92" i="26"/>
  <c r="D91" i="26"/>
  <c r="D90" i="26"/>
  <c r="D89" i="26"/>
  <c r="D88" i="26"/>
  <c r="D87" i="26"/>
  <c r="D86" i="26"/>
  <c r="D85" i="26"/>
  <c r="D84" i="26"/>
  <c r="D83" i="26"/>
  <c r="D82" i="26"/>
  <c r="D81" i="26"/>
  <c r="D80" i="26"/>
  <c r="D79" i="26"/>
  <c r="D78" i="26"/>
  <c r="D77" i="26"/>
  <c r="D76" i="26"/>
  <c r="D75" i="26"/>
  <c r="D74" i="26"/>
  <c r="D73" i="26"/>
  <c r="D72" i="26"/>
  <c r="D71" i="26"/>
  <c r="D70" i="26"/>
  <c r="D69" i="26"/>
  <c r="D68" i="26"/>
  <c r="D67" i="26"/>
  <c r="D66" i="26"/>
  <c r="D65" i="26"/>
  <c r="D64"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J27" i="26"/>
  <c r="D19" i="26"/>
  <c r="J26" i="26"/>
  <c r="D18" i="26"/>
  <c r="J25" i="26"/>
  <c r="D17" i="26"/>
  <c r="J24" i="26"/>
  <c r="D16" i="26"/>
  <c r="D15" i="26"/>
  <c r="D14" i="26"/>
  <c r="D13" i="26"/>
  <c r="M13" i="26"/>
  <c r="D12" i="26"/>
  <c r="M12" i="26"/>
  <c r="D11" i="26"/>
  <c r="D10" i="26"/>
  <c r="D9" i="26"/>
  <c r="D8" i="26"/>
  <c r="H20" i="24"/>
  <c r="H19" i="24"/>
  <c r="H18" i="24"/>
  <c r="H17" i="24"/>
  <c r="K20" i="24"/>
  <c r="J20" i="24"/>
  <c r="I20" i="24"/>
  <c r="K18" i="24"/>
  <c r="K17" i="24"/>
  <c r="I19" i="24"/>
  <c r="I18" i="24"/>
  <c r="J18" i="24" s="1"/>
  <c r="I17" i="24"/>
  <c r="J17" i="24" s="1"/>
  <c r="J19" i="24"/>
  <c r="K19" i="24" s="1"/>
  <c r="K13" i="24"/>
  <c r="K12" i="24"/>
  <c r="K11" i="24"/>
  <c r="K10" i="24"/>
  <c r="D48" i="24"/>
  <c r="D210" i="24"/>
  <c r="D43" i="24"/>
  <c r="D204" i="24"/>
  <c r="D117" i="24"/>
  <c r="D145" i="24"/>
  <c r="D238" i="24"/>
  <c r="D259" i="24"/>
  <c r="D276" i="24"/>
  <c r="D199" i="24"/>
  <c r="D215" i="24"/>
  <c r="D38" i="24"/>
  <c r="D95" i="24"/>
  <c r="D233" i="24"/>
  <c r="D15" i="24"/>
  <c r="D188" i="24"/>
  <c r="D9" i="24"/>
  <c r="D225" i="24"/>
  <c r="D321" i="24"/>
  <c r="D205" i="24"/>
  <c r="D297" i="24"/>
  <c r="D77" i="24"/>
  <c r="D168" i="24"/>
  <c r="D277" i="24"/>
  <c r="D30" i="24"/>
  <c r="D136" i="24"/>
  <c r="D220" i="24"/>
  <c r="D181" i="24"/>
  <c r="D324" i="24"/>
  <c r="D31" i="24"/>
  <c r="D304" i="24"/>
  <c r="D126" i="24"/>
  <c r="D299" i="24"/>
  <c r="D230" i="24"/>
  <c r="D122" i="24"/>
  <c r="D19" i="24"/>
  <c r="D316" i="24"/>
  <c r="D12" i="24"/>
  <c r="D351" i="24"/>
  <c r="D44" i="24"/>
  <c r="D133" i="24"/>
  <c r="D25" i="24"/>
  <c r="D255" i="24"/>
  <c r="D289" i="24"/>
  <c r="D353" i="24"/>
  <c r="D241" i="24"/>
  <c r="D334" i="24"/>
  <c r="D27" i="24"/>
  <c r="D16" i="24"/>
  <c r="D375" i="24"/>
  <c r="D214" i="24"/>
  <c r="D74" i="24"/>
  <c r="D52" i="24"/>
  <c r="D373" i="24"/>
  <c r="D221" i="24"/>
  <c r="D369" i="24"/>
  <c r="D372" i="24"/>
  <c r="D67" i="24"/>
  <c r="D86" i="24"/>
  <c r="D200" i="24"/>
  <c r="D45" i="24"/>
  <c r="D298" i="24"/>
  <c r="D286" i="24"/>
  <c r="D322" i="24"/>
  <c r="D132" i="24"/>
  <c r="D75" i="24"/>
  <c r="D227" i="24"/>
  <c r="D308" i="24"/>
  <c r="D135" i="24"/>
  <c r="D253" i="24"/>
  <c r="D99" i="24"/>
  <c r="D235" i="24"/>
  <c r="D37" i="24"/>
  <c r="D354" i="24"/>
  <c r="D358" i="24"/>
  <c r="D348" i="24"/>
  <c r="D128" i="24"/>
  <c r="D364" i="24"/>
  <c r="D60" i="24"/>
  <c r="D343" i="24"/>
  <c r="D340" i="24"/>
  <c r="D79" i="24"/>
  <c r="D104" i="24"/>
  <c r="D319" i="24"/>
  <c r="D232" i="24"/>
  <c r="D367" i="24"/>
  <c r="D268" i="24"/>
  <c r="D61" i="24"/>
  <c r="D33" i="24"/>
  <c r="D288" i="24"/>
  <c r="D66" i="24"/>
  <c r="D229" i="24"/>
  <c r="D305" i="24"/>
  <c r="D158" i="24"/>
  <c r="D24" i="24"/>
  <c r="D345" i="24"/>
  <c r="D342" i="24"/>
  <c r="D362" i="24"/>
  <c r="D347" i="24"/>
  <c r="D269" i="24"/>
  <c r="D338" i="24"/>
  <c r="D350" i="24"/>
  <c r="D281" i="24"/>
  <c r="D40" i="24"/>
  <c r="D211" i="24"/>
  <c r="D22" i="24"/>
  <c r="D224" i="24"/>
  <c r="D42" i="24"/>
  <c r="D357" i="24"/>
  <c r="D346" i="24"/>
  <c r="D127" i="24"/>
  <c r="D129" i="24"/>
  <c r="D26" i="24"/>
  <c r="D170" i="24"/>
  <c r="D219" i="24"/>
  <c r="D57" i="24"/>
  <c r="D360" i="24"/>
  <c r="D36" i="24"/>
  <c r="D69" i="24"/>
  <c r="D228" i="24"/>
  <c r="D11" i="24"/>
  <c r="D41" i="24"/>
  <c r="D83" i="24"/>
  <c r="D376" i="24"/>
  <c r="D250" i="24"/>
  <c r="D169" i="24"/>
  <c r="D186" i="24"/>
  <c r="D54" i="24"/>
  <c r="D352" i="24"/>
  <c r="D191" i="24"/>
  <c r="D344" i="24"/>
  <c r="D283" i="24"/>
  <c r="D374" i="24"/>
  <c r="D20" i="24"/>
  <c r="D267" i="24"/>
  <c r="D160" i="24"/>
  <c r="D341" i="24"/>
  <c r="D55" i="24"/>
  <c r="D187" i="24"/>
  <c r="D102" i="24"/>
  <c r="D326" i="24"/>
  <c r="D208" i="24"/>
  <c r="D140" i="24"/>
  <c r="D257" i="24"/>
  <c r="D64" i="24"/>
  <c r="D194" i="24"/>
  <c r="D59" i="24"/>
  <c r="D306" i="24"/>
  <c r="D368" i="24"/>
  <c r="D23" i="24"/>
  <c r="D157" i="24"/>
  <c r="D149" i="24"/>
  <c r="D365" i="24"/>
  <c r="D89" i="24"/>
  <c r="D103" i="24"/>
  <c r="D123" i="24"/>
  <c r="D271" i="24"/>
  <c r="D329" i="24"/>
  <c r="D237" i="24"/>
  <c r="D247" i="24"/>
  <c r="D21" i="24"/>
  <c r="D65" i="24"/>
  <c r="D359" i="24"/>
  <c r="D182" i="24"/>
  <c r="D72" i="24"/>
  <c r="D193" i="24"/>
  <c r="D339" i="24"/>
  <c r="D349" i="24"/>
  <c r="D262" i="24"/>
  <c r="D173" i="24"/>
  <c r="D203" i="24"/>
  <c r="D234" i="24"/>
  <c r="D35" i="24"/>
  <c r="D323" i="24"/>
  <c r="D116" i="24"/>
  <c r="D17" i="24"/>
  <c r="D301" i="24"/>
  <c r="D178" i="24"/>
  <c r="D118" i="24"/>
  <c r="D370" i="24"/>
  <c r="D131" i="24"/>
  <c r="D163" i="24"/>
  <c r="D218" i="24"/>
  <c r="D85" i="24"/>
  <c r="D34" i="24"/>
  <c r="D318" i="24"/>
  <c r="D236" i="24"/>
  <c r="D94" i="24"/>
  <c r="D47" i="24"/>
  <c r="D107" i="24"/>
  <c r="D153" i="24"/>
  <c r="D337" i="24"/>
  <c r="D197" i="24"/>
  <c r="D73" i="24"/>
  <c r="D161" i="24"/>
  <c r="D155" i="24"/>
  <c r="D97" i="24"/>
  <c r="D146" i="24"/>
  <c r="D51" i="24"/>
  <c r="D100" i="24"/>
  <c r="D201" i="24"/>
  <c r="D245" i="24"/>
  <c r="D260" i="24"/>
  <c r="D356" i="24"/>
  <c r="D332" i="24"/>
  <c r="D112" i="24"/>
  <c r="D10" i="24"/>
  <c r="D171" i="24"/>
  <c r="D239" i="24"/>
  <c r="D120" i="24"/>
  <c r="D144" i="24"/>
  <c r="D216" i="24"/>
  <c r="D265" i="24"/>
  <c r="D261" i="24"/>
  <c r="D287" i="24"/>
  <c r="D206" i="24"/>
  <c r="D279" i="24"/>
  <c r="D50" i="24"/>
  <c r="D328" i="24"/>
  <c r="D93" i="24"/>
  <c r="D147" i="24"/>
  <c r="D46" i="24"/>
  <c r="D71" i="24"/>
  <c r="D196" i="24"/>
  <c r="D231" i="24"/>
  <c r="D91" i="24"/>
  <c r="D274" i="24"/>
  <c r="D13" i="24"/>
  <c r="D302" i="24"/>
  <c r="D244" i="24"/>
  <c r="D263" i="24"/>
  <c r="D180" i="24"/>
  <c r="D88" i="24"/>
  <c r="D195" i="24"/>
  <c r="D333" i="24"/>
  <c r="D309" i="24"/>
  <c r="D226" i="24"/>
  <c r="D172" i="24"/>
  <c r="D96" i="24"/>
  <c r="D307" i="24"/>
  <c r="D167" i="24"/>
  <c r="D119" i="24"/>
  <c r="D209" i="24"/>
  <c r="D256" i="24"/>
  <c r="D80" i="24"/>
  <c r="D151" i="24"/>
  <c r="D213" i="24"/>
  <c r="D310" i="24"/>
  <c r="D278" i="24"/>
  <c r="D166" i="24"/>
  <c r="D252" i="24"/>
  <c r="D138" i="24"/>
  <c r="D176" i="24"/>
  <c r="D115" i="24"/>
  <c r="D154" i="24"/>
  <c r="D28" i="24"/>
  <c r="D159" i="24"/>
  <c r="D81" i="24"/>
  <c r="D108" i="24"/>
  <c r="D282" i="24"/>
  <c r="D111" i="24"/>
  <c r="D139" i="24"/>
  <c r="D76" i="24"/>
  <c r="D202" i="24"/>
  <c r="D284" i="24"/>
  <c r="D179" i="24"/>
  <c r="D32" i="24"/>
  <c r="D84" i="24"/>
  <c r="D152" i="24"/>
  <c r="D109" i="24"/>
  <c r="D148" i="24"/>
  <c r="D355" i="24"/>
  <c r="D174" i="24"/>
  <c r="D70" i="24"/>
  <c r="D134" i="24"/>
  <c r="D270" i="24"/>
  <c r="D248" i="24"/>
  <c r="D266" i="24"/>
  <c r="D125" i="24"/>
  <c r="D165" i="24"/>
  <c r="D190" i="24"/>
  <c r="D275" i="24"/>
  <c r="D63" i="24"/>
  <c r="D113" i="24"/>
  <c r="D49" i="24"/>
  <c r="D331" i="24"/>
  <c r="D314" i="24"/>
  <c r="D105" i="24"/>
  <c r="D82" i="24"/>
  <c r="D106" i="24"/>
  <c r="D295" i="24"/>
  <c r="D327" i="24"/>
  <c r="D87" i="24"/>
  <c r="D164" i="24"/>
  <c r="D290" i="24"/>
  <c r="D258" i="24"/>
  <c r="D185" i="24"/>
  <c r="D141" i="24"/>
  <c r="D39" i="24"/>
  <c r="D313" i="24"/>
  <c r="D320" i="24"/>
  <c r="D29" i="24"/>
  <c r="D273" i="24"/>
  <c r="D212" i="24"/>
  <c r="D92" i="24"/>
  <c r="D315" i="24"/>
  <c r="D18" i="24"/>
  <c r="D223" i="24"/>
  <c r="D361" i="24"/>
  <c r="D272" i="24"/>
  <c r="D162" i="24"/>
  <c r="D280" i="24"/>
  <c r="D294" i="24"/>
  <c r="D317" i="24"/>
  <c r="D62" i="24"/>
  <c r="D114" i="24"/>
  <c r="D292" i="24"/>
  <c r="D14" i="24"/>
  <c r="D183" i="24"/>
  <c r="D175" i="24"/>
  <c r="D311" i="24"/>
  <c r="D101" i="24"/>
  <c r="D300" i="24"/>
  <c r="D192" i="24"/>
  <c r="D296" i="24"/>
  <c r="D130" i="24"/>
  <c r="D285" i="24"/>
  <c r="D68" i="24"/>
  <c r="D177" i="24"/>
  <c r="D293" i="24"/>
  <c r="D254" i="24"/>
  <c r="D246" i="24"/>
  <c r="D189" i="24"/>
  <c r="D142" i="24"/>
  <c r="D121" i="24"/>
  <c r="D336" i="24"/>
  <c r="D264" i="24"/>
  <c r="D325" i="24"/>
  <c r="D243" i="24"/>
  <c r="D124" i="24"/>
  <c r="D78" i="24"/>
  <c r="D58" i="24"/>
  <c r="D150" i="24"/>
  <c r="D90" i="24"/>
  <c r="D371" i="24"/>
  <c r="D207" i="24"/>
  <c r="D335" i="24"/>
  <c r="D98" i="24"/>
  <c r="D363" i="24"/>
  <c r="D143" i="24"/>
  <c r="D137" i="24"/>
  <c r="D198" i="24"/>
  <c r="D240" i="24"/>
  <c r="D53" i="24"/>
  <c r="D110" i="24"/>
  <c r="D312" i="24"/>
  <c r="D251" i="24"/>
  <c r="D184" i="24"/>
  <c r="D303" i="24"/>
  <c r="D156" i="24"/>
  <c r="D242" i="24"/>
  <c r="D366" i="24"/>
  <c r="D56" i="24"/>
  <c r="D291" i="24"/>
  <c r="D217" i="24"/>
  <c r="D222" i="24"/>
  <c r="D330" i="24"/>
  <c r="D249" i="24"/>
  <c r="B13" i="21"/>
  <c r="D13" i="21"/>
  <c r="E13" i="21"/>
  <c r="F13" i="21"/>
  <c r="G13" i="21"/>
  <c r="K13" i="21"/>
  <c r="L13" i="21"/>
  <c r="M13" i="21"/>
  <c r="M22" i="21"/>
  <c r="L22" i="21"/>
  <c r="K22" i="21"/>
  <c r="M21" i="21"/>
  <c r="L21" i="21"/>
  <c r="K21" i="21"/>
  <c r="M20" i="21"/>
  <c r="L20" i="21"/>
  <c r="K20" i="21"/>
  <c r="M19" i="21"/>
  <c r="L19" i="21"/>
  <c r="K19" i="21"/>
  <c r="M18" i="21"/>
  <c r="L18" i="21"/>
  <c r="K18" i="21"/>
  <c r="M17" i="21"/>
  <c r="L17" i="21"/>
  <c r="K17" i="21"/>
  <c r="M16" i="21"/>
  <c r="L16" i="21"/>
  <c r="K16" i="21"/>
  <c r="M15" i="21"/>
  <c r="L15" i="21"/>
  <c r="K15" i="21"/>
  <c r="M14" i="21"/>
  <c r="L14" i="21"/>
  <c r="K14" i="21"/>
  <c r="J3" i="22"/>
  <c r="F3" i="22"/>
  <c r="G22" i="21"/>
  <c r="F22" i="21"/>
  <c r="G21" i="21"/>
  <c r="F21" i="21"/>
  <c r="G20" i="21"/>
  <c r="F20" i="21"/>
  <c r="G19" i="21"/>
  <c r="F19" i="21"/>
  <c r="G18" i="21"/>
  <c r="F18" i="21"/>
  <c r="G17" i="21"/>
  <c r="F17" i="21"/>
  <c r="G16" i="21"/>
  <c r="F16" i="21"/>
  <c r="G15" i="21"/>
  <c r="F15" i="21"/>
  <c r="G14" i="21"/>
  <c r="F14" i="21"/>
  <c r="I12" i="22"/>
  <c r="I11" i="22"/>
  <c r="I10" i="22"/>
  <c r="I9" i="22"/>
  <c r="I8" i="22"/>
  <c r="I7" i="22"/>
  <c r="I6" i="22"/>
  <c r="I5" i="22"/>
  <c r="I4" i="22"/>
  <c r="I3" i="22"/>
  <c r="E22" i="21"/>
  <c r="D22" i="21"/>
  <c r="E21" i="21"/>
  <c r="D21" i="21"/>
  <c r="E20" i="21"/>
  <c r="D20" i="21"/>
  <c r="E19" i="21"/>
  <c r="D19" i="21"/>
  <c r="E18" i="21"/>
  <c r="D18" i="21"/>
  <c r="E17" i="21"/>
  <c r="D17" i="21"/>
  <c r="E16" i="21"/>
  <c r="D16" i="21"/>
  <c r="E15" i="21"/>
  <c r="D15" i="21"/>
  <c r="E14" i="21"/>
  <c r="D14" i="21"/>
  <c r="B22" i="21"/>
  <c r="B21" i="21"/>
  <c r="B20" i="21"/>
  <c r="B19" i="21"/>
  <c r="B18" i="21"/>
  <c r="B17" i="21"/>
  <c r="B16" i="21"/>
  <c r="B15" i="21"/>
  <c r="B14" i="21"/>
  <c r="F24" i="22"/>
  <c r="J24" i="22" s="1"/>
  <c r="L24" i="22" s="1"/>
  <c r="F23" i="22"/>
  <c r="J23" i="22" s="1"/>
  <c r="L23" i="22" s="1"/>
  <c r="F22" i="22"/>
  <c r="J22" i="22" s="1"/>
  <c r="L22" i="22" s="1"/>
  <c r="F21" i="22"/>
  <c r="J21" i="22" s="1"/>
  <c r="L21" i="22" s="1"/>
  <c r="F20" i="22"/>
  <c r="J20" i="22" s="1"/>
  <c r="L20" i="22" s="1"/>
  <c r="F12" i="22"/>
  <c r="J12" i="22" s="1"/>
  <c r="L12" i="22" s="1"/>
  <c r="F11" i="22"/>
  <c r="J11" i="22" s="1"/>
  <c r="L11" i="22" s="1"/>
  <c r="F10" i="22"/>
  <c r="J10" i="22" s="1"/>
  <c r="L10" i="22" s="1"/>
  <c r="F9" i="22"/>
  <c r="J9" i="22" s="1"/>
  <c r="L9" i="22" s="1"/>
  <c r="F8" i="22"/>
  <c r="J8" i="22" s="1"/>
  <c r="L8" i="22" s="1"/>
  <c r="F7" i="22"/>
  <c r="J7" i="22" s="1"/>
  <c r="L7" i="22" s="1"/>
  <c r="F6" i="22"/>
  <c r="J6" i="22" s="1"/>
  <c r="L6" i="22" s="1"/>
  <c r="F5" i="22"/>
  <c r="J5" i="22" s="1"/>
  <c r="L5" i="22" s="1"/>
  <c r="F4" i="22"/>
  <c r="J4" i="22" s="1"/>
  <c r="L4" i="22" s="1"/>
  <c r="L3" i="22"/>
  <c r="K46" i="10"/>
  <c r="J46" i="10"/>
  <c r="I46" i="10"/>
  <c r="H46" i="10"/>
  <c r="G46" i="10"/>
  <c r="D42" i="19"/>
  <c r="D40" i="19"/>
  <c r="D39" i="19"/>
  <c r="G14" i="19"/>
  <c r="H14" i="19" s="1"/>
  <c r="I14" i="19" s="1"/>
  <c r="J14" i="19" s="1"/>
  <c r="E9" i="19"/>
  <c r="G19" i="2"/>
  <c r="K60" i="10"/>
  <c r="J60" i="10"/>
  <c r="I60" i="10"/>
  <c r="H60" i="10"/>
  <c r="G60" i="10"/>
  <c r="K44" i="10"/>
  <c r="J44" i="10"/>
  <c r="I44" i="10"/>
  <c r="H44" i="10"/>
  <c r="G44" i="10"/>
  <c r="K35" i="10"/>
  <c r="J35" i="10"/>
  <c r="I35" i="10"/>
  <c r="H35" i="10"/>
  <c r="G35" i="10"/>
  <c r="B7" i="18"/>
  <c r="C9" i="18"/>
  <c r="D9" i="18"/>
  <c r="E9" i="18"/>
  <c r="F9" i="18"/>
  <c r="G9" i="18"/>
  <c r="H9" i="18"/>
  <c r="I9" i="18"/>
  <c r="J9" i="18"/>
  <c r="K9" i="18"/>
  <c r="L9" i="18"/>
  <c r="B11" i="18"/>
  <c r="C11" i="18"/>
  <c r="D11" i="18"/>
  <c r="E11" i="18"/>
  <c r="F11" i="18"/>
  <c r="G11" i="18"/>
  <c r="H11" i="18"/>
  <c r="I11" i="18"/>
  <c r="J11" i="18"/>
  <c r="K11" i="18"/>
  <c r="L11" i="18"/>
  <c r="B12" i="18"/>
  <c r="C12" i="18"/>
  <c r="D12" i="18"/>
  <c r="E12" i="18"/>
  <c r="F12" i="18"/>
  <c r="G12" i="18"/>
  <c r="H12" i="18"/>
  <c r="I12" i="18"/>
  <c r="J12" i="18"/>
  <c r="K12" i="18"/>
  <c r="L12" i="18"/>
  <c r="B13" i="18"/>
  <c r="C13" i="18"/>
  <c r="D13" i="18"/>
  <c r="E13" i="18"/>
  <c r="F13" i="18"/>
  <c r="G13" i="18"/>
  <c r="H13" i="18"/>
  <c r="I13" i="18"/>
  <c r="J13" i="18"/>
  <c r="K13" i="18"/>
  <c r="L13" i="18"/>
  <c r="B14" i="18"/>
  <c r="C14" i="18"/>
  <c r="D14" i="18"/>
  <c r="E14" i="18"/>
  <c r="F14" i="18"/>
  <c r="G14" i="18"/>
  <c r="H14" i="18"/>
  <c r="I14" i="18"/>
  <c r="J14" i="18"/>
  <c r="K14" i="18"/>
  <c r="L14" i="18"/>
  <c r="B15" i="18"/>
  <c r="C15" i="18"/>
  <c r="D15" i="18"/>
  <c r="E15" i="18"/>
  <c r="F15" i="18"/>
  <c r="G15" i="18"/>
  <c r="H15" i="18"/>
  <c r="I15" i="18"/>
  <c r="J15" i="18"/>
  <c r="K15" i="18"/>
  <c r="L15" i="18"/>
  <c r="B16" i="18"/>
  <c r="C16" i="18"/>
  <c r="D16" i="18"/>
  <c r="E16" i="18"/>
  <c r="F16" i="18"/>
  <c r="G16" i="18"/>
  <c r="H16" i="18"/>
  <c r="I16" i="18"/>
  <c r="J16" i="18"/>
  <c r="K16" i="18"/>
  <c r="L16" i="18"/>
  <c r="B17" i="18"/>
  <c r="C17" i="18"/>
  <c r="D17" i="18"/>
  <c r="E17" i="18"/>
  <c r="F17" i="18"/>
  <c r="G17" i="18"/>
  <c r="H17" i="18"/>
  <c r="I17" i="18"/>
  <c r="J17" i="18"/>
  <c r="K17" i="18"/>
  <c r="L17" i="18"/>
  <c r="B18" i="18"/>
  <c r="C18" i="18"/>
  <c r="D18" i="18"/>
  <c r="E18" i="18"/>
  <c r="F18" i="18"/>
  <c r="G18" i="18"/>
  <c r="H18" i="18"/>
  <c r="I18" i="18"/>
  <c r="J18" i="18"/>
  <c r="K18" i="18"/>
  <c r="L18" i="18"/>
  <c r="B19" i="18"/>
  <c r="C19" i="18"/>
  <c r="D19" i="18"/>
  <c r="E19" i="18"/>
  <c r="F19" i="18"/>
  <c r="G19" i="18"/>
  <c r="H19" i="18"/>
  <c r="I19" i="18"/>
  <c r="J19" i="18"/>
  <c r="K19" i="18"/>
  <c r="L19" i="18"/>
  <c r="B20" i="18"/>
  <c r="C20" i="18"/>
  <c r="D20" i="18"/>
  <c r="E20" i="18"/>
  <c r="F20" i="18"/>
  <c r="G20" i="18"/>
  <c r="H20" i="18"/>
  <c r="I20" i="18"/>
  <c r="J20" i="18"/>
  <c r="K20" i="18"/>
  <c r="L20" i="18"/>
  <c r="B21" i="18"/>
  <c r="C21" i="18"/>
  <c r="D21" i="18"/>
  <c r="E21" i="18"/>
  <c r="F21" i="18"/>
  <c r="G21" i="18"/>
  <c r="H21" i="18"/>
  <c r="I21" i="18"/>
  <c r="J21" i="18"/>
  <c r="K21" i="18"/>
  <c r="L21" i="18"/>
  <c r="B22" i="18"/>
  <c r="C22" i="18"/>
  <c r="D22" i="18"/>
  <c r="E22" i="18"/>
  <c r="F22" i="18"/>
  <c r="G22" i="18"/>
  <c r="H22" i="18"/>
  <c r="I22" i="18"/>
  <c r="J22" i="18"/>
  <c r="K22" i="18"/>
  <c r="L22" i="18"/>
  <c r="B23" i="18"/>
  <c r="C23" i="18"/>
  <c r="D23" i="18"/>
  <c r="E23" i="18"/>
  <c r="F23" i="18"/>
  <c r="G23" i="18"/>
  <c r="H23" i="18"/>
  <c r="I23" i="18"/>
  <c r="J23" i="18"/>
  <c r="K23" i="18"/>
  <c r="L23" i="18"/>
  <c r="B24" i="18"/>
  <c r="C24" i="18"/>
  <c r="D24" i="18"/>
  <c r="E24" i="18"/>
  <c r="F24" i="18"/>
  <c r="G24" i="18"/>
  <c r="H24" i="18"/>
  <c r="I24" i="18"/>
  <c r="J24" i="18"/>
  <c r="K24" i="18"/>
  <c r="L24" i="18"/>
  <c r="B25" i="18"/>
  <c r="C25" i="18"/>
  <c r="D25" i="18"/>
  <c r="E25" i="18"/>
  <c r="F25" i="18"/>
  <c r="G25" i="18"/>
  <c r="H25" i="18"/>
  <c r="I25" i="18"/>
  <c r="J25" i="18"/>
  <c r="K25" i="18"/>
  <c r="L25" i="18"/>
  <c r="B26" i="18"/>
  <c r="C26" i="18"/>
  <c r="D26" i="18"/>
  <c r="E26" i="18"/>
  <c r="F26" i="18"/>
  <c r="G26" i="18"/>
  <c r="H26" i="18"/>
  <c r="I26" i="18"/>
  <c r="J26" i="18"/>
  <c r="K26" i="18"/>
  <c r="L26" i="18"/>
  <c r="B29" i="18"/>
  <c r="C31" i="18"/>
  <c r="D31" i="18"/>
  <c r="E31" i="18"/>
  <c r="F31" i="18"/>
  <c r="G31" i="18"/>
  <c r="H31" i="18"/>
  <c r="I31" i="18"/>
  <c r="J31" i="18"/>
  <c r="K31" i="18"/>
  <c r="L31" i="18"/>
  <c r="C33" i="18"/>
  <c r="D33" i="18"/>
  <c r="E33" i="18"/>
  <c r="F33" i="18"/>
  <c r="G33" i="18"/>
  <c r="H33" i="18"/>
  <c r="I33" i="18"/>
  <c r="J33" i="18"/>
  <c r="K33" i="18"/>
  <c r="L33" i="18"/>
  <c r="B34" i="18"/>
  <c r="C34" i="18"/>
  <c r="D34" i="18"/>
  <c r="E34" i="18"/>
  <c r="F34" i="18"/>
  <c r="G34" i="18"/>
  <c r="H34" i="18"/>
  <c r="I34" i="18"/>
  <c r="J34" i="18"/>
  <c r="K34" i="18"/>
  <c r="L34" i="18"/>
  <c r="B35" i="18"/>
  <c r="C35" i="18"/>
  <c r="D35" i="18"/>
  <c r="E35" i="18"/>
  <c r="F35" i="18"/>
  <c r="G35" i="18"/>
  <c r="H35" i="18"/>
  <c r="I35" i="18"/>
  <c r="J35" i="18"/>
  <c r="K35" i="18"/>
  <c r="L35" i="18"/>
  <c r="B36" i="18"/>
  <c r="C36" i="18"/>
  <c r="E36" i="18"/>
  <c r="F36" i="18"/>
  <c r="G36" i="18"/>
  <c r="H36" i="18"/>
  <c r="I36" i="18"/>
  <c r="J36" i="18"/>
  <c r="K36" i="18"/>
  <c r="L36" i="18"/>
  <c r="B37" i="18"/>
  <c r="C37" i="18"/>
  <c r="D37" i="18"/>
  <c r="E37" i="18"/>
  <c r="F37" i="18"/>
  <c r="G37" i="18"/>
  <c r="H37" i="18"/>
  <c r="I37" i="18"/>
  <c r="J37" i="18"/>
  <c r="K37" i="18"/>
  <c r="L37" i="18"/>
  <c r="C39" i="18"/>
  <c r="D39" i="18"/>
  <c r="E39" i="18"/>
  <c r="F39" i="18"/>
  <c r="G39" i="18"/>
  <c r="H39" i="18"/>
  <c r="I39" i="18"/>
  <c r="J39" i="18"/>
  <c r="K39" i="18"/>
  <c r="L39" i="18"/>
  <c r="B40" i="18"/>
  <c r="C40" i="18"/>
  <c r="D40" i="18"/>
  <c r="E40" i="18"/>
  <c r="F40" i="18"/>
  <c r="G40" i="18"/>
  <c r="H40" i="18"/>
  <c r="I40" i="18"/>
  <c r="J40" i="18"/>
  <c r="K40" i="18"/>
  <c r="L40" i="18"/>
  <c r="B41" i="18"/>
  <c r="C41" i="18"/>
  <c r="D41" i="18"/>
  <c r="E41" i="18"/>
  <c r="F41" i="18"/>
  <c r="G41" i="18"/>
  <c r="H41" i="18"/>
  <c r="I41" i="18"/>
  <c r="J41" i="18"/>
  <c r="K41" i="18"/>
  <c r="L41" i="18"/>
  <c r="B42" i="18"/>
  <c r="C42" i="18"/>
  <c r="D42" i="18"/>
  <c r="E42" i="18"/>
  <c r="F42" i="18"/>
  <c r="G42" i="18"/>
  <c r="H42" i="18"/>
  <c r="I42" i="18"/>
  <c r="J42" i="18"/>
  <c r="K42" i="18"/>
  <c r="L42" i="18"/>
  <c r="B43" i="18"/>
  <c r="C43" i="18"/>
  <c r="D43" i="18"/>
  <c r="E43" i="18"/>
  <c r="F43" i="18"/>
  <c r="G43" i="18"/>
  <c r="H43" i="18"/>
  <c r="I43" i="18"/>
  <c r="J43" i="18"/>
  <c r="K43" i="18"/>
  <c r="L43" i="18"/>
  <c r="B44" i="18"/>
  <c r="C44" i="18"/>
  <c r="D44" i="18"/>
  <c r="E44" i="18"/>
  <c r="F44" i="18"/>
  <c r="G44" i="18"/>
  <c r="H44" i="18"/>
  <c r="I44" i="18"/>
  <c r="J44" i="18"/>
  <c r="K44" i="18"/>
  <c r="L44" i="18"/>
  <c r="B45" i="18"/>
  <c r="C45" i="18"/>
  <c r="D45" i="18"/>
  <c r="E45" i="18"/>
  <c r="F45" i="18"/>
  <c r="G45" i="18"/>
  <c r="H45" i="18"/>
  <c r="I45" i="18"/>
  <c r="J45" i="18"/>
  <c r="K45" i="18"/>
  <c r="L45" i="18"/>
  <c r="B46" i="18"/>
  <c r="C46" i="18"/>
  <c r="D46" i="18"/>
  <c r="E46" i="18"/>
  <c r="F46" i="18"/>
  <c r="G46" i="18"/>
  <c r="H46" i="18"/>
  <c r="I46" i="18"/>
  <c r="J46" i="18"/>
  <c r="K46" i="18"/>
  <c r="L46" i="18"/>
  <c r="E1" i="17"/>
  <c r="B6" i="17"/>
  <c r="K15" i="17"/>
  <c r="B32" i="17"/>
  <c r="C32" i="17"/>
  <c r="D32" i="17"/>
  <c r="E32" i="17"/>
  <c r="F32" i="17"/>
  <c r="G32" i="17"/>
  <c r="H32" i="17"/>
  <c r="I32" i="17"/>
  <c r="J32" i="17"/>
  <c r="K32" i="17"/>
  <c r="B34" i="17"/>
  <c r="B15" i="17" s="1"/>
  <c r="C34" i="17"/>
  <c r="D34" i="17"/>
  <c r="E34" i="17"/>
  <c r="F34" i="17"/>
  <c r="G34" i="17"/>
  <c r="H34" i="17"/>
  <c r="I34" i="17"/>
  <c r="J34" i="17"/>
  <c r="K34" i="17"/>
  <c r="B51" i="17"/>
  <c r="C51" i="17"/>
  <c r="D51" i="17"/>
  <c r="E51" i="17"/>
  <c r="F51" i="17"/>
  <c r="G51" i="17"/>
  <c r="H51" i="17"/>
  <c r="I51" i="17"/>
  <c r="J51" i="17"/>
  <c r="K51" i="17"/>
  <c r="H73" i="17"/>
  <c r="I73" i="17"/>
  <c r="J73" i="17"/>
  <c r="K73" i="17"/>
  <c r="B74" i="17"/>
  <c r="C74" i="17"/>
  <c r="D74" i="17"/>
  <c r="E74" i="17"/>
  <c r="F74" i="17"/>
  <c r="G74" i="17"/>
  <c r="H74" i="17"/>
  <c r="I74" i="17"/>
  <c r="J74" i="17"/>
  <c r="K74" i="17"/>
  <c r="B75" i="17"/>
  <c r="C75" i="17"/>
  <c r="D75" i="17"/>
  <c r="E75" i="17"/>
  <c r="F75" i="17"/>
  <c r="G75" i="17"/>
  <c r="H75" i="17"/>
  <c r="I75" i="17"/>
  <c r="J75" i="17"/>
  <c r="K75" i="17"/>
  <c r="B7" i="14"/>
  <c r="G7" i="14"/>
  <c r="L7" i="14"/>
  <c r="C9" i="14"/>
  <c r="D9" i="14" a="1"/>
  <c r="B10" i="14"/>
  <c r="C10" i="14"/>
  <c r="C11" i="14" s="1"/>
  <c r="C12" i="14" s="1"/>
  <c r="C13" i="14" s="1"/>
  <c r="C14" i="14" s="1"/>
  <c r="C15" i="14" s="1"/>
  <c r="C16" i="14" s="1"/>
  <c r="C17" i="14" s="1"/>
  <c r="C18" i="14" s="1"/>
  <c r="C19" i="14" s="1"/>
  <c r="C20" i="14" s="1"/>
  <c r="C21" i="14" s="1"/>
  <c r="C22" i="14" s="1"/>
  <c r="C23" i="14" s="1"/>
  <c r="G10" i="14"/>
  <c r="L10" i="14"/>
  <c r="B11" i="14"/>
  <c r="G11" i="14"/>
  <c r="L11" i="14"/>
  <c r="B12" i="14"/>
  <c r="G12" i="14"/>
  <c r="L12" i="14"/>
  <c r="B13" i="14"/>
  <c r="G13" i="14"/>
  <c r="L13" i="14"/>
  <c r="B14" i="14"/>
  <c r="G14" i="14"/>
  <c r="L14" i="14"/>
  <c r="B15" i="14"/>
  <c r="G15" i="14"/>
  <c r="G16" i="14" s="1"/>
  <c r="G17" i="14" s="1"/>
  <c r="G18" i="14" s="1"/>
  <c r="G19" i="14" s="1"/>
  <c r="G20" i="14" s="1"/>
  <c r="G21" i="14" s="1"/>
  <c r="G22" i="14" s="1"/>
  <c r="G23" i="14" s="1"/>
  <c r="L15" i="14"/>
  <c r="B16" i="14"/>
  <c r="B17" i="14" s="1"/>
  <c r="B18" i="14" s="1"/>
  <c r="B19" i="14" s="1"/>
  <c r="B20" i="14" s="1"/>
  <c r="B21" i="14" s="1"/>
  <c r="B22" i="14" s="1"/>
  <c r="B23" i="14" s="1"/>
  <c r="L16" i="14"/>
  <c r="L17" i="14"/>
  <c r="L18" i="14"/>
  <c r="L19" i="14"/>
  <c r="L20" i="14"/>
  <c r="L21" i="14"/>
  <c r="L22" i="14" s="1"/>
  <c r="L23" i="14" s="1"/>
  <c r="B7" i="13"/>
  <c r="C8" i="13"/>
  <c r="D8" i="13"/>
  <c r="E8" i="13"/>
  <c r="F8" i="13"/>
  <c r="G8" i="13"/>
  <c r="H8" i="13"/>
  <c r="I8" i="13"/>
  <c r="J8" i="13"/>
  <c r="K8" i="13"/>
  <c r="L8" i="13"/>
  <c r="B8" i="11"/>
  <c r="C9" i="11"/>
  <c r="D9" i="11"/>
  <c r="E9" i="11"/>
  <c r="F9" i="11"/>
  <c r="C58" i="27" s="1"/>
  <c r="G9" i="11"/>
  <c r="D58" i="27" s="1"/>
  <c r="H9" i="11"/>
  <c r="E58" i="27" s="1"/>
  <c r="I9" i="11"/>
  <c r="F58" i="27" s="1"/>
  <c r="J9" i="11"/>
  <c r="G58" i="27" s="1"/>
  <c r="K9" i="11"/>
  <c r="H58" i="27" s="1"/>
  <c r="L9" i="11"/>
  <c r="I58" i="27" s="1"/>
  <c r="C11" i="11"/>
  <c r="D11" i="11"/>
  <c r="E11" i="11"/>
  <c r="F11" i="11"/>
  <c r="G11" i="11"/>
  <c r="H11" i="11"/>
  <c r="I11" i="11"/>
  <c r="J11" i="11"/>
  <c r="K11" i="11"/>
  <c r="L11" i="11"/>
  <c r="M11" i="11"/>
  <c r="D12" i="11"/>
  <c r="D10" i="13" s="1"/>
  <c r="E12" i="11"/>
  <c r="E10" i="13" s="1"/>
  <c r="F12" i="11"/>
  <c r="F10" i="13" s="1"/>
  <c r="G12" i="11"/>
  <c r="G10" i="13" s="1"/>
  <c r="H12" i="11"/>
  <c r="H10" i="13" s="1"/>
  <c r="I12" i="11"/>
  <c r="I10" i="13" s="1"/>
  <c r="J12" i="11"/>
  <c r="J10" i="13" s="1"/>
  <c r="K12" i="11"/>
  <c r="K10" i="13" s="1"/>
  <c r="L12" i="11"/>
  <c r="L10" i="13" s="1"/>
  <c r="C14" i="11"/>
  <c r="C15" i="11" s="1"/>
  <c r="D14" i="11"/>
  <c r="E14" i="11"/>
  <c r="F14" i="11"/>
  <c r="G14" i="11"/>
  <c r="H14" i="11"/>
  <c r="I14" i="11"/>
  <c r="J14" i="11"/>
  <c r="K14" i="11"/>
  <c r="L14" i="11"/>
  <c r="M14" i="11"/>
  <c r="H15" i="11"/>
  <c r="I15" i="11"/>
  <c r="J15" i="11"/>
  <c r="K15" i="11"/>
  <c r="L15" i="11"/>
  <c r="M15" i="11"/>
  <c r="C17" i="11"/>
  <c r="H17" i="11"/>
  <c r="I17" i="11"/>
  <c r="J17" i="11"/>
  <c r="K17" i="11"/>
  <c r="L17" i="11"/>
  <c r="M17" i="11"/>
  <c r="C18" i="11"/>
  <c r="C16" i="13" s="1"/>
  <c r="H18" i="11"/>
  <c r="H16" i="13" s="1"/>
  <c r="I18" i="11"/>
  <c r="I16" i="13" s="1"/>
  <c r="J18" i="11"/>
  <c r="J16" i="13" s="1"/>
  <c r="K18" i="11"/>
  <c r="K16" i="13" s="1"/>
  <c r="L18" i="11"/>
  <c r="L16" i="13" s="1"/>
  <c r="M18" i="11"/>
  <c r="C20" i="11"/>
  <c r="D20" i="11"/>
  <c r="E20" i="11"/>
  <c r="F20" i="11"/>
  <c r="G20" i="11"/>
  <c r="H20" i="11"/>
  <c r="I20" i="11"/>
  <c r="J20" i="11"/>
  <c r="J21" i="11" s="1"/>
  <c r="J22" i="13" s="1"/>
  <c r="K20" i="11"/>
  <c r="K21" i="11" s="1"/>
  <c r="K22" i="13" s="1"/>
  <c r="L20" i="11"/>
  <c r="L21" i="11" s="1"/>
  <c r="L22" i="13" s="1"/>
  <c r="C21" i="11"/>
  <c r="C22" i="13" s="1"/>
  <c r="D21" i="11"/>
  <c r="D22" i="13" s="1"/>
  <c r="E21" i="11"/>
  <c r="E22" i="13" s="1"/>
  <c r="F21" i="11"/>
  <c r="F22" i="13" s="1"/>
  <c r="G21" i="11"/>
  <c r="G22" i="13" s="1"/>
  <c r="H21" i="11"/>
  <c r="H22" i="13" s="1"/>
  <c r="I21" i="11"/>
  <c r="I22" i="13" s="1"/>
  <c r="M21" i="11"/>
  <c r="M23" i="11"/>
  <c r="C26" i="11"/>
  <c r="D26" i="11"/>
  <c r="E26" i="11"/>
  <c r="F26" i="11"/>
  <c r="G26" i="11"/>
  <c r="H26" i="11"/>
  <c r="I26" i="11"/>
  <c r="J26" i="11"/>
  <c r="K26" i="11"/>
  <c r="L26" i="11"/>
  <c r="M26" i="11"/>
  <c r="C27" i="11"/>
  <c r="D27" i="11"/>
  <c r="E27" i="11"/>
  <c r="F27" i="11"/>
  <c r="G27" i="11"/>
  <c r="H27" i="11"/>
  <c r="I27" i="11"/>
  <c r="J27" i="11"/>
  <c r="K27" i="11"/>
  <c r="L27" i="11"/>
  <c r="C29" i="11"/>
  <c r="D29" i="11"/>
  <c r="E29" i="11"/>
  <c r="F29" i="11"/>
  <c r="G29" i="11"/>
  <c r="H29" i="11"/>
  <c r="I29" i="11"/>
  <c r="J29" i="11"/>
  <c r="K29" i="11"/>
  <c r="L29" i="11"/>
  <c r="M29" i="11"/>
  <c r="C30" i="11"/>
  <c r="C23" i="13" s="1"/>
  <c r="D30" i="11"/>
  <c r="D23" i="13" s="1"/>
  <c r="E30" i="11"/>
  <c r="E23" i="13" s="1"/>
  <c r="F30" i="11"/>
  <c r="F23" i="13" s="1"/>
  <c r="G30" i="11"/>
  <c r="G23" i="13" s="1"/>
  <c r="H30" i="11"/>
  <c r="H23" i="13" s="1"/>
  <c r="I30" i="11"/>
  <c r="I23" i="13" s="1"/>
  <c r="J30" i="11"/>
  <c r="J23" i="13" s="1"/>
  <c r="K30" i="11"/>
  <c r="K23" i="13" s="1"/>
  <c r="L30" i="11"/>
  <c r="L23" i="13" s="1"/>
  <c r="C35" i="11"/>
  <c r="D35" i="11"/>
  <c r="E35" i="11"/>
  <c r="F35" i="11"/>
  <c r="G35" i="11"/>
  <c r="H35" i="11"/>
  <c r="I35" i="11"/>
  <c r="J35" i="11"/>
  <c r="K35" i="11"/>
  <c r="L35" i="11"/>
  <c r="M35" i="11"/>
  <c r="C46" i="11"/>
  <c r="D41" i="11"/>
  <c r="D46" i="11" s="1"/>
  <c r="E41" i="11"/>
  <c r="E46" i="11" s="1"/>
  <c r="E14" i="13" s="1"/>
  <c r="F41" i="11"/>
  <c r="F46" i="11" s="1"/>
  <c r="G41" i="11"/>
  <c r="G46" i="11" s="1"/>
  <c r="G14" i="13" s="1"/>
  <c r="H41" i="11"/>
  <c r="H46" i="11" s="1"/>
  <c r="I41" i="11"/>
  <c r="I46" i="11" s="1"/>
  <c r="J41" i="11"/>
  <c r="J46" i="11" s="1"/>
  <c r="K41" i="11"/>
  <c r="K46" i="11" s="1"/>
  <c r="L41" i="11"/>
  <c r="L46" i="11" s="1"/>
  <c r="M41" i="11"/>
  <c r="C54" i="11"/>
  <c r="D54" i="11"/>
  <c r="E54" i="11"/>
  <c r="F54" i="11"/>
  <c r="G54" i="11"/>
  <c r="H54" i="11"/>
  <c r="I54" i="11"/>
  <c r="J54" i="11"/>
  <c r="K54" i="11"/>
  <c r="L54" i="11"/>
  <c r="C55" i="11"/>
  <c r="D55" i="11"/>
  <c r="E55" i="11"/>
  <c r="F55" i="11"/>
  <c r="G55" i="11"/>
  <c r="H55" i="11"/>
  <c r="I55" i="11"/>
  <c r="J55" i="11"/>
  <c r="K55" i="11"/>
  <c r="L55" i="11"/>
  <c r="C56" i="11"/>
  <c r="C45" i="13" s="1"/>
  <c r="D56" i="11"/>
  <c r="D45" i="13" s="1"/>
  <c r="E56" i="11"/>
  <c r="F56" i="11"/>
  <c r="F45" i="13" s="1"/>
  <c r="G56" i="11"/>
  <c r="G45" i="13" s="1"/>
  <c r="H56" i="11"/>
  <c r="H45" i="13" s="1"/>
  <c r="I56" i="11"/>
  <c r="I45" i="13" s="1"/>
  <c r="J56" i="11"/>
  <c r="J45" i="13" s="1"/>
  <c r="K56" i="11"/>
  <c r="K45" i="13" s="1"/>
  <c r="L56" i="11"/>
  <c r="L45" i="13" s="1"/>
  <c r="C57" i="11"/>
  <c r="D57" i="11"/>
  <c r="E57" i="11"/>
  <c r="F57" i="11"/>
  <c r="G57" i="11"/>
  <c r="H57" i="11"/>
  <c r="I57" i="11"/>
  <c r="J57" i="11"/>
  <c r="K57" i="11"/>
  <c r="L57" i="11"/>
  <c r="C58" i="11"/>
  <c r="D58" i="11"/>
  <c r="F58" i="11"/>
  <c r="C47" i="28" s="1"/>
  <c r="C48" i="28" s="1"/>
  <c r="G58" i="11"/>
  <c r="D47" i="28" s="1"/>
  <c r="D48" i="28" s="1"/>
  <c r="H58" i="11"/>
  <c r="E47" i="28" s="1"/>
  <c r="E48" i="28" s="1"/>
  <c r="I58" i="11"/>
  <c r="F47" i="28" s="1"/>
  <c r="F48" i="28" s="1"/>
  <c r="J58" i="11"/>
  <c r="G47" i="28" s="1"/>
  <c r="G48" i="28" s="1"/>
  <c r="K58" i="11"/>
  <c r="H47" i="28" s="1"/>
  <c r="H48" i="28" s="1"/>
  <c r="L58" i="11"/>
  <c r="I47" i="28" s="1"/>
  <c r="I48" i="28" s="1"/>
  <c r="C60" i="11"/>
  <c r="D60" i="11"/>
  <c r="E60" i="11"/>
  <c r="F60" i="11"/>
  <c r="G60" i="11"/>
  <c r="H60" i="11"/>
  <c r="I60" i="11"/>
  <c r="J60" i="11"/>
  <c r="K60" i="11"/>
  <c r="L60" i="11"/>
  <c r="C61" i="11"/>
  <c r="D61" i="11"/>
  <c r="E61" i="11"/>
  <c r="F61" i="11"/>
  <c r="G61" i="11"/>
  <c r="H61" i="11"/>
  <c r="I61" i="11"/>
  <c r="J61" i="11"/>
  <c r="K61" i="11"/>
  <c r="L61" i="11"/>
  <c r="C62" i="11"/>
  <c r="D62" i="11"/>
  <c r="E62" i="11"/>
  <c r="F62" i="11"/>
  <c r="G62" i="11"/>
  <c r="H62" i="11"/>
  <c r="I62" i="11"/>
  <c r="J62" i="11"/>
  <c r="K62" i="11"/>
  <c r="L62" i="11"/>
  <c r="C63" i="11"/>
  <c r="D63" i="11"/>
  <c r="E63" i="11"/>
  <c r="F63" i="11"/>
  <c r="G63" i="11"/>
  <c r="H63" i="11"/>
  <c r="I63" i="11"/>
  <c r="J63" i="11"/>
  <c r="K63" i="11"/>
  <c r="L63" i="11"/>
  <c r="C66" i="11"/>
  <c r="D66" i="11"/>
  <c r="E66" i="11"/>
  <c r="F66" i="11"/>
  <c r="G66" i="11"/>
  <c r="H66" i="11"/>
  <c r="I66" i="11"/>
  <c r="J66" i="11"/>
  <c r="K66" i="11"/>
  <c r="L66" i="11"/>
  <c r="C67" i="11"/>
  <c r="D67" i="11"/>
  <c r="E67" i="11"/>
  <c r="F67" i="11"/>
  <c r="G67" i="11"/>
  <c r="H67" i="11"/>
  <c r="I67" i="11"/>
  <c r="J67" i="11"/>
  <c r="K67" i="11"/>
  <c r="L67" i="11"/>
  <c r="C68" i="11"/>
  <c r="D68" i="11"/>
  <c r="E68" i="11"/>
  <c r="E69" i="11" s="1"/>
  <c r="F68" i="11"/>
  <c r="G68" i="11"/>
  <c r="H68" i="11"/>
  <c r="I68" i="11"/>
  <c r="J68" i="11"/>
  <c r="K68" i="11"/>
  <c r="L68" i="11"/>
  <c r="C69" i="11"/>
  <c r="D69" i="11"/>
  <c r="F69" i="11"/>
  <c r="G69" i="11"/>
  <c r="H69" i="11"/>
  <c r="I69" i="11"/>
  <c r="J69" i="11"/>
  <c r="L69" i="11"/>
  <c r="K33" i="10"/>
  <c r="J33" i="10"/>
  <c r="I33" i="10"/>
  <c r="H33" i="10"/>
  <c r="G33" i="10"/>
  <c r="K32" i="10"/>
  <c r="J32" i="10"/>
  <c r="I32" i="10"/>
  <c r="H32" i="10"/>
  <c r="G32" i="10"/>
  <c r="K31" i="10"/>
  <c r="J31" i="10"/>
  <c r="I31" i="10"/>
  <c r="H31" i="10"/>
  <c r="G31" i="10"/>
  <c r="K30" i="10"/>
  <c r="J30" i="10"/>
  <c r="I30" i="10"/>
  <c r="H30" i="10"/>
  <c r="G30" i="10"/>
  <c r="K29" i="10"/>
  <c r="J29" i="10"/>
  <c r="I29" i="10"/>
  <c r="H29" i="10"/>
  <c r="G29" i="10"/>
  <c r="K28" i="10"/>
  <c r="J28" i="10"/>
  <c r="I28" i="10"/>
  <c r="H28" i="10"/>
  <c r="G28" i="10"/>
  <c r="K27" i="10"/>
  <c r="J27" i="10"/>
  <c r="I27" i="10"/>
  <c r="H27" i="10"/>
  <c r="G27" i="10"/>
  <c r="K26" i="10"/>
  <c r="K34" i="10" s="1"/>
  <c r="J26" i="10"/>
  <c r="J34" i="10" s="1"/>
  <c r="I26" i="10"/>
  <c r="I34" i="10" s="1"/>
  <c r="H26" i="10"/>
  <c r="H34" i="10" s="1"/>
  <c r="G26" i="10"/>
  <c r="G34" i="10" s="1"/>
  <c r="B33" i="10"/>
  <c r="B32" i="10"/>
  <c r="B31" i="10"/>
  <c r="B30" i="10"/>
  <c r="B29" i="10"/>
  <c r="B28" i="10"/>
  <c r="B27" i="10"/>
  <c r="B26" i="10"/>
  <c r="K19" i="10"/>
  <c r="J19" i="10"/>
  <c r="I19" i="10"/>
  <c r="H19" i="10"/>
  <c r="G19" i="10"/>
  <c r="K18" i="10"/>
  <c r="J18" i="10"/>
  <c r="I18" i="10"/>
  <c r="H18" i="10"/>
  <c r="G18" i="10"/>
  <c r="K17" i="10"/>
  <c r="K20" i="10" s="1"/>
  <c r="J17" i="10"/>
  <c r="I17" i="10"/>
  <c r="I20" i="10" s="1"/>
  <c r="H17" i="10"/>
  <c r="G17" i="10"/>
  <c r="G20" i="10" s="1"/>
  <c r="B19" i="10"/>
  <c r="B18" i="10"/>
  <c r="B17" i="10"/>
  <c r="J20" i="10"/>
  <c r="H20" i="10"/>
  <c r="K13" i="10"/>
  <c r="J13" i="10"/>
  <c r="I13" i="10"/>
  <c r="H13" i="10"/>
  <c r="G13" i="10"/>
  <c r="K12" i="10"/>
  <c r="J12" i="10"/>
  <c r="I12" i="10"/>
  <c r="H12" i="10"/>
  <c r="G12" i="10"/>
  <c r="G11" i="10"/>
  <c r="H11" i="10"/>
  <c r="I11" i="10"/>
  <c r="J11" i="10"/>
  <c r="K11" i="10"/>
  <c r="K10" i="10"/>
  <c r="J10" i="10"/>
  <c r="I10" i="10"/>
  <c r="H10" i="10"/>
  <c r="G10" i="10"/>
  <c r="B13" i="10"/>
  <c r="B12" i="10"/>
  <c r="B11" i="10"/>
  <c r="B10" i="10"/>
  <c r="K7" i="10"/>
  <c r="E7" i="19" s="1"/>
  <c r="F7" i="19" s="1"/>
  <c r="G7" i="19" s="1"/>
  <c r="H7" i="19" s="1"/>
  <c r="I7" i="19" s="1"/>
  <c r="J7" i="19" s="1"/>
  <c r="J7" i="10"/>
  <c r="I7" i="10"/>
  <c r="H7" i="10"/>
  <c r="G7" i="10"/>
  <c r="O30" i="7"/>
  <c r="N30" i="7"/>
  <c r="M30" i="7"/>
  <c r="L30" i="7"/>
  <c r="K30" i="7"/>
  <c r="J30" i="7"/>
  <c r="I30" i="7"/>
  <c r="H30" i="7"/>
  <c r="G30" i="7"/>
  <c r="F30" i="7"/>
  <c r="E30" i="7"/>
  <c r="D30" i="7"/>
  <c r="F14" i="6"/>
  <c r="F16" i="6" s="1"/>
  <c r="H28" i="2" s="1"/>
  <c r="G18" i="2"/>
  <c r="G17" i="2"/>
  <c r="G16" i="2"/>
  <c r="G15" i="2"/>
  <c r="C37" i="2" s="1"/>
  <c r="F19" i="2"/>
  <c r="F18" i="2"/>
  <c r="F17" i="2"/>
  <c r="F16" i="2"/>
  <c r="F15" i="2"/>
  <c r="H22" i="2"/>
  <c r="E28" i="2" s="1"/>
  <c r="H21" i="2"/>
  <c r="M14" i="4"/>
  <c r="J11" i="4" s="1"/>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D13" i="4"/>
  <c r="G13"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C35" i="13" l="1"/>
  <c r="F14" i="13"/>
  <c r="I41" i="28"/>
  <c r="I53" i="28"/>
  <c r="I54" i="28" s="1"/>
  <c r="H41" i="28"/>
  <c r="H53" i="28"/>
  <c r="H54" i="28" s="1"/>
  <c r="G41" i="28"/>
  <c r="G53" i="28"/>
  <c r="G54" i="28" s="1"/>
  <c r="F41" i="28"/>
  <c r="F53" i="28"/>
  <c r="F54" i="28" s="1"/>
  <c r="E41" i="28"/>
  <c r="E53" i="28"/>
  <c r="E54" i="28" s="1"/>
  <c r="D41" i="28"/>
  <c r="D53" i="28"/>
  <c r="D54" i="28" s="1"/>
  <c r="C41" i="28"/>
  <c r="C53" i="28"/>
  <c r="C54" i="28" s="1"/>
  <c r="I36" i="28"/>
  <c r="H36" i="28"/>
  <c r="G36" i="28"/>
  <c r="F36" i="28"/>
  <c r="E36" i="28"/>
  <c r="D36" i="28"/>
  <c r="C36" i="28"/>
  <c r="H74" i="27"/>
  <c r="H94" i="27"/>
  <c r="H84" i="27"/>
  <c r="G74" i="27"/>
  <c r="G94" i="27"/>
  <c r="G84" i="27"/>
  <c r="F74" i="27"/>
  <c r="F94" i="27"/>
  <c r="F84" i="27"/>
  <c r="E74" i="27"/>
  <c r="E94" i="27"/>
  <c r="E84" i="27"/>
  <c r="D74" i="27"/>
  <c r="D94" i="27"/>
  <c r="D84" i="27"/>
  <c r="C74" i="27"/>
  <c r="C94" i="27"/>
  <c r="C84" i="27"/>
  <c r="I74" i="27"/>
  <c r="I94" i="27"/>
  <c r="I84" i="27"/>
  <c r="H70" i="27"/>
  <c r="H72" i="27" s="1"/>
  <c r="H90" i="27"/>
  <c r="H93" i="27" s="1"/>
  <c r="H95" i="27" s="1"/>
  <c r="G70" i="27"/>
  <c r="G72" i="27" s="1"/>
  <c r="G90" i="27"/>
  <c r="G93" i="27" s="1"/>
  <c r="G95" i="27" s="1"/>
  <c r="F70" i="27"/>
  <c r="F72" i="27" s="1"/>
  <c r="F90" i="27"/>
  <c r="F93" i="27" s="1"/>
  <c r="F95" i="27" s="1"/>
  <c r="E70" i="27"/>
  <c r="E72" i="27" s="1"/>
  <c r="E90" i="27"/>
  <c r="E93" i="27" s="1"/>
  <c r="E95" i="27" s="1"/>
  <c r="D70" i="27"/>
  <c r="D72" i="27" s="1"/>
  <c r="D90" i="27"/>
  <c r="D93" i="27" s="1"/>
  <c r="D95" i="27" s="1"/>
  <c r="C70" i="27"/>
  <c r="C72" i="27" s="1"/>
  <c r="C90" i="27"/>
  <c r="C93" i="27" s="1"/>
  <c r="C95" i="27" s="1"/>
  <c r="I70" i="27"/>
  <c r="I72" i="27" s="1"/>
  <c r="I90" i="27"/>
  <c r="I93" i="27" s="1"/>
  <c r="I95" i="27" s="1"/>
  <c r="H65" i="27"/>
  <c r="H88" i="27"/>
  <c r="H26" i="28" s="1"/>
  <c r="H82" i="27"/>
  <c r="G65" i="27"/>
  <c r="G88" i="27"/>
  <c r="G26" i="28" s="1"/>
  <c r="G82" i="27"/>
  <c r="F65" i="27"/>
  <c r="F88" i="27"/>
  <c r="F26" i="28" s="1"/>
  <c r="F82" i="27"/>
  <c r="E65" i="27"/>
  <c r="E88" i="27"/>
  <c r="E26" i="28" s="1"/>
  <c r="E82" i="27"/>
  <c r="D65" i="27"/>
  <c r="D88" i="27"/>
  <c r="D26" i="28" s="1"/>
  <c r="D82" i="27"/>
  <c r="C65" i="27"/>
  <c r="C88" i="27"/>
  <c r="C26" i="28" s="1"/>
  <c r="C82" i="27"/>
  <c r="I65" i="27"/>
  <c r="I88" i="27"/>
  <c r="I26" i="28" s="1"/>
  <c r="I82" i="27"/>
  <c r="H76" i="27"/>
  <c r="G76" i="27"/>
  <c r="F76" i="27"/>
  <c r="E76" i="27"/>
  <c r="D76" i="27"/>
  <c r="C76" i="27"/>
  <c r="I76" i="27"/>
  <c r="H66" i="27"/>
  <c r="H61" i="27"/>
  <c r="G66" i="27"/>
  <c r="G61" i="27"/>
  <c r="F66" i="27"/>
  <c r="F61" i="27"/>
  <c r="E66" i="27"/>
  <c r="E61" i="27"/>
  <c r="D66" i="27"/>
  <c r="D61" i="27"/>
  <c r="C66" i="27"/>
  <c r="C61" i="27"/>
  <c r="I66" i="27"/>
  <c r="I61" i="27"/>
  <c r="H5676" i="26"/>
  <c r="H6763" i="26"/>
  <c r="H6762" i="26"/>
  <c r="H6761" i="26"/>
  <c r="H6760" i="26"/>
  <c r="H6759" i="26"/>
  <c r="H6758" i="26"/>
  <c r="H6757" i="26"/>
  <c r="H6756" i="26"/>
  <c r="H6755" i="26"/>
  <c r="H6754" i="26"/>
  <c r="H6753" i="26"/>
  <c r="H6752" i="26"/>
  <c r="H6751" i="26"/>
  <c r="H6750" i="26"/>
  <c r="H6749" i="26"/>
  <c r="H6748" i="26"/>
  <c r="H6747" i="26"/>
  <c r="H6746" i="26"/>
  <c r="H6745" i="26"/>
  <c r="H6744" i="26"/>
  <c r="H6743" i="26"/>
  <c r="H6742" i="26"/>
  <c r="H6741" i="26"/>
  <c r="H6740" i="26"/>
  <c r="H6739" i="26"/>
  <c r="H6738" i="26"/>
  <c r="H6737" i="26"/>
  <c r="H6736" i="26"/>
  <c r="H6735" i="26"/>
  <c r="H6734" i="26"/>
  <c r="H6733" i="26"/>
  <c r="H6732" i="26"/>
  <c r="H6731" i="26"/>
  <c r="H6730" i="26"/>
  <c r="H6729" i="26"/>
  <c r="H6728" i="26"/>
  <c r="H6727" i="26"/>
  <c r="H6726" i="26"/>
  <c r="H6725" i="26"/>
  <c r="H6724" i="26"/>
  <c r="H6723" i="26"/>
  <c r="H6722" i="26"/>
  <c r="H6721" i="26"/>
  <c r="H6720" i="26"/>
  <c r="H6719" i="26"/>
  <c r="H6718" i="26"/>
  <c r="H6717" i="26"/>
  <c r="H6716" i="26"/>
  <c r="H6715" i="26"/>
  <c r="H6714" i="26"/>
  <c r="H6713" i="26"/>
  <c r="H6712" i="26"/>
  <c r="H6711" i="26"/>
  <c r="H6710" i="26"/>
  <c r="H6709" i="26"/>
  <c r="H6708" i="26"/>
  <c r="H6707" i="26"/>
  <c r="H6706" i="26"/>
  <c r="H6705" i="26"/>
  <c r="H6704" i="26"/>
  <c r="H6703" i="26"/>
  <c r="H6702" i="26"/>
  <c r="H6701" i="26"/>
  <c r="H6700" i="26"/>
  <c r="H6699" i="26"/>
  <c r="H6698" i="26"/>
  <c r="H6697" i="26"/>
  <c r="H6696" i="26"/>
  <c r="H6695" i="26"/>
  <c r="H6694" i="26"/>
  <c r="H6693" i="26"/>
  <c r="H6692" i="26"/>
  <c r="H6691" i="26"/>
  <c r="H6690" i="26"/>
  <c r="H6689" i="26"/>
  <c r="H6688" i="26"/>
  <c r="H6687" i="26"/>
  <c r="H6686" i="26"/>
  <c r="H6685" i="26"/>
  <c r="H6684" i="26"/>
  <c r="H6683" i="26"/>
  <c r="H6682" i="26"/>
  <c r="H6681" i="26"/>
  <c r="H6680" i="26"/>
  <c r="H6679" i="26"/>
  <c r="H6678" i="26"/>
  <c r="H6677" i="26"/>
  <c r="H6676" i="26"/>
  <c r="H6675" i="26"/>
  <c r="H6674" i="26"/>
  <c r="H6673" i="26"/>
  <c r="H6672" i="26"/>
  <c r="H6671" i="26"/>
  <c r="H6670" i="26"/>
  <c r="H6669" i="26"/>
  <c r="H6668" i="26"/>
  <c r="H6667" i="26"/>
  <c r="H6666" i="26"/>
  <c r="H6665" i="26"/>
  <c r="H6664" i="26"/>
  <c r="H6663" i="26"/>
  <c r="H6662" i="26"/>
  <c r="H6661" i="26"/>
  <c r="H6660" i="26"/>
  <c r="H6659" i="26"/>
  <c r="H6658" i="26"/>
  <c r="H6657" i="26"/>
  <c r="H6656" i="26"/>
  <c r="H6655" i="26"/>
  <c r="H6654" i="26"/>
  <c r="H6653" i="26"/>
  <c r="H6652" i="26"/>
  <c r="H6651" i="26"/>
  <c r="H6650" i="26"/>
  <c r="H6649" i="26"/>
  <c r="H6648" i="26"/>
  <c r="H6647" i="26"/>
  <c r="H6646" i="26"/>
  <c r="H6645" i="26"/>
  <c r="H6644" i="26"/>
  <c r="H6643" i="26"/>
  <c r="H6642" i="26"/>
  <c r="H6641" i="26"/>
  <c r="H6640" i="26"/>
  <c r="H6639" i="26"/>
  <c r="H6638" i="26"/>
  <c r="H6637" i="26"/>
  <c r="H6636" i="26"/>
  <c r="H6635" i="26"/>
  <c r="H6634" i="26"/>
  <c r="H6633" i="26"/>
  <c r="H6632" i="26"/>
  <c r="H6631" i="26"/>
  <c r="H6630" i="26"/>
  <c r="H6629" i="26"/>
  <c r="H6628" i="26"/>
  <c r="H6627" i="26"/>
  <c r="H6626" i="26"/>
  <c r="H6625" i="26"/>
  <c r="H6624" i="26"/>
  <c r="H6623" i="26"/>
  <c r="H6622" i="26"/>
  <c r="H6621" i="26"/>
  <c r="H6620" i="26"/>
  <c r="H6619" i="26"/>
  <c r="H6618" i="26"/>
  <c r="H6617" i="26"/>
  <c r="H6616" i="26"/>
  <c r="H6615" i="26"/>
  <c r="H6614" i="26"/>
  <c r="H6613" i="26"/>
  <c r="H6612" i="26"/>
  <c r="H6611" i="26"/>
  <c r="H6610" i="26"/>
  <c r="H6609" i="26"/>
  <c r="H6608" i="26"/>
  <c r="H6607" i="26"/>
  <c r="H6606" i="26"/>
  <c r="H6605" i="26"/>
  <c r="H6604" i="26"/>
  <c r="H6603" i="26"/>
  <c r="H6602" i="26"/>
  <c r="H6601" i="26"/>
  <c r="H6600" i="26"/>
  <c r="H6599" i="26"/>
  <c r="H6598" i="26"/>
  <c r="H6597" i="26"/>
  <c r="H6596" i="26"/>
  <c r="H6595" i="26"/>
  <c r="H6594" i="26"/>
  <c r="H6593" i="26"/>
  <c r="H6592" i="26"/>
  <c r="H6591" i="26"/>
  <c r="H6590" i="26"/>
  <c r="H6589" i="26"/>
  <c r="H6588" i="26"/>
  <c r="H6587" i="26"/>
  <c r="H6586" i="26"/>
  <c r="H6585" i="26"/>
  <c r="H6584" i="26"/>
  <c r="H6583" i="26"/>
  <c r="H6582" i="26"/>
  <c r="H6581" i="26"/>
  <c r="H6580" i="26"/>
  <c r="H6579" i="26"/>
  <c r="H6578" i="26"/>
  <c r="H6577" i="26"/>
  <c r="H6576" i="26"/>
  <c r="H6575" i="26"/>
  <c r="H6574" i="26"/>
  <c r="H6573" i="26"/>
  <c r="H6572" i="26"/>
  <c r="H6571" i="26"/>
  <c r="H6570" i="26"/>
  <c r="H6569" i="26"/>
  <c r="H6568" i="26"/>
  <c r="H6567" i="26"/>
  <c r="H6566" i="26"/>
  <c r="H6565" i="26"/>
  <c r="H6564" i="26"/>
  <c r="H6563" i="26"/>
  <c r="H6562" i="26"/>
  <c r="H6561" i="26"/>
  <c r="H6560" i="26"/>
  <c r="H6559" i="26"/>
  <c r="H6558" i="26"/>
  <c r="H6557" i="26"/>
  <c r="H6556" i="26"/>
  <c r="H6555" i="26"/>
  <c r="H6554" i="26"/>
  <c r="H6553" i="26"/>
  <c r="H6552" i="26"/>
  <c r="H6551" i="26"/>
  <c r="H6550" i="26"/>
  <c r="H6549" i="26"/>
  <c r="H6548" i="26"/>
  <c r="H6547" i="26"/>
  <c r="H6546" i="26"/>
  <c r="H6545" i="26"/>
  <c r="H6544" i="26"/>
  <c r="H6543" i="26"/>
  <c r="H6542" i="26"/>
  <c r="H6541" i="26"/>
  <c r="H6540" i="26"/>
  <c r="H6539" i="26"/>
  <c r="H6538" i="26"/>
  <c r="H6537" i="26"/>
  <c r="H6536" i="26"/>
  <c r="H6535" i="26"/>
  <c r="H6534" i="26"/>
  <c r="H6533" i="26"/>
  <c r="H6532" i="26"/>
  <c r="H6531" i="26"/>
  <c r="H6530" i="26"/>
  <c r="H6529" i="26"/>
  <c r="H6528" i="26"/>
  <c r="H6527" i="26"/>
  <c r="H6526" i="26"/>
  <c r="H6525" i="26"/>
  <c r="H6524" i="26"/>
  <c r="H6523" i="26"/>
  <c r="H6522" i="26"/>
  <c r="H6521" i="26"/>
  <c r="H6520" i="26"/>
  <c r="H6519" i="26"/>
  <c r="H6518" i="26"/>
  <c r="H6517" i="26"/>
  <c r="H6516" i="26"/>
  <c r="H6515" i="26"/>
  <c r="H6514" i="26"/>
  <c r="H6513" i="26"/>
  <c r="H6512" i="26"/>
  <c r="H6511" i="26"/>
  <c r="H6510" i="26"/>
  <c r="H6509" i="26"/>
  <c r="H6508" i="26"/>
  <c r="H6507" i="26"/>
  <c r="H6506" i="26"/>
  <c r="H6505" i="26"/>
  <c r="H6504" i="26"/>
  <c r="H6503" i="26"/>
  <c r="H6502" i="26"/>
  <c r="H6501" i="26"/>
  <c r="H6500" i="26"/>
  <c r="H6499" i="26"/>
  <c r="H6498" i="26"/>
  <c r="H6497" i="26"/>
  <c r="H6496" i="26"/>
  <c r="H6495" i="26"/>
  <c r="H6494" i="26"/>
  <c r="H6493" i="26"/>
  <c r="H6492" i="26"/>
  <c r="H6491" i="26"/>
  <c r="H6490" i="26"/>
  <c r="H6489" i="26"/>
  <c r="H6488" i="26"/>
  <c r="H6487" i="26"/>
  <c r="H6486" i="26"/>
  <c r="H6485" i="26"/>
  <c r="H6484" i="26"/>
  <c r="H6483" i="26"/>
  <c r="H6482" i="26"/>
  <c r="H6481" i="26"/>
  <c r="H6480" i="26"/>
  <c r="H6479" i="26"/>
  <c r="H6478" i="26"/>
  <c r="H6477" i="26"/>
  <c r="H6476" i="26"/>
  <c r="H6475" i="26"/>
  <c r="H6474" i="26"/>
  <c r="H6473" i="26"/>
  <c r="H6472" i="26"/>
  <c r="H6471" i="26"/>
  <c r="H6470" i="26"/>
  <c r="H6469" i="26"/>
  <c r="H6468" i="26"/>
  <c r="H6467" i="26"/>
  <c r="H6466" i="26"/>
  <c r="H6465" i="26"/>
  <c r="H6464" i="26"/>
  <c r="H6463" i="26"/>
  <c r="H6462" i="26"/>
  <c r="H6461" i="26"/>
  <c r="H6460" i="26"/>
  <c r="H6459" i="26"/>
  <c r="H6458" i="26"/>
  <c r="H6457" i="26"/>
  <c r="H6456" i="26"/>
  <c r="H6455" i="26"/>
  <c r="H6454" i="26"/>
  <c r="H6453" i="26"/>
  <c r="H6452" i="26"/>
  <c r="H6451" i="26"/>
  <c r="H6450" i="26"/>
  <c r="H6449" i="26"/>
  <c r="H6448" i="26"/>
  <c r="H6447" i="26"/>
  <c r="H6446" i="26"/>
  <c r="H6445" i="26"/>
  <c r="H6444" i="26"/>
  <c r="H6443" i="26"/>
  <c r="H6442" i="26"/>
  <c r="H6441" i="26"/>
  <c r="H6440" i="26"/>
  <c r="H6439" i="26"/>
  <c r="H6438" i="26"/>
  <c r="H6437" i="26"/>
  <c r="H6436" i="26"/>
  <c r="H6435" i="26"/>
  <c r="H6434" i="26"/>
  <c r="H6433" i="26"/>
  <c r="H6432" i="26"/>
  <c r="H6431" i="26"/>
  <c r="H6430" i="26"/>
  <c r="H6429" i="26"/>
  <c r="H6428" i="26"/>
  <c r="H6427" i="26"/>
  <c r="H6426" i="26"/>
  <c r="H6425" i="26"/>
  <c r="H6424" i="26"/>
  <c r="H6423" i="26"/>
  <c r="H6422" i="26"/>
  <c r="H6421" i="26"/>
  <c r="H6420" i="26"/>
  <c r="H6419" i="26"/>
  <c r="H6418" i="26"/>
  <c r="H6417" i="26"/>
  <c r="H6416" i="26"/>
  <c r="H6415" i="26"/>
  <c r="H6414" i="26"/>
  <c r="H6413" i="26"/>
  <c r="H6412" i="26"/>
  <c r="H6411" i="26"/>
  <c r="H6410" i="26"/>
  <c r="H6409" i="26"/>
  <c r="H6408" i="26"/>
  <c r="H6407" i="26"/>
  <c r="H6406" i="26"/>
  <c r="H6405" i="26"/>
  <c r="H6404" i="26"/>
  <c r="H6403" i="26"/>
  <c r="H6402" i="26"/>
  <c r="H6401" i="26"/>
  <c r="H6400" i="26"/>
  <c r="H6399" i="26"/>
  <c r="H6398" i="26"/>
  <c r="H6397" i="26"/>
  <c r="H6396" i="26"/>
  <c r="H6395" i="26"/>
  <c r="H6394" i="26"/>
  <c r="H6393" i="26"/>
  <c r="H6392" i="26"/>
  <c r="H6391" i="26"/>
  <c r="H6390" i="26"/>
  <c r="H6389" i="26"/>
  <c r="H6388" i="26"/>
  <c r="H6387" i="26"/>
  <c r="H6386" i="26"/>
  <c r="H6385" i="26"/>
  <c r="H6384" i="26"/>
  <c r="H6383" i="26"/>
  <c r="H6382" i="26"/>
  <c r="H6381" i="26"/>
  <c r="H6380" i="26"/>
  <c r="H6379" i="26"/>
  <c r="H6378" i="26"/>
  <c r="H6377" i="26"/>
  <c r="H6376" i="26"/>
  <c r="H6375" i="26"/>
  <c r="H6374" i="26"/>
  <c r="H6373" i="26"/>
  <c r="H6372" i="26"/>
  <c r="H6371" i="26"/>
  <c r="H6370" i="26"/>
  <c r="H6369" i="26"/>
  <c r="H6368" i="26"/>
  <c r="H6367" i="26"/>
  <c r="H6366" i="26"/>
  <c r="H6365" i="26"/>
  <c r="H6364" i="26"/>
  <c r="H6363" i="26"/>
  <c r="H6362" i="26"/>
  <c r="H6361" i="26"/>
  <c r="H6360" i="26"/>
  <c r="H6359" i="26"/>
  <c r="H6358" i="26"/>
  <c r="H6357" i="26"/>
  <c r="H6356" i="26"/>
  <c r="H6355" i="26"/>
  <c r="H6354" i="26"/>
  <c r="H6353" i="26"/>
  <c r="H6352" i="26"/>
  <c r="H6351" i="26"/>
  <c r="H6350" i="26"/>
  <c r="H6349" i="26"/>
  <c r="H6348" i="26"/>
  <c r="H6347" i="26"/>
  <c r="H6346" i="26"/>
  <c r="H6345" i="26"/>
  <c r="H6344" i="26"/>
  <c r="H6343" i="26"/>
  <c r="H6342" i="26"/>
  <c r="H6341" i="26"/>
  <c r="H6340" i="26"/>
  <c r="H6339" i="26"/>
  <c r="H6338" i="26"/>
  <c r="H6337" i="26"/>
  <c r="H6336" i="26"/>
  <c r="H6335" i="26"/>
  <c r="H6334" i="26"/>
  <c r="H6333" i="26"/>
  <c r="H6332" i="26"/>
  <c r="H6331" i="26"/>
  <c r="H6330" i="26"/>
  <c r="H6329" i="26"/>
  <c r="H6328" i="26"/>
  <c r="H6327" i="26"/>
  <c r="H6326" i="26"/>
  <c r="H6325" i="26"/>
  <c r="H6324" i="26"/>
  <c r="H6323" i="26"/>
  <c r="H6322" i="26"/>
  <c r="H6321" i="26"/>
  <c r="H6320" i="26"/>
  <c r="H6319" i="26"/>
  <c r="H6318" i="26"/>
  <c r="H6317" i="26"/>
  <c r="H6316" i="26"/>
  <c r="H6315" i="26"/>
  <c r="H6314" i="26"/>
  <c r="H6313" i="26"/>
  <c r="H6312" i="26"/>
  <c r="H6311" i="26"/>
  <c r="H6310" i="26"/>
  <c r="H6309" i="26"/>
  <c r="H6308" i="26"/>
  <c r="H6307" i="26"/>
  <c r="H6306" i="26"/>
  <c r="H6305" i="26"/>
  <c r="H6304" i="26"/>
  <c r="H6303" i="26"/>
  <c r="H6302" i="26"/>
  <c r="H6301" i="26"/>
  <c r="H6300" i="26"/>
  <c r="H6299" i="26"/>
  <c r="H6298" i="26"/>
  <c r="H6297" i="26"/>
  <c r="H6296" i="26"/>
  <c r="H6295" i="26"/>
  <c r="H6294" i="26"/>
  <c r="H6293" i="26"/>
  <c r="H6292" i="26"/>
  <c r="H6291" i="26"/>
  <c r="H6290" i="26"/>
  <c r="H6289" i="26"/>
  <c r="H6288" i="26"/>
  <c r="H6287" i="26"/>
  <c r="H6286" i="26"/>
  <c r="H6285" i="26"/>
  <c r="H6284" i="26"/>
  <c r="H6283" i="26"/>
  <c r="H6282" i="26"/>
  <c r="H6281" i="26"/>
  <c r="H6280" i="26"/>
  <c r="H6279" i="26"/>
  <c r="H6278" i="26"/>
  <c r="H6277" i="26"/>
  <c r="H6276" i="26"/>
  <c r="H6275" i="26"/>
  <c r="H6274" i="26"/>
  <c r="H6273" i="26"/>
  <c r="H6272" i="26"/>
  <c r="H6271" i="26"/>
  <c r="H6270" i="26"/>
  <c r="H6269" i="26"/>
  <c r="H6268" i="26"/>
  <c r="H6267" i="26"/>
  <c r="H6266" i="26"/>
  <c r="H6265" i="26"/>
  <c r="H6264" i="26"/>
  <c r="H6263" i="26"/>
  <c r="H6262" i="26"/>
  <c r="H6261" i="26"/>
  <c r="H6260" i="26"/>
  <c r="H6259" i="26"/>
  <c r="H6258" i="26"/>
  <c r="H6257" i="26"/>
  <c r="H6256" i="26"/>
  <c r="H6255" i="26"/>
  <c r="H6254" i="26"/>
  <c r="H6253" i="26"/>
  <c r="H6252" i="26"/>
  <c r="H6251" i="26"/>
  <c r="H6250" i="26"/>
  <c r="H6249" i="26"/>
  <c r="H6248" i="26"/>
  <c r="H6247" i="26"/>
  <c r="H6246" i="26"/>
  <c r="H6245" i="26"/>
  <c r="H6244" i="26"/>
  <c r="H6243" i="26"/>
  <c r="H6242" i="26"/>
  <c r="H6241" i="26"/>
  <c r="H6240" i="26"/>
  <c r="H6239" i="26"/>
  <c r="H6238" i="26"/>
  <c r="H6237" i="26"/>
  <c r="H6236" i="26"/>
  <c r="H6235" i="26"/>
  <c r="H6234" i="26"/>
  <c r="H6233" i="26"/>
  <c r="H6232" i="26"/>
  <c r="H6231" i="26"/>
  <c r="H6230" i="26"/>
  <c r="H6229" i="26"/>
  <c r="H6228" i="26"/>
  <c r="H6227" i="26"/>
  <c r="H6226" i="26"/>
  <c r="H6225" i="26"/>
  <c r="H6224" i="26"/>
  <c r="H6223" i="26"/>
  <c r="H6222" i="26"/>
  <c r="H6221" i="26"/>
  <c r="H6220" i="26"/>
  <c r="H6219" i="26"/>
  <c r="H6218" i="26"/>
  <c r="H6217" i="26"/>
  <c r="H6216" i="26"/>
  <c r="H6215" i="26"/>
  <c r="H6214" i="26"/>
  <c r="H6213" i="26"/>
  <c r="H6212" i="26"/>
  <c r="H6211" i="26"/>
  <c r="H6210" i="26"/>
  <c r="H6209" i="26"/>
  <c r="H6208" i="26"/>
  <c r="H6207" i="26"/>
  <c r="H6206" i="26"/>
  <c r="H6205" i="26"/>
  <c r="H6204" i="26"/>
  <c r="H6203" i="26"/>
  <c r="H6202" i="26"/>
  <c r="H6201" i="26"/>
  <c r="H6200" i="26"/>
  <c r="H6199" i="26"/>
  <c r="H6198" i="26"/>
  <c r="H6197" i="26"/>
  <c r="H6196" i="26"/>
  <c r="H6195" i="26"/>
  <c r="H6194" i="26"/>
  <c r="H6193" i="26"/>
  <c r="H6192" i="26"/>
  <c r="H6191" i="26"/>
  <c r="H6190" i="26"/>
  <c r="H6189" i="26"/>
  <c r="H6188" i="26"/>
  <c r="H6187" i="26"/>
  <c r="H6186" i="26"/>
  <c r="H6185" i="26"/>
  <c r="H6184" i="26"/>
  <c r="H6183" i="26"/>
  <c r="H6182" i="26"/>
  <c r="H6181" i="26"/>
  <c r="H6180" i="26"/>
  <c r="H6179" i="26"/>
  <c r="H6178" i="26"/>
  <c r="H6177" i="26"/>
  <c r="H6176" i="26"/>
  <c r="H6175" i="26"/>
  <c r="H6174" i="26"/>
  <c r="H6173" i="26"/>
  <c r="H6172" i="26"/>
  <c r="H6171" i="26"/>
  <c r="H6170" i="26"/>
  <c r="H6169" i="26"/>
  <c r="H6168" i="26"/>
  <c r="H6167" i="26"/>
  <c r="H6166" i="26"/>
  <c r="H6165" i="26"/>
  <c r="H6164" i="26"/>
  <c r="H6163" i="26"/>
  <c r="H6162" i="26"/>
  <c r="H6161" i="26"/>
  <c r="H6160" i="26"/>
  <c r="H6159" i="26"/>
  <c r="H6158" i="26"/>
  <c r="H6157" i="26"/>
  <c r="H6156" i="26"/>
  <c r="H6155" i="26"/>
  <c r="H6154" i="26"/>
  <c r="H6153" i="26"/>
  <c r="H6152" i="26"/>
  <c r="H6151" i="26"/>
  <c r="H6150" i="26"/>
  <c r="H6149" i="26"/>
  <c r="H6148" i="26"/>
  <c r="H6147" i="26"/>
  <c r="H6146" i="26"/>
  <c r="H6145" i="26"/>
  <c r="H6144" i="26"/>
  <c r="H6143" i="26"/>
  <c r="H6142" i="26"/>
  <c r="H6141" i="26"/>
  <c r="H6140" i="26"/>
  <c r="H6139" i="26"/>
  <c r="H6138" i="26"/>
  <c r="H6137" i="26"/>
  <c r="H6136" i="26"/>
  <c r="H6135" i="26"/>
  <c r="H6134" i="26"/>
  <c r="H6133" i="26"/>
  <c r="H6132" i="26"/>
  <c r="H6131" i="26"/>
  <c r="H6130" i="26"/>
  <c r="H6129" i="26"/>
  <c r="H6128" i="26"/>
  <c r="H6127" i="26"/>
  <c r="H6126" i="26"/>
  <c r="H6125" i="26"/>
  <c r="H6124" i="26"/>
  <c r="H6123" i="26"/>
  <c r="H6122" i="26"/>
  <c r="H6121" i="26"/>
  <c r="H6120" i="26"/>
  <c r="H6119" i="26"/>
  <c r="H6118" i="26"/>
  <c r="H6117" i="26"/>
  <c r="H6116" i="26"/>
  <c r="H6115" i="26"/>
  <c r="H6114" i="26"/>
  <c r="H6113" i="26"/>
  <c r="H6112" i="26"/>
  <c r="H6111" i="26"/>
  <c r="H6110" i="26"/>
  <c r="H6109" i="26"/>
  <c r="H6108" i="26"/>
  <c r="H6107" i="26"/>
  <c r="H6106" i="26"/>
  <c r="H6105" i="26"/>
  <c r="H6104" i="26"/>
  <c r="H6103" i="26"/>
  <c r="H6102" i="26"/>
  <c r="H6101" i="26"/>
  <c r="H6100" i="26"/>
  <c r="H6099" i="26"/>
  <c r="H6098" i="26"/>
  <c r="H6097" i="26"/>
  <c r="H6096" i="26"/>
  <c r="H6095" i="26"/>
  <c r="H6094" i="26"/>
  <c r="H6093" i="26"/>
  <c r="H6092" i="26"/>
  <c r="H6091" i="26"/>
  <c r="H6090" i="26"/>
  <c r="H6089" i="26"/>
  <c r="H6088" i="26"/>
  <c r="H6087" i="26"/>
  <c r="H6086" i="26"/>
  <c r="H6085" i="26"/>
  <c r="H6084" i="26"/>
  <c r="H6083" i="26"/>
  <c r="H6082" i="26"/>
  <c r="H6081" i="26"/>
  <c r="H6080" i="26"/>
  <c r="H6079" i="26"/>
  <c r="H6078" i="26"/>
  <c r="H6077" i="26"/>
  <c r="H6076" i="26"/>
  <c r="H6075" i="26"/>
  <c r="H6074" i="26"/>
  <c r="H6073" i="26"/>
  <c r="H6072" i="26"/>
  <c r="H6071" i="26"/>
  <c r="H6070" i="26"/>
  <c r="H6069" i="26"/>
  <c r="H6068" i="26"/>
  <c r="H6067" i="26"/>
  <c r="H6066" i="26"/>
  <c r="H6065" i="26"/>
  <c r="H6064" i="26"/>
  <c r="H6063" i="26"/>
  <c r="H6062" i="26"/>
  <c r="H6061" i="26"/>
  <c r="H6060" i="26"/>
  <c r="H6059" i="26"/>
  <c r="H6058" i="26"/>
  <c r="H6057" i="26"/>
  <c r="H6056" i="26"/>
  <c r="H6055" i="26"/>
  <c r="H6054" i="26"/>
  <c r="H6053" i="26"/>
  <c r="H6052" i="26"/>
  <c r="H6051" i="26"/>
  <c r="H6050" i="26"/>
  <c r="H6049" i="26"/>
  <c r="H6048" i="26"/>
  <c r="H6047" i="26"/>
  <c r="H6046" i="26"/>
  <c r="H6045" i="26"/>
  <c r="H6044" i="26"/>
  <c r="H6043" i="26"/>
  <c r="H6042" i="26"/>
  <c r="H6041" i="26"/>
  <c r="H6040" i="26"/>
  <c r="H6039" i="26"/>
  <c r="H6038" i="26"/>
  <c r="H6037" i="26"/>
  <c r="H6036" i="26"/>
  <c r="H6035" i="26"/>
  <c r="H6034" i="26"/>
  <c r="H6033" i="26"/>
  <c r="H6032" i="26"/>
  <c r="H6031" i="26"/>
  <c r="H6030" i="26"/>
  <c r="H6029" i="26"/>
  <c r="H6028" i="26"/>
  <c r="H6027" i="26"/>
  <c r="H6026" i="26"/>
  <c r="H6025" i="26"/>
  <c r="H6024" i="26"/>
  <c r="H6023" i="26"/>
  <c r="H6022" i="26"/>
  <c r="H6021" i="26"/>
  <c r="H6020" i="26"/>
  <c r="H6019" i="26"/>
  <c r="H6018" i="26"/>
  <c r="H6017" i="26"/>
  <c r="H6016" i="26"/>
  <c r="H6015" i="26"/>
  <c r="H6014" i="26"/>
  <c r="H6013" i="26"/>
  <c r="H6012" i="26"/>
  <c r="H6011" i="26"/>
  <c r="H6010" i="26"/>
  <c r="H6009" i="26"/>
  <c r="H6008" i="26"/>
  <c r="H6007" i="26"/>
  <c r="H6006" i="26"/>
  <c r="H6005" i="26"/>
  <c r="H6004" i="26"/>
  <c r="H6003" i="26"/>
  <c r="H6002" i="26"/>
  <c r="H6001" i="26"/>
  <c r="H6000" i="26"/>
  <c r="H5999" i="26"/>
  <c r="H5998" i="26"/>
  <c r="H5997" i="26"/>
  <c r="H5996" i="26"/>
  <c r="H5995" i="26"/>
  <c r="H5994" i="26"/>
  <c r="H5993" i="26"/>
  <c r="H5992" i="26"/>
  <c r="H5991" i="26"/>
  <c r="H5990" i="26"/>
  <c r="H5989" i="26"/>
  <c r="H5988" i="26"/>
  <c r="H5987" i="26"/>
  <c r="H5986" i="26"/>
  <c r="H5985" i="26"/>
  <c r="H5984" i="26"/>
  <c r="H5983" i="26"/>
  <c r="H5982" i="26"/>
  <c r="H5981" i="26"/>
  <c r="H5980" i="26"/>
  <c r="H5979" i="26"/>
  <c r="H5978" i="26"/>
  <c r="H5977" i="26"/>
  <c r="H5976" i="26"/>
  <c r="H5975" i="26"/>
  <c r="H5974" i="26"/>
  <c r="H5973" i="26"/>
  <c r="H5972" i="26"/>
  <c r="H5971" i="26"/>
  <c r="H5970" i="26"/>
  <c r="H5969" i="26"/>
  <c r="H5968" i="26"/>
  <c r="H5967" i="26"/>
  <c r="H5966" i="26"/>
  <c r="H5965" i="26"/>
  <c r="H5964" i="26"/>
  <c r="H5963" i="26"/>
  <c r="H5962" i="26"/>
  <c r="H5961" i="26"/>
  <c r="H5960" i="26"/>
  <c r="H5959" i="26"/>
  <c r="H5958" i="26"/>
  <c r="H5957" i="26"/>
  <c r="H5956" i="26"/>
  <c r="H5955" i="26"/>
  <c r="H5954" i="26"/>
  <c r="H5953" i="26"/>
  <c r="H5952" i="26"/>
  <c r="H5951" i="26"/>
  <c r="H5950" i="26"/>
  <c r="H5949" i="26"/>
  <c r="H5948" i="26"/>
  <c r="H5947" i="26"/>
  <c r="H5946" i="26"/>
  <c r="H5945" i="26"/>
  <c r="H5944" i="26"/>
  <c r="H5943" i="26"/>
  <c r="H5942" i="26"/>
  <c r="H5941" i="26"/>
  <c r="H5940" i="26"/>
  <c r="H5939" i="26"/>
  <c r="H5938" i="26"/>
  <c r="H5937" i="26"/>
  <c r="H5936" i="26"/>
  <c r="H5935" i="26"/>
  <c r="H5934" i="26"/>
  <c r="H5933" i="26"/>
  <c r="H5932" i="26"/>
  <c r="H5931" i="26"/>
  <c r="H5930" i="26"/>
  <c r="H5929" i="26"/>
  <c r="H5928" i="26"/>
  <c r="H5927" i="26"/>
  <c r="H5926" i="26"/>
  <c r="H5925" i="26"/>
  <c r="H5924" i="26"/>
  <c r="H5923" i="26"/>
  <c r="H5922" i="26"/>
  <c r="H5921" i="26"/>
  <c r="H5920" i="26"/>
  <c r="H5919" i="26"/>
  <c r="H5918" i="26"/>
  <c r="H5917" i="26"/>
  <c r="H5916" i="26"/>
  <c r="H5915" i="26"/>
  <c r="H5914" i="26"/>
  <c r="H5913" i="26"/>
  <c r="H5912" i="26"/>
  <c r="H5911" i="26"/>
  <c r="H5910" i="26"/>
  <c r="H5909" i="26"/>
  <c r="H5908" i="26"/>
  <c r="H5907" i="26"/>
  <c r="H5906" i="26"/>
  <c r="H5905" i="26"/>
  <c r="H5904" i="26"/>
  <c r="H5903" i="26"/>
  <c r="H5902" i="26"/>
  <c r="H5901" i="26"/>
  <c r="H5900" i="26"/>
  <c r="H5899" i="26"/>
  <c r="H5898" i="26"/>
  <c r="H5897" i="26"/>
  <c r="H5896" i="26"/>
  <c r="H5895" i="26"/>
  <c r="H5894" i="26"/>
  <c r="H5893" i="26"/>
  <c r="H5892" i="26"/>
  <c r="H5891" i="26"/>
  <c r="H5890" i="26"/>
  <c r="H5889" i="26"/>
  <c r="H5888" i="26"/>
  <c r="H5887" i="26"/>
  <c r="H5886" i="26"/>
  <c r="H5885" i="26"/>
  <c r="H5884" i="26"/>
  <c r="H5883" i="26"/>
  <c r="H5882" i="26"/>
  <c r="H5881" i="26"/>
  <c r="H5880" i="26"/>
  <c r="H5879" i="26"/>
  <c r="H5878" i="26"/>
  <c r="H5877" i="26"/>
  <c r="H5876" i="26"/>
  <c r="H5875" i="26"/>
  <c r="H5874" i="26"/>
  <c r="H5873" i="26"/>
  <c r="H5872" i="26"/>
  <c r="H5871" i="26"/>
  <c r="H5870" i="26"/>
  <c r="H5869" i="26"/>
  <c r="H5868" i="26"/>
  <c r="H5867" i="26"/>
  <c r="H5866" i="26"/>
  <c r="H5865" i="26"/>
  <c r="H5864" i="26"/>
  <c r="H5863" i="26"/>
  <c r="H5862" i="26"/>
  <c r="H5861" i="26"/>
  <c r="H5860" i="26"/>
  <c r="H5859" i="26"/>
  <c r="H5858" i="26"/>
  <c r="H5857" i="26"/>
  <c r="H5856" i="26"/>
  <c r="H5855" i="26"/>
  <c r="H5854" i="26"/>
  <c r="H5853" i="26"/>
  <c r="H5852" i="26"/>
  <c r="H5851" i="26"/>
  <c r="H5850" i="26"/>
  <c r="H5849" i="26"/>
  <c r="H5848" i="26"/>
  <c r="H5847" i="26"/>
  <c r="H5846" i="26"/>
  <c r="H5845" i="26"/>
  <c r="H5844" i="26"/>
  <c r="H5843" i="26"/>
  <c r="H5842" i="26"/>
  <c r="H5841" i="26"/>
  <c r="H5840" i="26"/>
  <c r="H5839" i="26"/>
  <c r="H5838" i="26"/>
  <c r="H5837" i="26"/>
  <c r="H5836" i="26"/>
  <c r="H5835" i="26"/>
  <c r="H5834" i="26"/>
  <c r="H5833" i="26"/>
  <c r="H5832" i="26"/>
  <c r="H5831" i="26"/>
  <c r="H5830" i="26"/>
  <c r="H5829" i="26"/>
  <c r="H5828" i="26"/>
  <c r="H5827" i="26"/>
  <c r="H5826" i="26"/>
  <c r="H5825" i="26"/>
  <c r="H5824" i="26"/>
  <c r="H5823" i="26"/>
  <c r="H5822" i="26"/>
  <c r="H5821" i="26"/>
  <c r="H5820" i="26"/>
  <c r="H5819" i="26"/>
  <c r="H5818" i="26"/>
  <c r="H5817" i="26"/>
  <c r="H5816" i="26"/>
  <c r="H5815" i="26"/>
  <c r="H5814" i="26"/>
  <c r="H5813" i="26"/>
  <c r="H5812" i="26"/>
  <c r="H5811" i="26"/>
  <c r="H5810" i="26"/>
  <c r="H5809" i="26"/>
  <c r="H5808" i="26"/>
  <c r="H5807" i="26"/>
  <c r="H5806" i="26"/>
  <c r="H5805" i="26"/>
  <c r="H5804" i="26"/>
  <c r="H5803" i="26"/>
  <c r="H5802" i="26"/>
  <c r="H5801" i="26"/>
  <c r="H5800" i="26"/>
  <c r="H5799" i="26"/>
  <c r="H5798" i="26"/>
  <c r="H5797" i="26"/>
  <c r="H5796" i="26"/>
  <c r="H5795" i="26"/>
  <c r="H5794" i="26"/>
  <c r="H5793" i="26"/>
  <c r="H5792" i="26"/>
  <c r="H5791" i="26"/>
  <c r="H5790" i="26"/>
  <c r="H5789" i="26"/>
  <c r="H5788" i="26"/>
  <c r="H5787" i="26"/>
  <c r="H5786" i="26"/>
  <c r="H5785" i="26"/>
  <c r="H5784" i="26"/>
  <c r="H5783" i="26"/>
  <c r="H5782" i="26"/>
  <c r="H5781" i="26"/>
  <c r="H5780" i="26"/>
  <c r="H5779" i="26"/>
  <c r="H5778" i="26"/>
  <c r="H5777" i="26"/>
  <c r="H5776" i="26"/>
  <c r="H5775" i="26"/>
  <c r="H5774" i="26"/>
  <c r="H5773" i="26"/>
  <c r="H5772" i="26"/>
  <c r="H5771" i="26"/>
  <c r="H5770" i="26"/>
  <c r="H5769" i="26"/>
  <c r="H5768" i="26"/>
  <c r="H5767" i="26"/>
  <c r="H5766" i="26"/>
  <c r="H5765" i="26"/>
  <c r="H5764" i="26"/>
  <c r="H5763" i="26"/>
  <c r="H5762" i="26"/>
  <c r="H5761" i="26"/>
  <c r="H5760" i="26"/>
  <c r="H5759" i="26"/>
  <c r="H5758" i="26"/>
  <c r="H5757" i="26"/>
  <c r="H5756" i="26"/>
  <c r="H5755" i="26"/>
  <c r="H5754" i="26"/>
  <c r="H5753" i="26"/>
  <c r="H5752" i="26"/>
  <c r="H5751" i="26"/>
  <c r="H5750" i="26"/>
  <c r="H5749" i="26"/>
  <c r="H5748" i="26"/>
  <c r="H5747" i="26"/>
  <c r="H5746" i="26"/>
  <c r="H5745" i="26"/>
  <c r="H5744" i="26"/>
  <c r="H5743" i="26"/>
  <c r="H5742" i="26"/>
  <c r="H5741" i="26"/>
  <c r="H5740" i="26"/>
  <c r="H5739" i="26"/>
  <c r="H5738" i="26"/>
  <c r="H5737" i="26"/>
  <c r="H5736" i="26"/>
  <c r="H5735" i="26"/>
  <c r="H5734" i="26"/>
  <c r="H5733" i="26"/>
  <c r="H5732" i="26"/>
  <c r="H5731" i="26"/>
  <c r="H5730" i="26"/>
  <c r="H5729" i="26"/>
  <c r="H5728" i="26"/>
  <c r="H5727" i="26"/>
  <c r="H5726" i="26"/>
  <c r="H5725" i="26"/>
  <c r="H5724" i="26"/>
  <c r="H5723" i="26"/>
  <c r="H5722" i="26"/>
  <c r="H5721" i="26"/>
  <c r="H5720" i="26"/>
  <c r="H5719" i="26"/>
  <c r="H5718" i="26"/>
  <c r="H5717" i="26"/>
  <c r="H5716" i="26"/>
  <c r="H5715" i="26"/>
  <c r="H5714" i="26"/>
  <c r="H5713" i="26"/>
  <c r="H5712" i="26"/>
  <c r="H5711" i="26"/>
  <c r="H5710" i="26"/>
  <c r="H5709" i="26"/>
  <c r="H5708" i="26"/>
  <c r="H5707" i="26"/>
  <c r="H5706" i="26"/>
  <c r="H5705" i="26"/>
  <c r="H5704" i="26"/>
  <c r="H5703" i="26"/>
  <c r="H5702" i="26"/>
  <c r="H5701" i="26"/>
  <c r="H5700" i="26"/>
  <c r="H5699" i="26"/>
  <c r="H5698" i="26"/>
  <c r="H5697" i="26"/>
  <c r="H5696" i="26"/>
  <c r="H5695" i="26"/>
  <c r="H5694" i="26"/>
  <c r="H5693" i="26"/>
  <c r="H5692" i="26"/>
  <c r="H5691" i="26"/>
  <c r="H5690" i="26"/>
  <c r="H5689" i="26"/>
  <c r="H5688" i="26"/>
  <c r="H5687" i="26"/>
  <c r="H5686" i="26"/>
  <c r="H5685" i="26"/>
  <c r="H5684" i="26"/>
  <c r="H5683" i="26"/>
  <c r="H5682" i="26"/>
  <c r="H5681" i="26"/>
  <c r="H4557" i="26"/>
  <c r="H4555" i="26"/>
  <c r="H4553" i="26"/>
  <c r="H4551" i="26"/>
  <c r="H4549" i="26"/>
  <c r="H4547" i="26"/>
  <c r="H4545" i="26"/>
  <c r="H4543" i="26"/>
  <c r="H4540" i="26"/>
  <c r="H4538" i="26"/>
  <c r="H4536" i="26"/>
  <c r="H4534" i="26"/>
  <c r="H4532" i="26"/>
  <c r="H4530" i="26"/>
  <c r="H4528" i="26"/>
  <c r="H4526" i="26"/>
  <c r="H4524" i="26"/>
  <c r="H4522" i="26"/>
  <c r="H4520" i="26"/>
  <c r="H4519" i="26"/>
  <c r="H4518" i="26"/>
  <c r="H4517" i="26"/>
  <c r="H4516" i="26"/>
  <c r="H4515" i="26"/>
  <c r="H4514" i="26"/>
  <c r="H4513" i="26"/>
  <c r="H4512" i="26"/>
  <c r="H4511" i="26"/>
  <c r="H4509" i="26"/>
  <c r="H4507" i="26"/>
  <c r="H4505" i="26"/>
  <c r="H4503" i="26"/>
  <c r="H4501" i="26"/>
  <c r="H4499" i="26"/>
  <c r="H4497" i="26"/>
  <c r="H4495" i="26"/>
  <c r="H4493" i="26"/>
  <c r="H4491" i="26"/>
  <c r="H4489" i="26"/>
  <c r="H4487" i="26"/>
  <c r="H4485" i="26"/>
  <c r="H4483" i="26"/>
  <c r="H4481" i="26"/>
  <c r="H4479" i="26"/>
  <c r="H4477" i="26"/>
  <c r="H4475" i="26"/>
  <c r="H4473" i="26"/>
  <c r="H4471" i="26"/>
  <c r="H4469" i="26"/>
  <c r="H4467" i="26"/>
  <c r="H4465" i="26"/>
  <c r="H4463" i="26"/>
  <c r="H4461" i="26"/>
  <c r="H4459" i="26"/>
  <c r="H4457" i="26"/>
  <c r="H4455" i="26"/>
  <c r="H4453" i="26"/>
  <c r="H4451" i="26"/>
  <c r="H4449" i="26"/>
  <c r="H4447" i="26"/>
  <c r="H4445" i="26"/>
  <c r="H4443" i="26"/>
  <c r="H4441" i="26"/>
  <c r="H4439" i="26"/>
  <c r="H4437" i="26"/>
  <c r="H4435" i="26"/>
  <c r="H4433" i="26"/>
  <c r="H4431" i="26"/>
  <c r="H4429" i="26"/>
  <c r="H4427" i="26"/>
  <c r="H4425" i="26"/>
  <c r="H4423" i="26"/>
  <c r="H4421" i="26"/>
  <c r="H4418" i="26"/>
  <c r="H4416" i="26"/>
  <c r="H4414" i="26"/>
  <c r="H4412" i="26"/>
  <c r="H4410" i="26"/>
  <c r="H4408" i="26"/>
  <c r="H4406" i="26"/>
  <c r="H4404" i="26"/>
  <c r="H4402" i="26"/>
  <c r="H4400" i="26"/>
  <c r="H4398" i="26"/>
  <c r="H4396" i="26"/>
  <c r="H4394" i="26"/>
  <c r="H4392" i="26"/>
  <c r="H4390" i="26"/>
  <c r="H4388" i="26"/>
  <c r="H4386" i="26"/>
  <c r="H4384" i="26"/>
  <c r="H4382" i="26"/>
  <c r="H4380" i="26"/>
  <c r="H4378" i="26"/>
  <c r="H4376" i="26"/>
  <c r="H4374" i="26"/>
  <c r="H4372" i="26"/>
  <c r="H4370" i="26"/>
  <c r="H4368" i="26"/>
  <c r="H4366" i="26"/>
  <c r="H4364" i="26"/>
  <c r="H4362" i="26"/>
  <c r="H4360" i="26"/>
  <c r="H4358" i="26"/>
  <c r="H4356" i="26"/>
  <c r="H4354" i="26"/>
  <c r="H4352" i="26"/>
  <c r="H4350" i="26"/>
  <c r="H4348" i="26"/>
  <c r="H4333" i="26"/>
  <c r="H4331" i="26"/>
  <c r="H4329" i="26"/>
  <c r="H4327" i="26"/>
  <c r="H4325" i="26"/>
  <c r="H4323" i="26"/>
  <c r="H4321" i="26"/>
  <c r="H4319" i="26"/>
  <c r="H4317" i="26"/>
  <c r="H4315" i="26"/>
  <c r="H4313" i="26"/>
  <c r="H4311" i="26"/>
  <c r="H4309" i="26"/>
  <c r="H4307" i="26"/>
  <c r="H4305" i="26"/>
  <c r="H4303" i="26"/>
  <c r="H4301" i="26"/>
  <c r="H4299" i="26"/>
  <c r="H4297" i="26"/>
  <c r="H4295" i="26"/>
  <c r="H4293" i="26"/>
  <c r="H4291" i="26"/>
  <c r="H4289" i="26"/>
  <c r="H4287" i="26"/>
  <c r="H4285" i="26"/>
  <c r="H4283" i="26"/>
  <c r="H4281" i="26"/>
  <c r="H4279" i="26"/>
  <c r="H4277" i="26"/>
  <c r="H4274" i="26"/>
  <c r="H4272" i="26"/>
  <c r="H4270" i="26"/>
  <c r="H4268" i="26"/>
  <c r="H4267" i="26"/>
  <c r="H4264" i="26"/>
  <c r="H4262" i="26"/>
  <c r="H4260" i="26"/>
  <c r="H4258" i="26"/>
  <c r="H4256" i="26"/>
  <c r="H4254" i="26"/>
  <c r="H4252" i="26"/>
  <c r="H4250" i="26"/>
  <c r="H4248" i="26"/>
  <c r="H4246" i="26"/>
  <c r="H4244" i="26"/>
  <c r="H4242" i="26"/>
  <c r="H4240" i="26"/>
  <c r="H4238" i="26"/>
  <c r="H4236" i="26"/>
  <c r="H4234" i="26"/>
  <c r="H4232" i="26"/>
  <c r="H4230" i="26"/>
  <c r="H4228" i="26"/>
  <c r="H4226" i="26"/>
  <c r="H4224" i="26"/>
  <c r="H4222" i="26"/>
  <c r="H4220" i="26"/>
  <c r="H4218" i="26"/>
  <c r="H4216" i="26"/>
  <c r="H4214" i="26"/>
  <c r="H4212" i="26"/>
  <c r="H4210" i="26"/>
  <c r="H4208" i="26"/>
  <c r="H4206" i="26"/>
  <c r="H4204" i="26"/>
  <c r="H4202" i="26"/>
  <c r="H4200" i="26"/>
  <c r="H4198" i="26"/>
  <c r="H4196" i="26"/>
  <c r="H4194" i="26"/>
  <c r="H4192" i="26"/>
  <c r="H4190" i="26"/>
  <c r="H4188" i="26"/>
  <c r="H4186" i="26"/>
  <c r="H4184" i="26"/>
  <c r="H4182" i="26"/>
  <c r="H4180" i="26"/>
  <c r="H4178" i="26"/>
  <c r="H4176" i="26"/>
  <c r="H4174" i="26"/>
  <c r="H4172" i="26"/>
  <c r="H4170" i="26"/>
  <c r="H4168" i="26"/>
  <c r="H4166" i="26"/>
  <c r="H4164" i="26"/>
  <c r="H4162" i="26"/>
  <c r="H4160" i="26"/>
  <c r="H4158" i="26"/>
  <c r="H4156" i="26"/>
  <c r="H4154" i="26"/>
  <c r="H4152" i="26"/>
  <c r="H4150" i="26"/>
  <c r="H4148" i="26"/>
  <c r="H4146" i="26"/>
  <c r="H4144" i="26"/>
  <c r="H4142" i="26"/>
  <c r="H4140" i="26"/>
  <c r="H4138" i="26"/>
  <c r="H4136" i="26"/>
  <c r="H4134" i="26"/>
  <c r="H4132" i="26"/>
  <c r="H4130" i="26"/>
  <c r="H4128" i="26"/>
  <c r="H4126" i="26"/>
  <c r="H4124" i="26"/>
  <c r="H4122" i="26"/>
  <c r="H4120" i="26"/>
  <c r="H4118" i="26"/>
  <c r="H4116" i="26"/>
  <c r="H4114" i="26"/>
  <c r="H4112" i="26"/>
  <c r="H4110" i="26"/>
  <c r="H4108" i="26"/>
  <c r="H4106" i="26"/>
  <c r="H4104" i="26"/>
  <c r="H4102" i="26"/>
  <c r="H4100" i="26"/>
  <c r="H4098" i="26"/>
  <c r="H4096" i="26"/>
  <c r="H4094" i="26"/>
  <c r="H4092" i="26"/>
  <c r="H4089" i="26"/>
  <c r="H4087" i="26"/>
  <c r="H4085" i="26"/>
  <c r="H4083" i="26"/>
  <c r="H4081" i="26"/>
  <c r="H4079" i="26"/>
  <c r="H4077" i="26"/>
  <c r="H4076" i="26"/>
  <c r="H4075" i="26"/>
  <c r="H4074" i="26"/>
  <c r="H4073" i="26"/>
  <c r="H4072" i="26"/>
  <c r="H4071" i="26"/>
  <c r="H4070" i="26"/>
  <c r="H4069" i="26"/>
  <c r="H4068" i="26"/>
  <c r="H4067" i="26"/>
  <c r="H4066" i="26"/>
  <c r="H4065" i="26"/>
  <c r="H4064" i="26"/>
  <c r="H4063" i="26"/>
  <c r="H4062" i="26"/>
  <c r="H4061" i="26"/>
  <c r="H4060" i="26"/>
  <c r="H4059" i="26"/>
  <c r="H4058" i="26"/>
  <c r="H4057" i="26"/>
  <c r="H4056" i="26"/>
  <c r="H4055" i="26"/>
  <c r="H4054" i="26"/>
  <c r="H4053" i="26"/>
  <c r="H4052" i="26"/>
  <c r="H4051" i="26"/>
  <c r="H4050" i="26"/>
  <c r="H4049" i="26"/>
  <c r="H4048" i="26"/>
  <c r="H4047" i="26"/>
  <c r="H4046" i="26"/>
  <c r="H4045" i="26"/>
  <c r="H4044" i="26"/>
  <c r="H4043" i="26"/>
  <c r="H4042" i="26"/>
  <c r="H4041" i="26"/>
  <c r="H4040" i="26"/>
  <c r="H4039" i="26"/>
  <c r="H4038" i="26"/>
  <c r="H4037" i="26"/>
  <c r="H4036" i="26"/>
  <c r="H4035" i="26"/>
  <c r="H4034" i="26"/>
  <c r="H4033" i="26"/>
  <c r="H4032" i="26"/>
  <c r="H4031" i="26"/>
  <c r="H3989" i="26"/>
  <c r="H3987" i="26"/>
  <c r="H3985" i="26"/>
  <c r="H3983" i="26"/>
  <c r="H3981" i="26"/>
  <c r="H3979" i="26"/>
  <c r="H3977" i="26"/>
  <c r="H3975" i="26"/>
  <c r="H3973" i="26"/>
  <c r="H3971" i="26"/>
  <c r="H3969" i="26"/>
  <c r="H3967" i="26"/>
  <c r="H3965" i="26"/>
  <c r="H3963" i="26"/>
  <c r="H3961" i="26"/>
  <c r="H3959" i="26"/>
  <c r="H3957" i="26"/>
  <c r="H3955" i="26"/>
  <c r="H3953" i="26"/>
  <c r="H3951" i="26"/>
  <c r="H3949" i="26"/>
  <c r="H3947" i="26"/>
  <c r="H3945" i="26"/>
  <c r="H3943" i="26"/>
  <c r="H3941" i="26"/>
  <c r="H3939" i="26"/>
  <c r="H3937" i="26"/>
  <c r="H3935" i="26"/>
  <c r="H3933" i="26"/>
  <c r="H3931" i="26"/>
  <c r="H3929" i="26"/>
  <c r="H3927" i="26"/>
  <c r="H3925" i="26"/>
  <c r="H3923" i="26"/>
  <c r="H3921" i="26"/>
  <c r="H3919" i="26"/>
  <c r="H3917" i="26"/>
  <c r="H3915" i="26"/>
  <c r="H3913" i="26"/>
  <c r="H3911" i="26"/>
  <c r="H3909" i="26"/>
  <c r="H3907" i="26"/>
  <c r="H3905" i="26"/>
  <c r="H3903" i="26"/>
  <c r="H3901" i="26"/>
  <c r="H3899" i="26"/>
  <c r="H3897" i="26"/>
  <c r="H3896" i="26"/>
  <c r="H3895" i="26"/>
  <c r="H3894" i="26"/>
  <c r="H3893" i="26"/>
  <c r="H3892" i="26"/>
  <c r="H3891" i="26"/>
  <c r="H3890" i="26"/>
  <c r="H3889" i="26"/>
  <c r="H3888" i="26"/>
  <c r="H3886" i="26"/>
  <c r="H3884" i="26"/>
  <c r="H3882" i="26"/>
  <c r="H3880" i="26"/>
  <c r="H3878" i="26"/>
  <c r="H3876" i="26"/>
  <c r="H3874" i="26"/>
  <c r="H3872" i="26"/>
  <c r="H3870" i="26"/>
  <c r="H3868" i="26"/>
  <c r="H3866" i="26"/>
  <c r="H3864" i="26"/>
  <c r="H3862" i="26"/>
  <c r="H3860" i="26"/>
  <c r="H3858" i="26"/>
  <c r="H3856" i="26"/>
  <c r="H3854" i="26"/>
  <c r="H3852" i="26"/>
  <c r="H3850" i="26"/>
  <c r="H3848" i="26"/>
  <c r="H3846" i="26"/>
  <c r="H3845" i="26"/>
  <c r="H3843" i="26"/>
  <c r="H3841" i="26"/>
  <c r="H3839" i="26"/>
  <c r="H3836" i="26"/>
  <c r="H3834" i="26"/>
  <c r="H3832" i="26"/>
  <c r="H3830" i="26"/>
  <c r="H3828" i="26"/>
  <c r="H3826" i="26"/>
  <c r="H3824" i="26"/>
  <c r="H3823" i="26"/>
  <c r="H3821" i="26"/>
  <c r="H3819" i="26"/>
  <c r="H3817" i="26"/>
  <c r="H3815" i="26"/>
  <c r="H3813" i="26"/>
  <c r="H3810" i="26"/>
  <c r="H3808" i="26"/>
  <c r="H3806" i="26"/>
  <c r="H3804" i="26"/>
  <c r="H3802" i="26"/>
  <c r="H3800" i="26"/>
  <c r="H3798" i="26"/>
  <c r="H3796" i="26"/>
  <c r="H3794" i="26"/>
  <c r="H3792" i="26"/>
  <c r="H3790" i="26"/>
  <c r="H3788" i="26"/>
  <c r="H3786" i="26"/>
  <c r="H3784" i="26"/>
  <c r="H3782" i="26"/>
  <c r="H3780" i="26"/>
  <c r="H3778" i="26"/>
  <c r="H3776" i="26"/>
  <c r="H3774" i="26"/>
  <c r="H3772" i="26"/>
  <c r="H3770" i="26"/>
  <c r="H3768" i="26"/>
  <c r="H3766" i="26"/>
  <c r="H3764" i="26"/>
  <c r="H3762" i="26"/>
  <c r="H3760" i="26"/>
  <c r="H3758" i="26"/>
  <c r="H3756" i="26"/>
  <c r="H3754" i="26"/>
  <c r="H3752" i="26"/>
  <c r="H3750" i="26"/>
  <c r="H3748" i="26"/>
  <c r="H3746" i="26"/>
  <c r="H3744" i="26"/>
  <c r="H3742" i="26"/>
  <c r="H3740" i="26"/>
  <c r="H3738" i="26"/>
  <c r="H3736" i="26"/>
  <c r="H3734" i="26"/>
  <c r="H3732" i="26"/>
  <c r="H3730" i="26"/>
  <c r="H3728" i="26"/>
  <c r="H3727" i="26"/>
  <c r="H3726" i="26"/>
  <c r="H3725" i="26"/>
  <c r="H3724" i="26"/>
  <c r="H3723" i="26"/>
  <c r="H3722" i="26"/>
  <c r="H3721" i="26"/>
  <c r="H3720" i="26"/>
  <c r="H3718" i="26"/>
  <c r="H3716" i="26"/>
  <c r="H3714" i="26"/>
  <c r="H3712" i="26"/>
  <c r="H3710" i="26"/>
  <c r="H3708" i="26"/>
  <c r="H3706" i="26"/>
  <c r="H3704" i="26"/>
  <c r="H3702" i="26"/>
  <c r="H3700" i="26"/>
  <c r="H3698" i="26"/>
  <c r="H3696" i="26"/>
  <c r="H3694" i="26"/>
  <c r="H3692" i="26"/>
  <c r="H3690" i="26"/>
  <c r="H3688" i="26"/>
  <c r="H3686" i="26"/>
  <c r="H3684" i="26"/>
  <c r="H3682" i="26"/>
  <c r="H3680" i="26"/>
  <c r="H3678" i="26"/>
  <c r="H3676" i="26"/>
  <c r="H3674" i="26"/>
  <c r="H3664" i="26"/>
  <c r="H3662" i="26"/>
  <c r="H3660" i="26"/>
  <c r="H3657" i="26"/>
  <c r="H3655" i="26"/>
  <c r="H3653" i="26"/>
  <c r="H3651" i="26"/>
  <c r="H3649" i="26"/>
  <c r="H3647" i="26"/>
  <c r="H3645" i="26"/>
  <c r="H3643" i="26"/>
  <c r="H3642" i="26"/>
  <c r="H3640" i="26"/>
  <c r="H3638" i="26"/>
  <c r="H3636" i="26"/>
  <c r="H3634" i="26"/>
  <c r="H3632" i="26"/>
  <c r="H3630" i="26"/>
  <c r="H3628" i="26"/>
  <c r="H3626" i="26"/>
  <c r="H3624" i="26"/>
  <c r="H3622" i="26"/>
  <c r="H3620" i="26"/>
  <c r="H3618" i="26"/>
  <c r="H3616" i="26"/>
  <c r="H3614" i="26"/>
  <c r="H3612" i="26"/>
  <c r="H3610" i="26"/>
  <c r="H3608" i="26"/>
  <c r="H3606" i="26"/>
  <c r="H3604" i="26"/>
  <c r="H3602" i="26"/>
  <c r="H3600" i="26"/>
  <c r="H3598" i="26"/>
  <c r="H3596" i="26"/>
  <c r="H3594" i="26"/>
  <c r="H3592" i="26"/>
  <c r="H3590" i="26"/>
  <c r="H3588" i="26"/>
  <c r="H3586" i="26"/>
  <c r="H3583" i="26"/>
  <c r="H3581" i="26"/>
  <c r="H3579" i="26"/>
  <c r="H3577" i="26"/>
  <c r="H3575" i="26"/>
  <c r="H3573" i="26"/>
  <c r="H3571" i="26"/>
  <c r="H3569" i="26"/>
  <c r="H3567" i="26"/>
  <c r="H3565" i="26"/>
  <c r="H3563" i="26"/>
  <c r="H3561" i="26"/>
  <c r="H3559" i="26"/>
  <c r="H3557" i="26"/>
  <c r="H3555" i="26"/>
  <c r="H3553" i="26"/>
  <c r="H3551" i="26"/>
  <c r="H3549" i="26"/>
  <c r="H3547" i="26"/>
  <c r="H3545" i="26"/>
  <c r="H3543" i="26"/>
  <c r="H3541" i="26"/>
  <c r="H3539" i="26"/>
  <c r="H3537" i="26"/>
  <c r="H3535" i="26"/>
  <c r="H3533" i="26"/>
  <c r="H3531" i="26"/>
  <c r="H3529" i="26"/>
  <c r="H3527" i="26"/>
  <c r="H3525" i="26"/>
  <c r="H3523" i="26"/>
  <c r="H3521" i="26"/>
  <c r="H3518" i="26"/>
  <c r="H3516" i="26"/>
  <c r="H3514" i="26"/>
  <c r="H3512" i="26"/>
  <c r="H3510" i="26"/>
  <c r="H3508" i="26"/>
  <c r="H3506" i="26"/>
  <c r="H3504" i="26"/>
  <c r="H3502" i="26"/>
  <c r="H3500" i="26"/>
  <c r="H3498" i="26"/>
  <c r="H3496" i="26"/>
  <c r="H3494" i="26"/>
  <c r="H3492" i="26"/>
  <c r="H3490" i="26"/>
  <c r="H3488" i="26"/>
  <c r="H3486" i="26"/>
  <c r="H3484" i="26"/>
  <c r="H3482" i="26"/>
  <c r="H3480" i="26"/>
  <c r="H3478" i="26"/>
  <c r="H3476" i="26"/>
  <c r="H3474" i="26"/>
  <c r="H3472" i="26"/>
  <c r="H3470" i="26"/>
  <c r="H3468" i="26"/>
  <c r="H3460" i="26"/>
  <c r="H3458" i="26"/>
  <c r="H3456" i="26"/>
  <c r="H3454" i="26"/>
  <c r="H3452" i="26"/>
  <c r="H3450" i="26"/>
  <c r="H3448" i="26"/>
  <c r="H3446" i="26"/>
  <c r="H3444" i="26"/>
  <c r="H3442" i="26"/>
  <c r="H3440" i="26"/>
  <c r="H3438" i="26"/>
  <c r="H3436" i="26"/>
  <c r="H3434" i="26"/>
  <c r="H3432" i="26"/>
  <c r="H3430" i="26"/>
  <c r="H3428" i="26"/>
  <c r="H3426" i="26"/>
  <c r="H3424" i="26"/>
  <c r="H3422" i="26"/>
  <c r="H3420" i="26"/>
  <c r="H3418" i="26"/>
  <c r="H3416" i="26"/>
  <c r="H3414" i="26"/>
  <c r="H3412" i="26"/>
  <c r="H3410" i="26"/>
  <c r="H3408" i="26"/>
  <c r="H3406" i="26"/>
  <c r="H3404" i="26"/>
  <c r="H3402" i="26"/>
  <c r="H3400" i="26"/>
  <c r="H3398" i="26"/>
  <c r="H3396" i="26"/>
  <c r="H3394" i="26"/>
  <c r="H3393" i="26"/>
  <c r="H3392" i="26"/>
  <c r="H3391" i="26"/>
  <c r="H3390" i="26"/>
  <c r="H3389" i="26"/>
  <c r="H3388" i="26"/>
  <c r="H3387" i="26"/>
  <c r="H3386" i="26"/>
  <c r="H3385" i="26"/>
  <c r="H3384" i="26"/>
  <c r="H3383" i="26"/>
  <c r="H3381" i="26"/>
  <c r="H3379" i="26"/>
  <c r="H3377" i="26"/>
  <c r="H3375" i="26"/>
  <c r="H3373" i="26"/>
  <c r="H3371" i="26"/>
  <c r="H3369" i="26"/>
  <c r="H3367" i="26"/>
  <c r="H3365" i="26"/>
  <c r="H3363" i="26"/>
  <c r="H3361" i="26"/>
  <c r="H3359" i="26"/>
  <c r="H3357" i="26"/>
  <c r="H3355" i="26"/>
  <c r="H3353" i="26"/>
  <c r="H3351" i="26"/>
  <c r="H3349" i="26"/>
  <c r="H3347" i="26"/>
  <c r="H3345" i="26"/>
  <c r="H3343" i="26"/>
  <c r="H3341" i="26"/>
  <c r="H3339" i="26"/>
  <c r="H3337" i="26"/>
  <c r="H3335" i="26"/>
  <c r="H3333" i="26"/>
  <c r="H3331" i="26"/>
  <c r="H3329" i="26"/>
  <c r="H3326" i="26"/>
  <c r="H3316" i="26"/>
  <c r="H3313" i="26"/>
  <c r="H3311" i="26"/>
  <c r="H3309" i="26"/>
  <c r="H3307" i="26"/>
  <c r="H3305" i="26"/>
  <c r="H3303" i="26"/>
  <c r="H3301" i="26"/>
  <c r="H3299" i="26"/>
  <c r="H3297" i="26"/>
  <c r="H3295" i="26"/>
  <c r="H3293" i="26"/>
  <c r="H3291" i="26"/>
  <c r="H3289" i="26"/>
  <c r="H3287" i="26"/>
  <c r="H3285" i="26"/>
  <c r="H3283" i="26"/>
  <c r="H3281" i="26"/>
  <c r="H3279" i="26"/>
  <c r="H3277" i="26"/>
  <c r="H3275" i="26"/>
  <c r="H3273" i="26"/>
  <c r="H3271" i="26"/>
  <c r="H3270" i="26"/>
  <c r="H3269" i="26"/>
  <c r="H3268" i="26"/>
  <c r="H3267" i="26"/>
  <c r="H3266" i="26"/>
  <c r="H3265" i="26"/>
  <c r="H3264" i="26"/>
  <c r="H3262" i="26"/>
  <c r="H3260" i="26"/>
  <c r="H3258" i="26"/>
  <c r="H3256" i="26"/>
  <c r="H3254" i="26"/>
  <c r="H3252" i="26"/>
  <c r="H3250" i="26"/>
  <c r="H3248" i="26"/>
  <c r="H3246" i="26"/>
  <c r="H3244" i="26"/>
  <c r="H3242" i="26"/>
  <c r="H3240" i="26"/>
  <c r="H3238" i="26"/>
  <c r="H3236" i="26"/>
  <c r="H3234" i="26"/>
  <c r="H3232" i="26"/>
  <c r="H3230" i="26"/>
  <c r="H3228" i="26"/>
  <c r="H3226" i="26"/>
  <c r="H3223" i="26"/>
  <c r="H3221" i="26"/>
  <c r="H3219" i="26"/>
  <c r="H3217" i="26"/>
  <c r="H3215" i="26"/>
  <c r="H3213" i="26"/>
  <c r="H3211" i="26"/>
  <c r="H3209" i="26"/>
  <c r="H3207" i="26"/>
  <c r="H3205" i="26"/>
  <c r="H3203" i="26"/>
  <c r="H3201" i="26"/>
  <c r="H3199" i="26"/>
  <c r="H3197" i="26"/>
  <c r="H3195" i="26"/>
  <c r="H3193" i="26"/>
  <c r="H3191" i="26"/>
  <c r="H3189" i="26"/>
  <c r="H3187" i="26"/>
  <c r="H3185" i="26"/>
  <c r="H3183" i="26"/>
  <c r="H3181" i="26"/>
  <c r="H3179" i="26"/>
  <c r="H3177" i="26"/>
  <c r="H3175" i="26"/>
  <c r="H3173" i="26"/>
  <c r="H3171" i="26"/>
  <c r="H3169" i="26"/>
  <c r="H3167" i="26"/>
  <c r="H3165" i="26"/>
  <c r="H3163" i="26"/>
  <c r="H3161" i="26"/>
  <c r="H3159" i="26"/>
  <c r="H3157" i="26"/>
  <c r="H3155" i="26"/>
  <c r="H3153" i="26"/>
  <c r="H3151" i="26"/>
  <c r="H3149" i="26"/>
  <c r="H3147" i="26"/>
  <c r="H3145" i="26"/>
  <c r="H3143" i="26"/>
  <c r="H3141" i="26"/>
  <c r="H3139" i="26"/>
  <c r="H3137" i="26"/>
  <c r="H3135" i="26"/>
  <c r="H3133" i="26"/>
  <c r="H3131" i="26"/>
  <c r="H3129" i="26"/>
  <c r="H3127" i="26"/>
  <c r="H3125" i="26"/>
  <c r="H3123" i="26"/>
  <c r="H3121" i="26"/>
  <c r="H3119" i="26"/>
  <c r="H3117" i="26"/>
  <c r="H3115" i="26"/>
  <c r="H3113" i="26"/>
  <c r="H3111" i="26"/>
  <c r="H3109" i="26"/>
  <c r="H3107" i="26"/>
  <c r="H3105" i="26"/>
  <c r="H3103" i="26"/>
  <c r="H3101" i="26"/>
  <c r="H3099" i="26"/>
  <c r="H3097" i="26"/>
  <c r="H3095" i="26"/>
  <c r="H3093" i="26"/>
  <c r="H3091" i="26"/>
  <c r="H3089" i="26"/>
  <c r="H3087" i="26"/>
  <c r="H3085" i="26"/>
  <c r="H3083" i="26"/>
  <c r="H3081" i="26"/>
  <c r="H3079" i="26"/>
  <c r="H3077" i="26"/>
  <c r="H3075" i="26"/>
  <c r="H3073" i="26"/>
  <c r="H3071" i="26"/>
  <c r="H3069" i="26"/>
  <c r="H3067" i="26"/>
  <c r="H3065" i="26"/>
  <c r="H3063" i="26"/>
  <c r="H3061" i="26"/>
  <c r="H3059" i="26"/>
  <c r="H3057" i="26"/>
  <c r="H3055" i="26"/>
  <c r="H3053" i="26"/>
  <c r="H3051" i="26"/>
  <c r="H3049" i="26"/>
  <c r="H3047" i="26"/>
  <c r="H3045" i="26"/>
  <c r="H3044" i="26"/>
  <c r="H3043" i="26"/>
  <c r="H3042" i="26"/>
  <c r="H3041" i="26"/>
  <c r="H3040" i="26"/>
  <c r="H3039" i="26"/>
  <c r="H3038" i="26"/>
  <c r="H3037" i="26"/>
  <c r="H3036" i="26"/>
  <c r="H3034" i="26"/>
  <c r="H3032" i="26"/>
  <c r="H3030" i="26"/>
  <c r="H3028" i="26"/>
  <c r="H3026" i="26"/>
  <c r="H3024" i="26"/>
  <c r="H3022" i="26"/>
  <c r="H3020" i="26"/>
  <c r="H3018" i="26"/>
  <c r="H3016" i="26"/>
  <c r="H3014" i="26"/>
  <c r="H3012" i="26"/>
  <c r="H3010" i="26"/>
  <c r="H3008" i="26"/>
  <c r="H3006" i="26"/>
  <c r="H3004" i="26"/>
  <c r="H3002" i="26"/>
  <c r="H3000" i="26"/>
  <c r="H2998" i="26"/>
  <c r="H2997" i="26"/>
  <c r="H2995" i="26"/>
  <c r="H2993" i="26"/>
  <c r="H2991" i="26"/>
  <c r="H2981" i="26"/>
  <c r="H2979" i="26"/>
  <c r="H2977" i="26"/>
  <c r="H2975" i="26"/>
  <c r="H2973" i="26"/>
  <c r="H2971" i="26"/>
  <c r="H2969" i="26"/>
  <c r="H2967" i="26"/>
  <c r="H2964" i="26"/>
  <c r="H2963" i="26"/>
  <c r="H2960" i="26"/>
  <c r="H2958" i="26"/>
  <c r="H2956" i="26"/>
  <c r="H2954" i="26"/>
  <c r="H2952" i="26"/>
  <c r="H2950" i="26"/>
  <c r="H2948" i="26"/>
  <c r="H2946" i="26"/>
  <c r="H2944" i="26"/>
  <c r="H2942" i="26"/>
  <c r="H2940" i="26"/>
  <c r="H2938" i="26"/>
  <c r="H2936" i="26"/>
  <c r="H2934" i="26"/>
  <c r="H2932" i="26"/>
  <c r="H2930" i="26"/>
  <c r="H2928" i="26"/>
  <c r="H2926" i="26"/>
  <c r="H2924" i="26"/>
  <c r="H2921" i="26"/>
  <c r="H2919" i="26"/>
  <c r="H2917" i="26"/>
  <c r="H2915" i="26"/>
  <c r="H2913" i="26"/>
  <c r="H2911" i="26"/>
  <c r="H2909" i="26"/>
  <c r="H2907" i="26"/>
  <c r="H2905" i="26"/>
  <c r="H2903" i="26"/>
  <c r="H2901" i="26"/>
  <c r="H2899" i="26"/>
  <c r="H2897" i="26"/>
  <c r="H2895" i="26"/>
  <c r="H2893" i="26"/>
  <c r="H2892" i="26"/>
  <c r="H2890" i="26"/>
  <c r="H2887" i="26"/>
  <c r="H2885" i="26"/>
  <c r="H2883" i="26"/>
  <c r="H2881" i="26"/>
  <c r="H2878" i="26"/>
  <c r="H2876" i="26"/>
  <c r="H2874" i="26"/>
  <c r="H2872" i="26"/>
  <c r="H2870" i="26"/>
  <c r="H2868" i="26"/>
  <c r="H2866" i="26"/>
  <c r="H2864" i="26"/>
  <c r="H2862" i="26"/>
  <c r="H2860" i="26"/>
  <c r="H2858" i="26"/>
  <c r="H2856" i="26"/>
  <c r="H2854" i="26"/>
  <c r="H2852" i="26"/>
  <c r="H2850" i="26"/>
  <c r="H2848" i="26"/>
  <c r="H2846" i="26"/>
  <c r="H2844" i="26"/>
  <c r="H2834" i="26"/>
  <c r="H2832" i="26"/>
  <c r="H2830" i="26"/>
  <c r="H2828" i="26"/>
  <c r="H2826" i="26"/>
  <c r="H2824" i="26"/>
  <c r="H2822" i="26"/>
  <c r="H2820" i="26"/>
  <c r="H2818" i="26"/>
  <c r="H2816" i="26"/>
  <c r="H2814" i="26"/>
  <c r="H2812" i="26"/>
  <c r="H2810" i="26"/>
  <c r="H2808" i="26"/>
  <c r="H2806" i="26"/>
  <c r="H2804" i="26"/>
  <c r="H2802" i="26"/>
  <c r="H2800" i="26"/>
  <c r="H2798" i="26"/>
  <c r="H2796" i="26"/>
  <c r="H2794" i="26"/>
  <c r="H2792" i="26"/>
  <c r="H2790" i="26"/>
  <c r="H2788" i="26"/>
  <c r="H2786" i="26"/>
  <c r="H2783" i="26"/>
  <c r="H2781" i="26"/>
  <c r="H2779" i="26"/>
  <c r="H2777" i="26"/>
  <c r="H2775" i="26"/>
  <c r="H2773" i="26"/>
  <c r="H2771" i="26"/>
  <c r="H2769" i="26"/>
  <c r="H2767" i="26"/>
  <c r="H2765" i="26"/>
  <c r="H2763" i="26"/>
  <c r="H2762" i="26"/>
  <c r="H2761" i="26"/>
  <c r="H2760" i="26"/>
  <c r="H2759" i="26"/>
  <c r="H2758" i="26"/>
  <c r="H2757" i="26"/>
  <c r="H2756" i="26"/>
  <c r="H2754" i="26"/>
  <c r="H2752" i="26"/>
  <c r="H2750" i="26"/>
  <c r="H2748" i="26"/>
  <c r="H2746" i="26"/>
  <c r="H2744" i="26"/>
  <c r="H2742" i="26"/>
  <c r="H2740" i="26"/>
  <c r="H2738" i="26"/>
  <c r="H2736" i="26"/>
  <c r="H2734" i="26"/>
  <c r="H2732" i="26"/>
  <c r="H2730" i="26"/>
  <c r="H2728" i="26"/>
  <c r="H2726" i="26"/>
  <c r="H2724" i="26"/>
  <c r="H2722" i="26"/>
  <c r="H2720" i="26"/>
  <c r="H2718" i="26"/>
  <c r="H2716" i="26"/>
  <c r="H2714" i="26"/>
  <c r="H2712" i="26"/>
  <c r="H2710" i="26"/>
  <c r="H2708" i="26"/>
  <c r="H2707" i="26"/>
  <c r="H2706" i="26"/>
  <c r="H2705" i="26"/>
  <c r="H2704" i="26"/>
  <c r="H2703" i="26"/>
  <c r="H2702" i="26"/>
  <c r="H2701" i="26"/>
  <c r="H2699" i="26"/>
  <c r="H2697" i="26"/>
  <c r="H2695" i="26"/>
  <c r="H2693" i="26"/>
  <c r="H2691" i="26"/>
  <c r="H2689" i="26"/>
  <c r="H2687" i="26"/>
  <c r="H2685" i="26"/>
  <c r="H2683" i="26"/>
  <c r="H2681" i="26"/>
  <c r="H2679" i="26"/>
  <c r="H2677" i="26"/>
  <c r="H2675" i="26"/>
  <c r="H2673" i="26"/>
  <c r="H2671" i="26"/>
  <c r="H2669" i="26"/>
  <c r="H2667" i="26"/>
  <c r="H2665" i="26"/>
  <c r="H2663" i="26"/>
  <c r="H2661" i="26"/>
  <c r="H2659" i="26"/>
  <c r="H2657" i="26"/>
  <c r="H2655" i="26"/>
  <c r="H2653" i="26"/>
  <c r="H2651" i="26"/>
  <c r="H2649" i="26"/>
  <c r="H2647" i="26"/>
  <c r="H2645" i="26"/>
  <c r="H2640" i="26"/>
  <c r="H2639" i="26"/>
  <c r="H2638" i="26"/>
  <c r="H2637" i="26"/>
  <c r="H2635" i="26"/>
  <c r="H2633" i="26"/>
  <c r="H2631" i="26"/>
  <c r="H2629" i="26"/>
  <c r="H2627" i="26"/>
  <c r="H2625" i="26"/>
  <c r="H2623" i="26"/>
  <c r="H2621" i="26"/>
  <c r="H2619" i="26"/>
  <c r="H2617" i="26"/>
  <c r="H2615" i="26"/>
  <c r="H2613" i="26"/>
  <c r="H2611" i="26"/>
  <c r="H2609" i="26"/>
  <c r="H2607" i="26"/>
  <c r="H2605" i="26"/>
  <c r="H2603" i="26"/>
  <c r="H2601" i="26"/>
  <c r="H2599" i="26"/>
  <c r="H2597" i="26"/>
  <c r="H2595" i="26"/>
  <c r="H2593" i="26"/>
  <c r="H2591" i="26"/>
  <c r="H2589" i="26"/>
  <c r="H2586" i="26"/>
  <c r="H2585" i="26"/>
  <c r="H2583" i="26"/>
  <c r="H2581" i="26"/>
  <c r="H2579" i="26"/>
  <c r="H2577" i="26"/>
  <c r="H2575" i="26"/>
  <c r="H2573" i="26"/>
  <c r="H2571" i="26"/>
  <c r="H2569" i="26"/>
  <c r="H2567" i="26"/>
  <c r="H2565" i="26"/>
  <c r="H2563" i="26"/>
  <c r="H2561" i="26"/>
  <c r="H2559" i="26"/>
  <c r="H2557" i="26"/>
  <c r="H2555" i="26"/>
  <c r="H2553" i="26"/>
  <c r="H2551" i="26"/>
  <c r="H2549" i="26"/>
  <c r="H2547" i="26"/>
  <c r="H2545" i="26"/>
  <c r="H2543" i="26"/>
  <c r="H2541" i="26"/>
  <c r="H2539" i="26"/>
  <c r="H2537" i="26"/>
  <c r="H2535" i="26"/>
  <c r="H2533" i="26"/>
  <c r="H2531" i="26"/>
  <c r="H2529" i="26"/>
  <c r="H2527" i="26"/>
  <c r="H2525" i="26"/>
  <c r="H2523" i="26"/>
  <c r="H2521" i="26"/>
  <c r="H2519" i="26"/>
  <c r="H2517" i="26"/>
  <c r="H2515" i="26"/>
  <c r="H2513" i="26"/>
  <c r="H2511" i="26"/>
  <c r="H2509" i="26"/>
  <c r="H2507" i="26"/>
  <c r="H2505" i="26"/>
  <c r="H2503" i="26"/>
  <c r="H2501" i="26"/>
  <c r="H2499" i="26"/>
  <c r="H2497" i="26"/>
  <c r="H2495" i="26"/>
  <c r="H2493" i="26"/>
  <c r="H2491" i="26"/>
  <c r="H2489" i="26"/>
  <c r="H2487" i="26"/>
  <c r="H2485" i="26"/>
  <c r="H2483" i="26"/>
  <c r="H2481" i="26"/>
  <c r="H2479" i="26"/>
  <c r="H2477" i="26"/>
  <c r="H2475" i="26"/>
  <c r="H2473" i="26"/>
  <c r="H2471" i="26"/>
  <c r="H2469" i="26"/>
  <c r="H2467" i="26"/>
  <c r="H2465" i="26"/>
  <c r="H2463" i="26"/>
  <c r="H2461" i="26"/>
  <c r="H2459" i="26"/>
  <c r="H2457" i="26"/>
  <c r="H2455" i="26"/>
  <c r="H2453" i="26"/>
  <c r="H2451" i="26"/>
  <c r="H2449" i="26"/>
  <c r="H2447" i="26"/>
  <c r="H2445" i="26"/>
  <c r="H2443" i="26"/>
  <c r="H2441" i="26"/>
  <c r="H2439" i="26"/>
  <c r="H2437" i="26"/>
  <c r="H2435" i="26"/>
  <c r="H2433" i="26"/>
  <c r="H2431" i="26"/>
  <c r="H2429" i="26"/>
  <c r="H2427" i="26"/>
  <c r="H2425" i="26"/>
  <c r="H2423" i="26"/>
  <c r="H2421" i="26"/>
  <c r="H2419" i="26"/>
  <c r="H2417" i="26"/>
  <c r="H2415" i="26"/>
  <c r="H2413" i="26"/>
  <c r="H2411" i="26"/>
  <c r="H2409" i="26"/>
  <c r="H2407" i="26"/>
  <c r="H2405" i="26"/>
  <c r="H2403" i="26"/>
  <c r="H2401" i="26"/>
  <c r="H2399" i="26"/>
  <c r="H2397" i="26"/>
  <c r="H2395" i="26"/>
  <c r="H2393" i="26"/>
  <c r="H2391" i="26"/>
  <c r="H2389" i="26"/>
  <c r="H2387" i="26"/>
  <c r="H2385" i="26"/>
  <c r="H2383" i="26"/>
  <c r="H2381" i="26"/>
  <c r="H2379" i="26"/>
  <c r="H2377" i="26"/>
  <c r="H2375" i="26"/>
  <c r="H2373" i="26"/>
  <c r="H2371" i="26"/>
  <c r="H2369" i="26"/>
  <c r="H2367" i="26"/>
  <c r="H2365" i="26"/>
  <c r="H2363" i="26"/>
  <c r="H2361" i="26"/>
  <c r="H2359" i="26"/>
  <c r="H2358" i="26"/>
  <c r="H2357" i="26"/>
  <c r="H2356" i="26"/>
  <c r="H2355" i="26"/>
  <c r="H2354" i="26"/>
  <c r="H2353" i="26"/>
  <c r="H2352" i="26"/>
  <c r="H2351" i="26"/>
  <c r="H2349" i="26"/>
  <c r="H2347" i="26"/>
  <c r="H2345" i="26"/>
  <c r="H2343" i="26"/>
  <c r="H2341" i="26"/>
  <c r="H2339" i="26"/>
  <c r="H2337" i="26"/>
  <c r="H2335" i="26"/>
  <c r="H2333" i="26"/>
  <c r="H2331" i="26"/>
  <c r="H2329" i="26"/>
  <c r="H2327" i="26"/>
  <c r="H2325" i="26"/>
  <c r="H2323" i="26"/>
  <c r="H2321" i="26"/>
  <c r="H2319" i="26"/>
  <c r="H2317" i="26"/>
  <c r="H2315" i="26"/>
  <c r="H2313" i="26"/>
  <c r="H2311" i="26"/>
  <c r="H2301" i="26"/>
  <c r="H2298" i="26"/>
  <c r="H2296" i="26"/>
  <c r="H2294" i="26"/>
  <c r="H2292" i="26"/>
  <c r="H2290" i="26"/>
  <c r="H2288" i="26"/>
  <c r="H2286" i="26"/>
  <c r="H2284" i="26"/>
  <c r="H2282" i="26"/>
  <c r="H2280" i="26"/>
  <c r="H2278" i="26"/>
  <c r="H2276" i="26"/>
  <c r="H2274" i="26"/>
  <c r="H2272" i="26"/>
  <c r="H2270" i="26"/>
  <c r="H2268" i="26"/>
  <c r="H2266" i="26"/>
  <c r="H2264" i="26"/>
  <c r="H2262" i="26"/>
  <c r="H2260" i="26"/>
  <c r="H2258" i="26"/>
  <c r="H2256" i="26"/>
  <c r="H2254" i="26"/>
  <c r="H2252" i="26"/>
  <c r="H2250" i="26"/>
  <c r="H2248" i="26"/>
  <c r="H2246" i="26"/>
  <c r="H2244" i="26"/>
  <c r="H2242" i="26"/>
  <c r="H2240" i="26"/>
  <c r="H2238" i="26"/>
  <c r="H2236" i="26"/>
  <c r="H2234" i="26"/>
  <c r="H2232" i="26"/>
  <c r="H2230" i="26"/>
  <c r="H2228" i="26"/>
  <c r="H2226" i="26"/>
  <c r="H2224" i="26"/>
  <c r="H2213" i="26"/>
  <c r="H2211" i="26"/>
  <c r="H2209" i="26"/>
  <c r="H2207" i="26"/>
  <c r="H2205" i="26"/>
  <c r="H2203" i="26"/>
  <c r="H2201" i="26"/>
  <c r="H2199" i="26"/>
  <c r="H2197" i="26"/>
  <c r="H2195" i="26"/>
  <c r="H2193" i="26"/>
  <c r="H2191" i="26"/>
  <c r="H2189" i="26"/>
  <c r="H2187" i="26"/>
  <c r="H2185" i="26"/>
  <c r="H2183" i="26"/>
  <c r="H2181" i="26"/>
  <c r="H2179" i="26"/>
  <c r="H2177" i="26"/>
  <c r="H2175" i="26"/>
  <c r="H2173" i="26"/>
  <c r="H2171" i="26"/>
  <c r="H2169" i="26"/>
  <c r="H2167" i="26"/>
  <c r="H2165" i="26"/>
  <c r="H2163" i="26"/>
  <c r="H2161" i="26"/>
  <c r="H2159" i="26"/>
  <c r="H2157" i="26"/>
  <c r="H2155" i="26"/>
  <c r="H2153" i="26"/>
  <c r="H2151" i="26"/>
  <c r="H2149" i="26"/>
  <c r="H2147" i="26"/>
  <c r="H2145" i="26"/>
  <c r="H2143" i="26"/>
  <c r="H2141" i="26"/>
  <c r="H2139" i="26"/>
  <c r="H2137" i="26"/>
  <c r="H2135" i="26"/>
  <c r="H2133" i="26"/>
  <c r="H2131" i="26"/>
  <c r="H2129" i="26"/>
  <c r="H2127" i="26"/>
  <c r="H2125" i="26"/>
  <c r="H2123" i="26"/>
  <c r="H2121" i="26"/>
  <c r="H2119" i="26"/>
  <c r="H2117" i="26"/>
  <c r="H2114" i="26"/>
  <c r="H2112" i="26"/>
  <c r="H2110" i="26"/>
  <c r="H2108" i="26"/>
  <c r="H2106" i="26"/>
  <c r="H2104" i="26"/>
  <c r="H2102" i="26"/>
  <c r="H2100" i="26"/>
  <c r="H2098" i="26"/>
  <c r="H2096" i="26"/>
  <c r="H2095" i="26"/>
  <c r="H2094" i="26"/>
  <c r="H2093" i="26"/>
  <c r="H2092" i="26"/>
  <c r="H2091" i="26"/>
  <c r="H2090" i="26"/>
  <c r="H2089" i="26"/>
  <c r="H2088" i="26"/>
  <c r="H2087" i="26"/>
  <c r="H2086" i="26"/>
  <c r="H2085" i="26"/>
  <c r="H2084" i="26"/>
  <c r="H2083" i="26"/>
  <c r="H2082" i="26"/>
  <c r="H2081" i="26"/>
  <c r="H2080" i="26"/>
  <c r="H2079" i="26"/>
  <c r="H2078" i="26"/>
  <c r="H2077" i="26"/>
  <c r="H2076" i="26"/>
  <c r="H2075" i="26"/>
  <c r="H2074" i="26"/>
  <c r="H2073" i="26"/>
  <c r="H2072" i="26"/>
  <c r="H2071" i="26"/>
  <c r="H2070" i="26"/>
  <c r="H2069" i="26"/>
  <c r="H2068" i="26"/>
  <c r="H2067" i="26"/>
  <c r="H2066" i="26"/>
  <c r="H2065" i="26"/>
  <c r="H2064" i="26"/>
  <c r="H2063" i="26"/>
  <c r="H2062" i="26"/>
  <c r="H2061" i="26"/>
  <c r="H2060" i="26"/>
  <c r="H2059" i="26"/>
  <c r="H2058" i="26"/>
  <c r="H2057" i="26"/>
  <c r="H2056" i="26"/>
  <c r="H2055" i="26"/>
  <c r="H2054" i="26"/>
  <c r="H2053" i="26"/>
  <c r="H2052" i="26"/>
  <c r="H2051" i="26"/>
  <c r="H2050" i="26"/>
  <c r="H2049" i="26"/>
  <c r="H2048" i="26"/>
  <c r="H2047" i="26"/>
  <c r="H2046" i="26"/>
  <c r="H2045" i="26"/>
  <c r="H2044" i="26"/>
  <c r="H2043" i="26"/>
  <c r="H2042" i="26"/>
  <c r="H2041" i="26"/>
  <c r="H2040" i="26"/>
  <c r="H2039" i="26"/>
  <c r="H2038" i="26"/>
  <c r="H2037" i="26"/>
  <c r="H2036" i="26"/>
  <c r="H2035" i="26"/>
  <c r="H2034" i="26"/>
  <c r="H2033" i="26"/>
  <c r="H2032" i="26"/>
  <c r="H2031" i="26"/>
  <c r="H2030" i="26"/>
  <c r="H2029" i="26"/>
  <c r="H2028" i="26"/>
  <c r="H2027" i="26"/>
  <c r="H2026" i="26"/>
  <c r="H2025" i="26"/>
  <c r="H2023" i="26"/>
  <c r="H2022" i="26"/>
  <c r="H2011" i="26"/>
  <c r="H2009" i="26"/>
  <c r="H2000" i="26"/>
  <c r="H1998" i="26"/>
  <c r="H1996" i="26"/>
  <c r="H1994" i="26"/>
  <c r="H1992" i="26"/>
  <c r="H1990" i="26"/>
  <c r="H1988" i="26"/>
  <c r="H1986" i="26"/>
  <c r="H1984" i="26"/>
  <c r="H1982" i="26"/>
  <c r="H1980" i="26"/>
  <c r="H1978" i="26"/>
  <c r="H1976" i="26"/>
  <c r="H1974" i="26"/>
  <c r="H1972" i="26"/>
  <c r="H1971" i="26"/>
  <c r="H1970" i="26"/>
  <c r="H1969" i="26"/>
  <c r="H1968" i="26"/>
  <c r="H1967" i="26"/>
  <c r="H1966" i="26"/>
  <c r="H1965" i="26"/>
  <c r="H1964" i="26"/>
  <c r="H1962" i="26"/>
  <c r="H1960" i="26"/>
  <c r="H1959" i="26"/>
  <c r="H1958" i="26"/>
  <c r="H1957" i="26"/>
  <c r="H1956" i="26"/>
  <c r="H1955" i="26"/>
  <c r="H1954" i="26"/>
  <c r="H1953" i="26"/>
  <c r="H1952" i="26"/>
  <c r="H1951" i="26"/>
  <c r="H1949" i="26"/>
  <c r="H1947" i="26"/>
  <c r="H1945" i="26"/>
  <c r="H1943" i="26"/>
  <c r="H1941" i="26"/>
  <c r="H1939" i="26"/>
  <c r="H1938" i="26"/>
  <c r="H1936" i="26"/>
  <c r="H1934" i="26"/>
  <c r="H1932" i="26"/>
  <c r="H1930" i="26"/>
  <c r="H1928" i="26"/>
  <c r="H1926" i="26"/>
  <c r="H1924" i="26"/>
  <c r="H1922" i="26"/>
  <c r="H1920" i="26"/>
  <c r="H1918" i="26"/>
  <c r="H1916" i="26"/>
  <c r="H1914" i="26"/>
  <c r="H1912" i="26"/>
  <c r="H1910" i="26"/>
  <c r="H1908" i="26"/>
  <c r="H1906" i="26"/>
  <c r="H1904" i="26"/>
  <c r="H1902" i="26"/>
  <c r="H1900" i="26"/>
  <c r="H1898" i="26"/>
  <c r="H1896" i="26"/>
  <c r="H1894" i="26"/>
  <c r="H1892" i="26"/>
  <c r="H1890" i="26"/>
  <c r="H1888" i="26"/>
  <c r="H1886" i="26"/>
  <c r="H1884" i="26"/>
  <c r="H1882" i="26"/>
  <c r="H1880" i="26"/>
  <c r="H1878" i="26"/>
  <c r="H1876" i="26"/>
  <c r="H1874" i="26"/>
  <c r="H1872" i="26"/>
  <c r="H1870" i="26"/>
  <c r="H1868" i="26"/>
  <c r="H1866" i="26"/>
  <c r="H1864" i="26"/>
  <c r="H1862" i="26"/>
  <c r="H1860" i="26"/>
  <c r="H1858" i="26"/>
  <c r="H1856" i="26"/>
  <c r="H1855" i="26"/>
  <c r="H1853" i="26"/>
  <c r="H1851" i="26"/>
  <c r="H1849" i="26"/>
  <c r="H1847" i="26"/>
  <c r="H1845" i="26"/>
  <c r="H1843" i="26"/>
  <c r="H1841" i="26"/>
  <c r="H1839" i="26"/>
  <c r="H1837" i="26"/>
  <c r="H1835" i="26"/>
  <c r="H1833" i="26"/>
  <c r="H1831" i="26"/>
  <c r="H1829" i="26"/>
  <c r="H1827" i="26"/>
  <c r="H1825" i="26"/>
  <c r="H1823" i="26"/>
  <c r="H1821" i="26"/>
  <c r="H1819" i="26"/>
  <c r="H1817" i="26"/>
  <c r="H1815" i="26"/>
  <c r="H1813" i="26"/>
  <c r="H1811" i="26"/>
  <c r="H1809" i="26"/>
  <c r="H1807" i="26"/>
  <c r="H1805" i="26"/>
  <c r="H1803" i="26"/>
  <c r="H1801" i="26"/>
  <c r="H1799" i="26"/>
  <c r="H1797" i="26"/>
  <c r="H1795" i="26"/>
  <c r="H1793" i="26"/>
  <c r="H1791" i="26"/>
  <c r="H1789" i="26"/>
  <c r="H1787" i="26"/>
  <c r="H1785" i="26"/>
  <c r="H1783" i="26"/>
  <c r="H1781" i="26"/>
  <c r="H1779" i="26"/>
  <c r="H1777" i="26"/>
  <c r="H1775" i="26"/>
  <c r="H1773" i="26"/>
  <c r="H1771" i="26"/>
  <c r="H1769" i="26"/>
  <c r="H1767" i="26"/>
  <c r="H1765" i="26"/>
  <c r="H1763" i="26"/>
  <c r="H1761" i="26"/>
  <c r="H1759" i="26"/>
  <c r="H1757" i="26"/>
  <c r="H1755" i="26"/>
  <c r="H1753" i="26"/>
  <c r="H1751" i="26"/>
  <c r="H1749" i="26"/>
  <c r="H1747" i="26"/>
  <c r="H1745" i="26"/>
  <c r="H1743" i="26"/>
  <c r="H1741" i="26"/>
  <c r="H1739" i="26"/>
  <c r="H1737" i="26"/>
  <c r="H1735" i="26"/>
  <c r="H1733" i="26"/>
  <c r="H1731" i="26"/>
  <c r="H1729" i="26"/>
  <c r="H1727" i="26"/>
  <c r="H1725" i="26"/>
  <c r="H1723" i="26"/>
  <c r="H1721" i="26"/>
  <c r="H1719" i="26"/>
  <c r="H1717" i="26"/>
  <c r="H1715" i="26"/>
  <c r="H1713" i="26"/>
  <c r="H1711" i="26"/>
  <c r="H1709" i="26"/>
  <c r="H1707" i="26"/>
  <c r="H1705" i="26"/>
  <c r="H1703" i="26"/>
  <c r="H1701" i="26"/>
  <c r="H1699" i="26"/>
  <c r="H1697" i="26"/>
  <c r="H1695" i="26"/>
  <c r="H1693" i="26"/>
  <c r="H1691" i="26"/>
  <c r="H1689" i="26"/>
  <c r="H1687" i="26"/>
  <c r="H1685" i="26"/>
  <c r="H1675" i="26"/>
  <c r="H1673" i="26"/>
  <c r="H1671" i="26"/>
  <c r="H1669" i="26"/>
  <c r="H1667" i="26"/>
  <c r="H1665" i="26"/>
  <c r="H1663" i="26"/>
  <c r="H1661" i="26"/>
  <c r="H1659" i="26"/>
  <c r="H1657" i="26"/>
  <c r="H1646" i="26"/>
  <c r="H1644" i="26"/>
  <c r="H1642" i="26"/>
  <c r="H1640" i="26"/>
  <c r="H1638" i="26"/>
  <c r="H1636" i="26"/>
  <c r="H1634" i="26"/>
  <c r="H1632" i="26"/>
  <c r="H1630" i="26"/>
  <c r="H1629" i="26"/>
  <c r="H1628" i="26"/>
  <c r="H1627" i="26"/>
  <c r="H1626" i="26"/>
  <c r="H1625" i="26"/>
  <c r="H1624" i="26"/>
  <c r="H1623" i="26"/>
  <c r="H1622" i="26"/>
  <c r="H1620" i="26"/>
  <c r="H1618" i="26"/>
  <c r="H1616" i="26"/>
  <c r="H1614" i="26"/>
  <c r="H1612" i="26"/>
  <c r="H1610" i="26"/>
  <c r="H1608" i="26"/>
  <c r="H1606" i="26"/>
  <c r="H1604" i="26"/>
  <c r="H1602" i="26"/>
  <c r="H1600" i="26"/>
  <c r="H1598" i="26"/>
  <c r="H1596" i="26"/>
  <c r="H1594" i="26"/>
  <c r="H1592" i="26"/>
  <c r="H1590" i="26"/>
  <c r="H1588" i="26"/>
  <c r="H1586" i="26"/>
  <c r="H1584" i="26"/>
  <c r="H1582" i="26"/>
  <c r="H1580" i="26"/>
  <c r="H1578" i="26"/>
  <c r="H1576" i="26"/>
  <c r="H1574" i="26"/>
  <c r="H1572" i="26"/>
  <c r="H1570" i="26"/>
  <c r="H1568" i="26"/>
  <c r="H1566" i="26"/>
  <c r="H1564" i="26"/>
  <c r="H1562" i="26"/>
  <c r="H1560" i="26"/>
  <c r="H1558" i="26"/>
  <c r="H1556" i="26"/>
  <c r="H1554" i="26"/>
  <c r="H1552" i="26"/>
  <c r="H1550" i="26"/>
  <c r="H1549" i="26"/>
  <c r="H1547" i="26"/>
  <c r="H1545" i="26"/>
  <c r="H1543" i="26"/>
  <c r="H1541" i="26"/>
  <c r="H1539" i="26"/>
  <c r="H1537" i="26"/>
  <c r="H1534" i="26"/>
  <c r="H1532" i="26"/>
  <c r="H1530" i="26"/>
  <c r="H1528" i="26"/>
  <c r="H1526" i="26"/>
  <c r="H1524" i="26"/>
  <c r="H1522" i="26"/>
  <c r="H1520" i="26"/>
  <c r="H1518" i="26"/>
  <c r="H1516" i="26"/>
  <c r="H1514" i="26"/>
  <c r="H1512" i="26"/>
  <c r="H1510" i="26"/>
  <c r="H1508" i="26"/>
  <c r="H1506" i="26"/>
  <c r="H1504" i="26"/>
  <c r="H1502" i="26"/>
  <c r="H1500" i="26"/>
  <c r="H1498" i="26"/>
  <c r="H1496" i="26"/>
  <c r="H1494" i="26"/>
  <c r="H1492" i="26"/>
  <c r="H1490" i="26"/>
  <c r="H1488" i="26"/>
  <c r="H1486" i="26"/>
  <c r="H1484" i="26"/>
  <c r="H1482" i="26"/>
  <c r="H1481" i="26"/>
  <c r="H1479" i="26"/>
  <c r="H1477" i="26"/>
  <c r="H1475" i="26"/>
  <c r="H1473" i="26"/>
  <c r="H1471" i="26"/>
  <c r="H1469" i="26"/>
  <c r="H1467" i="26"/>
  <c r="H1465" i="26"/>
  <c r="H1463" i="26"/>
  <c r="H1461" i="26"/>
  <c r="H1459" i="26"/>
  <c r="H1457" i="26"/>
  <c r="H1455" i="26"/>
  <c r="H1453" i="26"/>
  <c r="H1451" i="26"/>
  <c r="H1449" i="26"/>
  <c r="H1447" i="26"/>
  <c r="H1445" i="26"/>
  <c r="H1443" i="26"/>
  <c r="H1441" i="26"/>
  <c r="H1439" i="26"/>
  <c r="H1437" i="26"/>
  <c r="H1435" i="26"/>
  <c r="H1433" i="26"/>
  <c r="H1431" i="26"/>
  <c r="H1429" i="26"/>
  <c r="H1428" i="26"/>
  <c r="H1426" i="26"/>
  <c r="H1424" i="26"/>
  <c r="H1422" i="26"/>
  <c r="H1420" i="26"/>
  <c r="H1418" i="26"/>
  <c r="H1416" i="26"/>
  <c r="H1414" i="26"/>
  <c r="H1412" i="26"/>
  <c r="H1410" i="26"/>
  <c r="H1408" i="26"/>
  <c r="H1406" i="26"/>
  <c r="H1404" i="26"/>
  <c r="H1402" i="26"/>
  <c r="H1400" i="26"/>
  <c r="H1398" i="26"/>
  <c r="H1396" i="26"/>
  <c r="H1394" i="26"/>
  <c r="H1392" i="26"/>
  <c r="H1390" i="26"/>
  <c r="H1388" i="26"/>
  <c r="H1386" i="26"/>
  <c r="H1384" i="26"/>
  <c r="H1382" i="26"/>
  <c r="H1380" i="26"/>
  <c r="H1378" i="26"/>
  <c r="H1376" i="26"/>
  <c r="H1374" i="26"/>
  <c r="H1372" i="26"/>
  <c r="H1370" i="26"/>
  <c r="H1368" i="26"/>
  <c r="H1366" i="26"/>
  <c r="H1364" i="26"/>
  <c r="H1362" i="26"/>
  <c r="H1360" i="26"/>
  <c r="H1358" i="26"/>
  <c r="H1356" i="26"/>
  <c r="H1354" i="26"/>
  <c r="H1352" i="26"/>
  <c r="H1350" i="26"/>
  <c r="H1348" i="26"/>
  <c r="H1346" i="26"/>
  <c r="H1344" i="26"/>
  <c r="H1342" i="26"/>
  <c r="H1340" i="26"/>
  <c r="H1338" i="26"/>
  <c r="H1336" i="26"/>
  <c r="H1334" i="26"/>
  <c r="H1332" i="26"/>
  <c r="H1331" i="26"/>
  <c r="H1300" i="26"/>
  <c r="H1299" i="26"/>
  <c r="H1298" i="26"/>
  <c r="H1296" i="26"/>
  <c r="H1294" i="26"/>
  <c r="H1292" i="26"/>
  <c r="H1290" i="26"/>
  <c r="H1288" i="26"/>
  <c r="H1286" i="26"/>
  <c r="H1284" i="26"/>
  <c r="H1282" i="26"/>
  <c r="H1280" i="26"/>
  <c r="H1278" i="26"/>
  <c r="H1276" i="26"/>
  <c r="H1274" i="26"/>
  <c r="H1272" i="26"/>
  <c r="H1270" i="26"/>
  <c r="H1268" i="26"/>
  <c r="H1266" i="26"/>
  <c r="H1264" i="26"/>
  <c r="H1262" i="26"/>
  <c r="H1260" i="26"/>
  <c r="H1258" i="26"/>
  <c r="H1256" i="26"/>
  <c r="H1254" i="26"/>
  <c r="H1252" i="26"/>
  <c r="H1250" i="26"/>
  <c r="H1248" i="26"/>
  <c r="H1246" i="26"/>
  <c r="H1244" i="26"/>
  <c r="H1242" i="26"/>
  <c r="H1239" i="26"/>
  <c r="H1237" i="26"/>
  <c r="H1235" i="26"/>
  <c r="H1233" i="26"/>
  <c r="H1231" i="26"/>
  <c r="H1229" i="26"/>
  <c r="H1227" i="26"/>
  <c r="H1225" i="26"/>
  <c r="H1223" i="26"/>
  <c r="H1221" i="26"/>
  <c r="H1219" i="26"/>
  <c r="H1217" i="26"/>
  <c r="H1215" i="26"/>
  <c r="H1213" i="26"/>
  <c r="H1211" i="26"/>
  <c r="H1209" i="26"/>
  <c r="H1207" i="26"/>
  <c r="H1205" i="26"/>
  <c r="H1203" i="26"/>
  <c r="H1201" i="26"/>
  <c r="H1199" i="26"/>
  <c r="H1197" i="26"/>
  <c r="H1195" i="26"/>
  <c r="H1193" i="26"/>
  <c r="H1191" i="26"/>
  <c r="H1189" i="26"/>
  <c r="H1187" i="26"/>
  <c r="H1185" i="26"/>
  <c r="H1183" i="26"/>
  <c r="H1181" i="26"/>
  <c r="H1179" i="26"/>
  <c r="H1177" i="26"/>
  <c r="H1175" i="26"/>
  <c r="H1173" i="26"/>
  <c r="H1171" i="26"/>
  <c r="H1169" i="26"/>
  <c r="H1167" i="26"/>
  <c r="H1165" i="26"/>
  <c r="H1163" i="26"/>
  <c r="H1161" i="26"/>
  <c r="H1159" i="26"/>
  <c r="H1157" i="26"/>
  <c r="H1155" i="26"/>
  <c r="H1153" i="26"/>
  <c r="H1151" i="26"/>
  <c r="H1149" i="26"/>
  <c r="H1147" i="26"/>
  <c r="H1145" i="26"/>
  <c r="H1143" i="26"/>
  <c r="H1141" i="26"/>
  <c r="H1139" i="26"/>
  <c r="H1137" i="26"/>
  <c r="H1135" i="26"/>
  <c r="H1133" i="26"/>
  <c r="H1131" i="26"/>
  <c r="H1129" i="26"/>
  <c r="H1127" i="26"/>
  <c r="H1125" i="26"/>
  <c r="H1123" i="26"/>
  <c r="H1121" i="26"/>
  <c r="H1119" i="26"/>
  <c r="H1117" i="26"/>
  <c r="H1115" i="26"/>
  <c r="H1113" i="26"/>
  <c r="H1111" i="26"/>
  <c r="H1109" i="26"/>
  <c r="H1107" i="26"/>
  <c r="H1105" i="26"/>
  <c r="H1103" i="26"/>
  <c r="H1101" i="26"/>
  <c r="H1099" i="26"/>
  <c r="H1097" i="26"/>
  <c r="H1095" i="26"/>
  <c r="H1092" i="26"/>
  <c r="H1090" i="26"/>
  <c r="H1089" i="26"/>
  <c r="H1087" i="26"/>
  <c r="H1085" i="26"/>
  <c r="H1083" i="26"/>
  <c r="H1081" i="26"/>
  <c r="H1079" i="26"/>
  <c r="H1077" i="26"/>
  <c r="H1075" i="26"/>
  <c r="H1073" i="26"/>
  <c r="H1071" i="26"/>
  <c r="H1069" i="26"/>
  <c r="H1067" i="26"/>
  <c r="H1064" i="26"/>
  <c r="H1062" i="26"/>
  <c r="H1060" i="26"/>
  <c r="H1058" i="26"/>
  <c r="H1056" i="26"/>
  <c r="H1054" i="26"/>
  <c r="H1052" i="26"/>
  <c r="H1050" i="26"/>
  <c r="H1048" i="26"/>
  <c r="H1046" i="26"/>
  <c r="H1044" i="26"/>
  <c r="H1042" i="26"/>
  <c r="H1040" i="26"/>
  <c r="H1038" i="26"/>
  <c r="H1036" i="26"/>
  <c r="H1034" i="26"/>
  <c r="H1032" i="26"/>
  <c r="H1030" i="26"/>
  <c r="H1028" i="26"/>
  <c r="H1027" i="26"/>
  <c r="H1025" i="26"/>
  <c r="H1023" i="26"/>
  <c r="H1021" i="26"/>
  <c r="H1019" i="26"/>
  <c r="H1017" i="26"/>
  <c r="H1015" i="26"/>
  <c r="H1013" i="26"/>
  <c r="H1011" i="26"/>
  <c r="H1009" i="26"/>
  <c r="H1006" i="26"/>
  <c r="H995" i="26"/>
  <c r="H993" i="26"/>
  <c r="H991" i="26"/>
  <c r="H989" i="26"/>
  <c r="H988" i="26"/>
  <c r="H985" i="26"/>
  <c r="H983" i="26"/>
  <c r="H981" i="26"/>
  <c r="H979" i="26"/>
  <c r="H977" i="26"/>
  <c r="H975" i="26"/>
  <c r="H973" i="26"/>
  <c r="H971" i="26"/>
  <c r="H969" i="26"/>
  <c r="H968" i="26"/>
  <c r="H967" i="26"/>
  <c r="H966" i="26"/>
  <c r="H965" i="26"/>
  <c r="H964" i="26"/>
  <c r="H963" i="26"/>
  <c r="H962" i="26"/>
  <c r="H961" i="26"/>
  <c r="H951" i="26"/>
  <c r="H949" i="26"/>
  <c r="H947" i="26"/>
  <c r="H945" i="26"/>
  <c r="H943" i="26"/>
  <c r="H941" i="26"/>
  <c r="H939" i="26"/>
  <c r="H937" i="26"/>
  <c r="H935" i="26"/>
  <c r="H933" i="26"/>
  <c r="H931" i="26"/>
  <c r="H929" i="26"/>
  <c r="H927" i="26"/>
  <c r="H925" i="26"/>
  <c r="H923" i="26"/>
  <c r="H921" i="26"/>
  <c r="H919" i="26"/>
  <c r="H916" i="26"/>
  <c r="H914" i="26"/>
  <c r="H912" i="26"/>
  <c r="H910" i="26"/>
  <c r="H908" i="26"/>
  <c r="H906" i="26"/>
  <c r="H904" i="26"/>
  <c r="H902" i="26"/>
  <c r="H900" i="26"/>
  <c r="H898" i="26"/>
  <c r="H897" i="26"/>
  <c r="H895" i="26"/>
  <c r="H893" i="26"/>
  <c r="H891" i="26"/>
  <c r="H889" i="26"/>
  <c r="H887" i="26"/>
  <c r="H885" i="26"/>
  <c r="H883" i="26"/>
  <c r="H881" i="26"/>
  <c r="H879" i="26"/>
  <c r="H877" i="26"/>
  <c r="H874" i="26"/>
  <c r="H872" i="26"/>
  <c r="H870" i="26"/>
  <c r="H868" i="26"/>
  <c r="H866" i="26"/>
  <c r="H864" i="26"/>
  <c r="H862" i="26"/>
  <c r="H860" i="26"/>
  <c r="H858" i="26"/>
  <c r="H856" i="26"/>
  <c r="H854" i="26"/>
  <c r="H852" i="26"/>
  <c r="H850" i="26"/>
  <c r="H848" i="26"/>
  <c r="H846" i="26"/>
  <c r="H844" i="26"/>
  <c r="H843" i="26"/>
  <c r="H841" i="26"/>
  <c r="H839" i="26"/>
  <c r="H837" i="26"/>
  <c r="H835" i="26"/>
  <c r="H833" i="26"/>
  <c r="H831" i="26"/>
  <c r="H829" i="26"/>
  <c r="H827" i="26"/>
  <c r="H825" i="26"/>
  <c r="H823" i="26"/>
  <c r="H821" i="26"/>
  <c r="H819" i="26"/>
  <c r="H817" i="26"/>
  <c r="H815" i="26"/>
  <c r="H813" i="26"/>
  <c r="H811" i="26"/>
  <c r="H809" i="26"/>
  <c r="H807" i="26"/>
  <c r="H805" i="26"/>
  <c r="H803" i="26"/>
  <c r="H801" i="26"/>
  <c r="H799" i="26"/>
  <c r="H797" i="26"/>
  <c r="H795" i="26"/>
  <c r="H793" i="26"/>
  <c r="H791" i="26"/>
  <c r="H789" i="26"/>
  <c r="H787" i="26"/>
  <c r="H785" i="26"/>
  <c r="H783" i="26"/>
  <c r="H781" i="26"/>
  <c r="H779" i="26"/>
  <c r="H777" i="26"/>
  <c r="H775" i="26"/>
  <c r="H773" i="26"/>
  <c r="H771" i="26"/>
  <c r="H769" i="26"/>
  <c r="H767" i="26"/>
  <c r="H765" i="26"/>
  <c r="H763" i="26"/>
  <c r="H761" i="26"/>
  <c r="H759" i="26"/>
  <c r="H757" i="26"/>
  <c r="H755" i="26"/>
  <c r="H753" i="26"/>
  <c r="H751" i="26"/>
  <c r="H749" i="26"/>
  <c r="H747" i="26"/>
  <c r="H745" i="26"/>
  <c r="H744" i="26"/>
  <c r="H743" i="26"/>
  <c r="H742" i="26"/>
  <c r="H741" i="26"/>
  <c r="H740" i="26"/>
  <c r="H739" i="26"/>
  <c r="H738" i="26"/>
  <c r="H737" i="26"/>
  <c r="H736" i="26"/>
  <c r="H734" i="26"/>
  <c r="H732" i="26"/>
  <c r="H730" i="26"/>
  <c r="H728" i="26"/>
  <c r="H726" i="26"/>
  <c r="H724" i="26"/>
  <c r="H722" i="26"/>
  <c r="H720" i="26"/>
  <c r="H718" i="26"/>
  <c r="H716" i="26"/>
  <c r="H714" i="26"/>
  <c r="H712" i="26"/>
  <c r="H710" i="26"/>
  <c r="H708" i="26"/>
  <c r="H706" i="26"/>
  <c r="H704" i="26"/>
  <c r="H702" i="26"/>
  <c r="H700" i="26"/>
  <c r="H698" i="26"/>
  <c r="H696" i="26"/>
  <c r="H694" i="26"/>
  <c r="H692" i="26"/>
  <c r="H690" i="26"/>
  <c r="H688" i="26"/>
  <c r="H686" i="26"/>
  <c r="H684" i="26"/>
  <c r="H682" i="26"/>
  <c r="H680" i="26"/>
  <c r="H678" i="26"/>
  <c r="H676" i="26"/>
  <c r="H674" i="26"/>
  <c r="H672" i="26"/>
  <c r="H671" i="26"/>
  <c r="H670" i="26"/>
  <c r="H669" i="26"/>
  <c r="H666" i="26"/>
  <c r="H664" i="26"/>
  <c r="H662" i="26"/>
  <c r="H661" i="26"/>
  <c r="H659" i="26"/>
  <c r="H657" i="26"/>
  <c r="H655" i="26"/>
  <c r="H653" i="26"/>
  <c r="H651" i="26"/>
  <c r="H649" i="26"/>
  <c r="H647" i="26"/>
  <c r="H645" i="26"/>
  <c r="H643" i="26"/>
  <c r="H641" i="26"/>
  <c r="H639" i="26"/>
  <c r="H637" i="26"/>
  <c r="H635" i="26"/>
  <c r="H633" i="26"/>
  <c r="H631" i="26"/>
  <c r="H629" i="26"/>
  <c r="H627" i="26"/>
  <c r="H625" i="26"/>
  <c r="H623" i="26"/>
  <c r="H618" i="26"/>
  <c r="H617" i="26"/>
  <c r="H616" i="26"/>
  <c r="H614" i="26"/>
  <c r="H612" i="26"/>
  <c r="H610" i="26"/>
  <c r="H608" i="26"/>
  <c r="H606" i="26"/>
  <c r="H604" i="26"/>
  <c r="H602" i="26"/>
  <c r="H600" i="26"/>
  <c r="H598" i="26"/>
  <c r="H596" i="26"/>
  <c r="H594" i="26"/>
  <c r="H592" i="26"/>
  <c r="H590" i="26"/>
  <c r="H588" i="26"/>
  <c r="H586" i="26"/>
  <c r="H584" i="26"/>
  <c r="H582" i="26"/>
  <c r="H580" i="26"/>
  <c r="H578" i="26"/>
  <c r="H576" i="26"/>
  <c r="H574" i="26"/>
  <c r="H572" i="26"/>
  <c r="H570" i="26"/>
  <c r="H568" i="26"/>
  <c r="H566" i="26"/>
  <c r="H564" i="26"/>
  <c r="H562" i="26"/>
  <c r="H560" i="26"/>
  <c r="H558" i="26"/>
  <c r="H556" i="26"/>
  <c r="H554" i="26"/>
  <c r="H552" i="26"/>
  <c r="H550" i="26"/>
  <c r="H548" i="26"/>
  <c r="H546" i="26"/>
  <c r="H544" i="26"/>
  <c r="H542" i="26"/>
  <c r="H540" i="26"/>
  <c r="H538" i="26"/>
  <c r="H536" i="26"/>
  <c r="H534" i="26"/>
  <c r="H532" i="26"/>
  <c r="H530" i="26"/>
  <c r="H528" i="26"/>
  <c r="H526" i="26"/>
  <c r="H523" i="26"/>
  <c r="H521" i="26"/>
  <c r="H519" i="26"/>
  <c r="H517" i="26"/>
  <c r="H515" i="26"/>
  <c r="H513" i="26"/>
  <c r="H511" i="26"/>
  <c r="H509" i="26"/>
  <c r="H507" i="26"/>
  <c r="H505" i="26"/>
  <c r="H503" i="26"/>
  <c r="H501" i="26"/>
  <c r="H499" i="26"/>
  <c r="H497" i="26"/>
  <c r="H495" i="26"/>
  <c r="H493" i="26"/>
  <c r="H491" i="26"/>
  <c r="H489" i="26"/>
  <c r="H487" i="26"/>
  <c r="H485" i="26"/>
  <c r="H483" i="26"/>
  <c r="H481" i="26"/>
  <c r="H479" i="26"/>
  <c r="H477" i="26"/>
  <c r="H475" i="26"/>
  <c r="H473" i="26"/>
  <c r="H471" i="26"/>
  <c r="H469" i="26"/>
  <c r="H467" i="26"/>
  <c r="H465" i="26"/>
  <c r="H463" i="26"/>
  <c r="H461" i="26"/>
  <c r="H459" i="26"/>
  <c r="H457" i="26"/>
  <c r="H455" i="26"/>
  <c r="H452" i="26"/>
  <c r="H450" i="26"/>
  <c r="H448" i="26"/>
  <c r="H446" i="26"/>
  <c r="H444" i="26"/>
  <c r="H442" i="26"/>
  <c r="H440" i="26"/>
  <c r="H438" i="26"/>
  <c r="H436" i="26"/>
  <c r="H434" i="26"/>
  <c r="H432" i="26"/>
  <c r="H430" i="26"/>
  <c r="H428" i="26"/>
  <c r="H427" i="26"/>
  <c r="H425" i="26"/>
  <c r="H423" i="26"/>
  <c r="H421" i="26"/>
  <c r="H419" i="26"/>
  <c r="H417" i="26"/>
  <c r="H415" i="26"/>
  <c r="H413" i="26"/>
  <c r="H411" i="26"/>
  <c r="H409" i="26"/>
  <c r="H407" i="26"/>
  <c r="H405" i="26"/>
  <c r="H403" i="26"/>
  <c r="H401" i="26"/>
  <c r="H399" i="26"/>
  <c r="H397" i="26"/>
  <c r="H394" i="26"/>
  <c r="H393" i="26"/>
  <c r="H391" i="26"/>
  <c r="H389" i="26"/>
  <c r="H387" i="26"/>
  <c r="H385" i="26"/>
  <c r="H382" i="26"/>
  <c r="H372" i="26"/>
  <c r="H369" i="26"/>
  <c r="H368" i="26"/>
  <c r="H366" i="26"/>
  <c r="H364" i="26"/>
  <c r="H362" i="26"/>
  <c r="H360" i="26"/>
  <c r="H358" i="26"/>
  <c r="H356" i="26"/>
  <c r="H354" i="26"/>
  <c r="H352" i="26"/>
  <c r="H350" i="26"/>
  <c r="H348" i="26"/>
  <c r="H346" i="26"/>
  <c r="H344" i="26"/>
  <c r="H342" i="26"/>
  <c r="H340" i="26"/>
  <c r="H338" i="26"/>
  <c r="H336" i="26"/>
  <c r="H334" i="26"/>
  <c r="H332" i="26"/>
  <c r="H330" i="26"/>
  <c r="H328" i="26"/>
  <c r="H326" i="26"/>
  <c r="H324" i="26"/>
  <c r="H322" i="26"/>
  <c r="H320" i="26"/>
  <c r="H318" i="26"/>
  <c r="H316" i="26"/>
  <c r="H314" i="26"/>
  <c r="H312" i="26"/>
  <c r="H310" i="26"/>
  <c r="H308" i="26"/>
  <c r="H306" i="26"/>
  <c r="H304" i="26"/>
  <c r="H302" i="26"/>
  <c r="H300" i="26"/>
  <c r="H298" i="26"/>
  <c r="H296" i="26"/>
  <c r="H294" i="26"/>
  <c r="H292" i="26"/>
  <c r="H290" i="26"/>
  <c r="H288" i="26"/>
  <c r="H286" i="26"/>
  <c r="H284" i="26"/>
  <c r="H283" i="26"/>
  <c r="H282" i="26"/>
  <c r="H281" i="26"/>
  <c r="H280" i="26"/>
  <c r="H279" i="26"/>
  <c r="H278" i="26"/>
  <c r="H277" i="26"/>
  <c r="H270" i="26"/>
  <c r="H268" i="26"/>
  <c r="H265" i="26"/>
  <c r="H263" i="26"/>
  <c r="H260" i="26"/>
  <c r="H258" i="26"/>
  <c r="H256" i="26"/>
  <c r="H254" i="26"/>
  <c r="H252" i="26"/>
  <c r="H250" i="26"/>
  <c r="H248" i="26"/>
  <c r="H246" i="26"/>
  <c r="H244" i="26"/>
  <c r="H242" i="26"/>
  <c r="H240" i="26"/>
  <c r="H238" i="26"/>
  <c r="H236" i="26"/>
  <c r="H234" i="26"/>
  <c r="H232" i="26"/>
  <c r="H230" i="26"/>
  <c r="H228" i="26"/>
  <c r="H226" i="26"/>
  <c r="H224" i="26"/>
  <c r="H222" i="26"/>
  <c r="H220" i="26"/>
  <c r="H218" i="26"/>
  <c r="H216" i="26"/>
  <c r="H214" i="26"/>
  <c r="H212" i="26"/>
  <c r="H210" i="26"/>
  <c r="H207" i="26"/>
  <c r="H205" i="26"/>
  <c r="H203" i="26"/>
  <c r="H201" i="26"/>
  <c r="H199" i="26"/>
  <c r="H197" i="26"/>
  <c r="H195" i="26"/>
  <c r="H193" i="26"/>
  <c r="H191" i="26"/>
  <c r="H189" i="26"/>
  <c r="H187" i="26"/>
  <c r="H185" i="26"/>
  <c r="H183" i="26"/>
  <c r="H181" i="26"/>
  <c r="H179" i="26"/>
  <c r="H177" i="26"/>
  <c r="H175" i="26"/>
  <c r="H173" i="26"/>
  <c r="H171" i="26"/>
  <c r="H169" i="26"/>
  <c r="H167" i="26"/>
  <c r="H165" i="26"/>
  <c r="H163" i="26"/>
  <c r="H161" i="26"/>
  <c r="H159" i="26"/>
  <c r="H157" i="26"/>
  <c r="H155" i="26"/>
  <c r="H153" i="26"/>
  <c r="H151" i="26"/>
  <c r="H149" i="26"/>
  <c r="H146" i="26"/>
  <c r="H144" i="26"/>
  <c r="H142" i="26"/>
  <c r="H140" i="26"/>
  <c r="H138" i="26"/>
  <c r="H136" i="26"/>
  <c r="H134" i="26"/>
  <c r="H132" i="26"/>
  <c r="H129" i="26"/>
  <c r="H127" i="26"/>
  <c r="H125" i="26"/>
  <c r="H123" i="26"/>
  <c r="H122" i="26"/>
  <c r="H121" i="26"/>
  <c r="H120" i="26"/>
  <c r="H119" i="26"/>
  <c r="H118" i="26"/>
  <c r="H117" i="26"/>
  <c r="H116" i="26"/>
  <c r="H115" i="26"/>
  <c r="H114" i="26"/>
  <c r="H113" i="26"/>
  <c r="H111" i="26"/>
  <c r="H109" i="26"/>
  <c r="H107" i="26"/>
  <c r="H105" i="26"/>
  <c r="H103" i="26"/>
  <c r="H101" i="26"/>
  <c r="H99" i="26"/>
  <c r="H97" i="26"/>
  <c r="H95" i="26"/>
  <c r="H93" i="26"/>
  <c r="H91" i="26"/>
  <c r="H89" i="26"/>
  <c r="H87" i="26"/>
  <c r="H85" i="26"/>
  <c r="H83" i="26"/>
  <c r="H81" i="26"/>
  <c r="H79" i="26"/>
  <c r="H77" i="26"/>
  <c r="H74" i="26"/>
  <c r="H72" i="26"/>
  <c r="H70" i="26"/>
  <c r="H68" i="26"/>
  <c r="H66" i="26"/>
  <c r="H64" i="26"/>
  <c r="H62" i="26"/>
  <c r="H60" i="26"/>
  <c r="H58" i="26"/>
  <c r="H56" i="26"/>
  <c r="H55" i="26"/>
  <c r="H53" i="26"/>
  <c r="H51" i="26"/>
  <c r="H49" i="26"/>
  <c r="H47" i="26"/>
  <c r="H45" i="26"/>
  <c r="H43" i="26"/>
  <c r="H41" i="26"/>
  <c r="H39" i="26"/>
  <c r="H37" i="26"/>
  <c r="H35" i="26"/>
  <c r="H33" i="26"/>
  <c r="H31" i="26"/>
  <c r="H29" i="26"/>
  <c r="H27" i="26"/>
  <c r="H25" i="26"/>
  <c r="H23" i="26"/>
  <c r="H21" i="26"/>
  <c r="H19" i="26"/>
  <c r="H18" i="26"/>
  <c r="H16" i="26"/>
  <c r="H14" i="26"/>
  <c r="H12" i="26"/>
  <c r="H10" i="26"/>
  <c r="H5680" i="26"/>
  <c r="H5679" i="26"/>
  <c r="H5678" i="26"/>
  <c r="H5677" i="26"/>
  <c r="H5675" i="26"/>
  <c r="H5674" i="26"/>
  <c r="H5673" i="26"/>
  <c r="H5672" i="26"/>
  <c r="H5671" i="26"/>
  <c r="H5670" i="26"/>
  <c r="H5669" i="26"/>
  <c r="H5668" i="26"/>
  <c r="H5667" i="26"/>
  <c r="H5666" i="26"/>
  <c r="H5665" i="26"/>
  <c r="H5664" i="26"/>
  <c r="H5663" i="26"/>
  <c r="H5662" i="26"/>
  <c r="H5661" i="26"/>
  <c r="H5660" i="26"/>
  <c r="H5659" i="26"/>
  <c r="H5658" i="26"/>
  <c r="H5657" i="26"/>
  <c r="H5656" i="26"/>
  <c r="H5655" i="26"/>
  <c r="H5654" i="26"/>
  <c r="H5653" i="26"/>
  <c r="H5652" i="26"/>
  <c r="H5651" i="26"/>
  <c r="H5650" i="26"/>
  <c r="H5649" i="26"/>
  <c r="H5648" i="26"/>
  <c r="H5647" i="26"/>
  <c r="H5646" i="26"/>
  <c r="H5645" i="26"/>
  <c r="H5644" i="26"/>
  <c r="H5643" i="26"/>
  <c r="H5642" i="26"/>
  <c r="H5641" i="26"/>
  <c r="H5640" i="26"/>
  <c r="H5639" i="26"/>
  <c r="H5638" i="26"/>
  <c r="H5637" i="26"/>
  <c r="H5636" i="26"/>
  <c r="H5635" i="26"/>
  <c r="H5634" i="26"/>
  <c r="H5633" i="26"/>
  <c r="H5632" i="26"/>
  <c r="H5631" i="26"/>
  <c r="H5630" i="26"/>
  <c r="H5629" i="26"/>
  <c r="H5628" i="26"/>
  <c r="H5627" i="26"/>
  <c r="H5626" i="26"/>
  <c r="H5625" i="26"/>
  <c r="H5624" i="26"/>
  <c r="H5623" i="26"/>
  <c r="H5622" i="26"/>
  <c r="H5621" i="26"/>
  <c r="H5620" i="26"/>
  <c r="H5619" i="26"/>
  <c r="H5618" i="26"/>
  <c r="H5617" i="26"/>
  <c r="H5616" i="26"/>
  <c r="H5615" i="26"/>
  <c r="H5614" i="26"/>
  <c r="H5613" i="26"/>
  <c r="H5612" i="26"/>
  <c r="H5611" i="26"/>
  <c r="H5610" i="26"/>
  <c r="H5609" i="26"/>
  <c r="H5608" i="26"/>
  <c r="H5607" i="26"/>
  <c r="H5606" i="26"/>
  <c r="H5605" i="26"/>
  <c r="H5604" i="26"/>
  <c r="H5603" i="26"/>
  <c r="H5602" i="26"/>
  <c r="H5601" i="26"/>
  <c r="H5600" i="26"/>
  <c r="H5599" i="26"/>
  <c r="H5598" i="26"/>
  <c r="H5597" i="26"/>
  <c r="H5596" i="26"/>
  <c r="H5595" i="26"/>
  <c r="H5594" i="26"/>
  <c r="H5593" i="26"/>
  <c r="H5592" i="26"/>
  <c r="H5591" i="26"/>
  <c r="H5590" i="26"/>
  <c r="H5589" i="26"/>
  <c r="H5588" i="26"/>
  <c r="H5587" i="26"/>
  <c r="H5586" i="26"/>
  <c r="H5585" i="26"/>
  <c r="H5584" i="26"/>
  <c r="H5583" i="26"/>
  <c r="H5582" i="26"/>
  <c r="H5581" i="26"/>
  <c r="H5580" i="26"/>
  <c r="H5579" i="26"/>
  <c r="H5578" i="26"/>
  <c r="H5577" i="26"/>
  <c r="H5576" i="26"/>
  <c r="H5575" i="26"/>
  <c r="H5574" i="26"/>
  <c r="H5573" i="26"/>
  <c r="H5572" i="26"/>
  <c r="H5571" i="26"/>
  <c r="H5570" i="26"/>
  <c r="H5569" i="26"/>
  <c r="H5568" i="26"/>
  <c r="H5567" i="26"/>
  <c r="H5566" i="26"/>
  <c r="H5565" i="26"/>
  <c r="H5564" i="26"/>
  <c r="H5563" i="26"/>
  <c r="H5562" i="26"/>
  <c r="H5561" i="26"/>
  <c r="H5560" i="26"/>
  <c r="H5559" i="26"/>
  <c r="H5558" i="26"/>
  <c r="H5557" i="26"/>
  <c r="H5556" i="26"/>
  <c r="H5555" i="26"/>
  <c r="H5554" i="26"/>
  <c r="H5553" i="26"/>
  <c r="H5552" i="26"/>
  <c r="H5551" i="26"/>
  <c r="H5550" i="26"/>
  <c r="H5549" i="26"/>
  <c r="H5548" i="26"/>
  <c r="H5547" i="26"/>
  <c r="H5546" i="26"/>
  <c r="H5545" i="26"/>
  <c r="H5544" i="26"/>
  <c r="H5543" i="26"/>
  <c r="H5542" i="26"/>
  <c r="H5541" i="26"/>
  <c r="H5540" i="26"/>
  <c r="H5539" i="26"/>
  <c r="H5538" i="26"/>
  <c r="H5537" i="26"/>
  <c r="H5536" i="26"/>
  <c r="H5535" i="26"/>
  <c r="H5534" i="26"/>
  <c r="H5533" i="26"/>
  <c r="H5532" i="26"/>
  <c r="H5531" i="26"/>
  <c r="H5530" i="26"/>
  <c r="H5529" i="26"/>
  <c r="H5528" i="26"/>
  <c r="H5527" i="26"/>
  <c r="H5526" i="26"/>
  <c r="H5525" i="26"/>
  <c r="H5524" i="26"/>
  <c r="H5523" i="26"/>
  <c r="H5522" i="26"/>
  <c r="H5521" i="26"/>
  <c r="H5520" i="26"/>
  <c r="H5519" i="26"/>
  <c r="H5518" i="26"/>
  <c r="H5517" i="26"/>
  <c r="H5516" i="26"/>
  <c r="H5515" i="26"/>
  <c r="H5514" i="26"/>
  <c r="H5513" i="26"/>
  <c r="H5512" i="26"/>
  <c r="H5511" i="26"/>
  <c r="H5510" i="26"/>
  <c r="H5509" i="26"/>
  <c r="H5508" i="26"/>
  <c r="H5507" i="26"/>
  <c r="H5506" i="26"/>
  <c r="H5505" i="26"/>
  <c r="H5504" i="26"/>
  <c r="H5503" i="26"/>
  <c r="H5502" i="26"/>
  <c r="H5501" i="26"/>
  <c r="H5500" i="26"/>
  <c r="H5499" i="26"/>
  <c r="H5498" i="26"/>
  <c r="H5497" i="26"/>
  <c r="H5496" i="26"/>
  <c r="H5495" i="26"/>
  <c r="H5494" i="26"/>
  <c r="H5493" i="26"/>
  <c r="H5492" i="26"/>
  <c r="H5491" i="26"/>
  <c r="H5490" i="26"/>
  <c r="H5489" i="26"/>
  <c r="H5488" i="26"/>
  <c r="H5487" i="26"/>
  <c r="H5486" i="26"/>
  <c r="H5485" i="26"/>
  <c r="H5484" i="26"/>
  <c r="H5483" i="26"/>
  <c r="H5482" i="26"/>
  <c r="H5481" i="26"/>
  <c r="H5480" i="26"/>
  <c r="H5479" i="26"/>
  <c r="H5478" i="26"/>
  <c r="H5477" i="26"/>
  <c r="H5476" i="26"/>
  <c r="H5475" i="26"/>
  <c r="H5474" i="26"/>
  <c r="H5473" i="26"/>
  <c r="H5472" i="26"/>
  <c r="H5471" i="26"/>
  <c r="H5470" i="26"/>
  <c r="H5469" i="26"/>
  <c r="H5468" i="26"/>
  <c r="H5467" i="26"/>
  <c r="H5466" i="26"/>
  <c r="H5465" i="26"/>
  <c r="H5464" i="26"/>
  <c r="H5463" i="26"/>
  <c r="H5462" i="26"/>
  <c r="H5461" i="26"/>
  <c r="H5460" i="26"/>
  <c r="H5459" i="26"/>
  <c r="H5458" i="26"/>
  <c r="H5457" i="26"/>
  <c r="H5456" i="26"/>
  <c r="H5455" i="26"/>
  <c r="H5454" i="26"/>
  <c r="H5453" i="26"/>
  <c r="H5452" i="26"/>
  <c r="H5451" i="26"/>
  <c r="H5450" i="26"/>
  <c r="H5449" i="26"/>
  <c r="H5448" i="26"/>
  <c r="H5447" i="26"/>
  <c r="H5446" i="26"/>
  <c r="H5445" i="26"/>
  <c r="H5444" i="26"/>
  <c r="H5443" i="26"/>
  <c r="H5442" i="26"/>
  <c r="H5441" i="26"/>
  <c r="H5440" i="26"/>
  <c r="H5439" i="26"/>
  <c r="H5438" i="26"/>
  <c r="H5437" i="26"/>
  <c r="H5436" i="26"/>
  <c r="H5435" i="26"/>
  <c r="H5434" i="26"/>
  <c r="H5433" i="26"/>
  <c r="H5432" i="26"/>
  <c r="H5431" i="26"/>
  <c r="H5430" i="26"/>
  <c r="H5429" i="26"/>
  <c r="H5428" i="26"/>
  <c r="H5427" i="26"/>
  <c r="H5426" i="26"/>
  <c r="H5425" i="26"/>
  <c r="H5424" i="26"/>
  <c r="H5423" i="26"/>
  <c r="H5422" i="26"/>
  <c r="H5421" i="26"/>
  <c r="H5420" i="26"/>
  <c r="H5419" i="26"/>
  <c r="H5418" i="26"/>
  <c r="H5417" i="26"/>
  <c r="H5416" i="26"/>
  <c r="H5415" i="26"/>
  <c r="H5414" i="26"/>
  <c r="H5413" i="26"/>
  <c r="H5412" i="26"/>
  <c r="H5411" i="26"/>
  <c r="H5410" i="26"/>
  <c r="H5409" i="26"/>
  <c r="H5408" i="26"/>
  <c r="H5407" i="26"/>
  <c r="H5406" i="26"/>
  <c r="H5405" i="26"/>
  <c r="H5404" i="26"/>
  <c r="H5403" i="26"/>
  <c r="H5402" i="26"/>
  <c r="H5401" i="26"/>
  <c r="H5400" i="26"/>
  <c r="H5399" i="26"/>
  <c r="H5398" i="26"/>
  <c r="H5397" i="26"/>
  <c r="H5396" i="26"/>
  <c r="H5395" i="26"/>
  <c r="H5394" i="26"/>
  <c r="H5393" i="26"/>
  <c r="H5392" i="26"/>
  <c r="H5391" i="26"/>
  <c r="H5390" i="26"/>
  <c r="H5389" i="26"/>
  <c r="H5388" i="26"/>
  <c r="H5387" i="26"/>
  <c r="H5386" i="26"/>
  <c r="H5385" i="26"/>
  <c r="H5384" i="26"/>
  <c r="H5383" i="26"/>
  <c r="H5382" i="26"/>
  <c r="H5381" i="26"/>
  <c r="H5380" i="26"/>
  <c r="H5379" i="26"/>
  <c r="H5378" i="26"/>
  <c r="H5377" i="26"/>
  <c r="H5376" i="26"/>
  <c r="H5375" i="26"/>
  <c r="H5374" i="26"/>
  <c r="H5373" i="26"/>
  <c r="H5372" i="26"/>
  <c r="H5371" i="26"/>
  <c r="H5370" i="26"/>
  <c r="H5369" i="26"/>
  <c r="H5368" i="26"/>
  <c r="H5367" i="26"/>
  <c r="H5366" i="26"/>
  <c r="H5365" i="26"/>
  <c r="H5364" i="26"/>
  <c r="H5363" i="26"/>
  <c r="H5362" i="26"/>
  <c r="H5361" i="26"/>
  <c r="H5360" i="26"/>
  <c r="H5359" i="26"/>
  <c r="H5358" i="26"/>
  <c r="H5357" i="26"/>
  <c r="H5356" i="26"/>
  <c r="H5355" i="26"/>
  <c r="H5354" i="26"/>
  <c r="H5353" i="26"/>
  <c r="H5352" i="26"/>
  <c r="H5351" i="26"/>
  <c r="H5350" i="26"/>
  <c r="H5349" i="26"/>
  <c r="H5348" i="26"/>
  <c r="H5347" i="26"/>
  <c r="H5346" i="26"/>
  <c r="H5345" i="26"/>
  <c r="H5344" i="26"/>
  <c r="H5343" i="26"/>
  <c r="H5342" i="26"/>
  <c r="H5341" i="26"/>
  <c r="H5340" i="26"/>
  <c r="H5339" i="26"/>
  <c r="H5338" i="26"/>
  <c r="H5337" i="26"/>
  <c r="H5336" i="26"/>
  <c r="H5335" i="26"/>
  <c r="H5334" i="26"/>
  <c r="H5333" i="26"/>
  <c r="H5332" i="26"/>
  <c r="H5331" i="26"/>
  <c r="H5330" i="26"/>
  <c r="H5329" i="26"/>
  <c r="H5328" i="26"/>
  <c r="H5327" i="26"/>
  <c r="H5326" i="26"/>
  <c r="H5325" i="26"/>
  <c r="H5324" i="26"/>
  <c r="H5323" i="26"/>
  <c r="H5322" i="26"/>
  <c r="H5321" i="26"/>
  <c r="H5320" i="26"/>
  <c r="H5319" i="26"/>
  <c r="H5318" i="26"/>
  <c r="H5317" i="26"/>
  <c r="H5316" i="26"/>
  <c r="H5315" i="26"/>
  <c r="H5314" i="26"/>
  <c r="H5313" i="26"/>
  <c r="H5312" i="26"/>
  <c r="H5311" i="26"/>
  <c r="H5310" i="26"/>
  <c r="H5309" i="26"/>
  <c r="H5308" i="26"/>
  <c r="H5307" i="26"/>
  <c r="H5306" i="26"/>
  <c r="H5305" i="26"/>
  <c r="H5304" i="26"/>
  <c r="H5303" i="26"/>
  <c r="H5302" i="26"/>
  <c r="H5301" i="26"/>
  <c r="H5300" i="26"/>
  <c r="H5299" i="26"/>
  <c r="H5298" i="26"/>
  <c r="H5297" i="26"/>
  <c r="H5296" i="26"/>
  <c r="H5295" i="26"/>
  <c r="H5294" i="26"/>
  <c r="H5293" i="26"/>
  <c r="H5292" i="26"/>
  <c r="H5291" i="26"/>
  <c r="H5290" i="26"/>
  <c r="H5289" i="26"/>
  <c r="H5288" i="26"/>
  <c r="H5287" i="26"/>
  <c r="H5286" i="26"/>
  <c r="H5285" i="26"/>
  <c r="H5284" i="26"/>
  <c r="H5283" i="26"/>
  <c r="H5282" i="26"/>
  <c r="H5281" i="26"/>
  <c r="H5280" i="26"/>
  <c r="H5279" i="26"/>
  <c r="H5278" i="26"/>
  <c r="H5277" i="26"/>
  <c r="H5276" i="26"/>
  <c r="H5275" i="26"/>
  <c r="H5274" i="26"/>
  <c r="H5273" i="26"/>
  <c r="H5272" i="26"/>
  <c r="H5271" i="26"/>
  <c r="H5270" i="26"/>
  <c r="H5269" i="26"/>
  <c r="H5268" i="26"/>
  <c r="H5267" i="26"/>
  <c r="H5266" i="26"/>
  <c r="H5265" i="26"/>
  <c r="H5264" i="26"/>
  <c r="H5263" i="26"/>
  <c r="H5262" i="26"/>
  <c r="H5261" i="26"/>
  <c r="H5260" i="26"/>
  <c r="H5259" i="26"/>
  <c r="H5258" i="26"/>
  <c r="H5257" i="26"/>
  <c r="H5256" i="26"/>
  <c r="H5255" i="26"/>
  <c r="H5254" i="26"/>
  <c r="H5253" i="26"/>
  <c r="H5252" i="26"/>
  <c r="H5251" i="26"/>
  <c r="H5250" i="26"/>
  <c r="H5249" i="26"/>
  <c r="H5248" i="26"/>
  <c r="H5247" i="26"/>
  <c r="H5246" i="26"/>
  <c r="H5245" i="26"/>
  <c r="H5244" i="26"/>
  <c r="H5243" i="26"/>
  <c r="H5242" i="26"/>
  <c r="H5241" i="26"/>
  <c r="H5240" i="26"/>
  <c r="H5239" i="26"/>
  <c r="H5238" i="26"/>
  <c r="H5237" i="26"/>
  <c r="H5236" i="26"/>
  <c r="H5235" i="26"/>
  <c r="H5234" i="26"/>
  <c r="H5233" i="26"/>
  <c r="H5232" i="26"/>
  <c r="H5231" i="26"/>
  <c r="H5230" i="26"/>
  <c r="H5229" i="26"/>
  <c r="H5228" i="26"/>
  <c r="H5227" i="26"/>
  <c r="H5226" i="26"/>
  <c r="H5225" i="26"/>
  <c r="H5224" i="26"/>
  <c r="H5223" i="26"/>
  <c r="H5222" i="26"/>
  <c r="H5221" i="26"/>
  <c r="H5220" i="26"/>
  <c r="H5219" i="26"/>
  <c r="H5218" i="26"/>
  <c r="H5217" i="26"/>
  <c r="H5216" i="26"/>
  <c r="H5215" i="26"/>
  <c r="H5214" i="26"/>
  <c r="H5213" i="26"/>
  <c r="H5212" i="26"/>
  <c r="H5211" i="26"/>
  <c r="H5210" i="26"/>
  <c r="H5209" i="26"/>
  <c r="H5208" i="26"/>
  <c r="H5207" i="26"/>
  <c r="H5206" i="26"/>
  <c r="H5205" i="26"/>
  <c r="H5204" i="26"/>
  <c r="H5203" i="26"/>
  <c r="H5202" i="26"/>
  <c r="H5201" i="26"/>
  <c r="H5200" i="26"/>
  <c r="H5199" i="26"/>
  <c r="H5198" i="26"/>
  <c r="H5197" i="26"/>
  <c r="H5196" i="26"/>
  <c r="H5195" i="26"/>
  <c r="H5194" i="26"/>
  <c r="H5193" i="26"/>
  <c r="H5192" i="26"/>
  <c r="H5191" i="26"/>
  <c r="H5190" i="26"/>
  <c r="H5189" i="26"/>
  <c r="H5188" i="26"/>
  <c r="H5187" i="26"/>
  <c r="H5186" i="26"/>
  <c r="H5185" i="26"/>
  <c r="H5184" i="26"/>
  <c r="H5183" i="26"/>
  <c r="H5182" i="26"/>
  <c r="H5181" i="26"/>
  <c r="H5180" i="26"/>
  <c r="H5179" i="26"/>
  <c r="H5178" i="26"/>
  <c r="H5177" i="26"/>
  <c r="H5176" i="26"/>
  <c r="H5175" i="26"/>
  <c r="H5174" i="26"/>
  <c r="H5173" i="26"/>
  <c r="H5172" i="26"/>
  <c r="H5171" i="26"/>
  <c r="H5170" i="26"/>
  <c r="H5169" i="26"/>
  <c r="H5168" i="26"/>
  <c r="H5167" i="26"/>
  <c r="H5166" i="26"/>
  <c r="H5165" i="26"/>
  <c r="H5164" i="26"/>
  <c r="H5163" i="26"/>
  <c r="H5162" i="26"/>
  <c r="H5161" i="26"/>
  <c r="H5160" i="26"/>
  <c r="H5159" i="26"/>
  <c r="H5158" i="26"/>
  <c r="H5157" i="26"/>
  <c r="H5156" i="26"/>
  <c r="H5155" i="26"/>
  <c r="H5154" i="26"/>
  <c r="H5153" i="26"/>
  <c r="H5152" i="26"/>
  <c r="H5151" i="26"/>
  <c r="H5150" i="26"/>
  <c r="H5149" i="26"/>
  <c r="H5148" i="26"/>
  <c r="H5147" i="26"/>
  <c r="H5146" i="26"/>
  <c r="H5145" i="26"/>
  <c r="H5144" i="26"/>
  <c r="H5143" i="26"/>
  <c r="H5142" i="26"/>
  <c r="H5141" i="26"/>
  <c r="H5140" i="26"/>
  <c r="H5139" i="26"/>
  <c r="H5138" i="26"/>
  <c r="H5137" i="26"/>
  <c r="H5136" i="26"/>
  <c r="H5135" i="26"/>
  <c r="H5134" i="26"/>
  <c r="H5133" i="26"/>
  <c r="H5132" i="26"/>
  <c r="H5131" i="26"/>
  <c r="H5130" i="26"/>
  <c r="H5129" i="26"/>
  <c r="H5128" i="26"/>
  <c r="H5127" i="26"/>
  <c r="H5126" i="26"/>
  <c r="H5125" i="26"/>
  <c r="H5124" i="26"/>
  <c r="H5123" i="26"/>
  <c r="H5122" i="26"/>
  <c r="H5121" i="26"/>
  <c r="H5120" i="26"/>
  <c r="H5119" i="26"/>
  <c r="H5118" i="26"/>
  <c r="H5117" i="26"/>
  <c r="H5116" i="26"/>
  <c r="H5115" i="26"/>
  <c r="H5114" i="26"/>
  <c r="H5113" i="26"/>
  <c r="H5112" i="26"/>
  <c r="H5111" i="26"/>
  <c r="H5110" i="26"/>
  <c r="H5109" i="26"/>
  <c r="H5108" i="26"/>
  <c r="H5107" i="26"/>
  <c r="H5106" i="26"/>
  <c r="H5105" i="26"/>
  <c r="H5104" i="26"/>
  <c r="H5103" i="26"/>
  <c r="H5102" i="26"/>
  <c r="H5101" i="26"/>
  <c r="H5100" i="26"/>
  <c r="H5099" i="26"/>
  <c r="H5098" i="26"/>
  <c r="H5097" i="26"/>
  <c r="H5096" i="26"/>
  <c r="H5095" i="26"/>
  <c r="H5094" i="26"/>
  <c r="H5093" i="26"/>
  <c r="H5092" i="26"/>
  <c r="H5091" i="26"/>
  <c r="H5090" i="26"/>
  <c r="H5089" i="26"/>
  <c r="H5088" i="26"/>
  <c r="H5087" i="26"/>
  <c r="H5086" i="26"/>
  <c r="H5085" i="26"/>
  <c r="H5084" i="26"/>
  <c r="H5083" i="26"/>
  <c r="H5082" i="26"/>
  <c r="H5081" i="26"/>
  <c r="H5080" i="26"/>
  <c r="H5079" i="26"/>
  <c r="H5078" i="26"/>
  <c r="H5077" i="26"/>
  <c r="H5076" i="26"/>
  <c r="H5075" i="26"/>
  <c r="H5074" i="26"/>
  <c r="H5073" i="26"/>
  <c r="H5072" i="26"/>
  <c r="H5071" i="26"/>
  <c r="H5070" i="26"/>
  <c r="H5069" i="26"/>
  <c r="H5068" i="26"/>
  <c r="H5067" i="26"/>
  <c r="H5066" i="26"/>
  <c r="H5065" i="26"/>
  <c r="H5064" i="26"/>
  <c r="H5063" i="26"/>
  <c r="H5062" i="26"/>
  <c r="H5061" i="26"/>
  <c r="H5060" i="26"/>
  <c r="H5059" i="26"/>
  <c r="H5058" i="26"/>
  <c r="H5057" i="26"/>
  <c r="H5056" i="26"/>
  <c r="H5055" i="26"/>
  <c r="H5054" i="26"/>
  <c r="H5053" i="26"/>
  <c r="H5052" i="26"/>
  <c r="H5051" i="26"/>
  <c r="H5050" i="26"/>
  <c r="H5049" i="26"/>
  <c r="H5048" i="26"/>
  <c r="H5047" i="26"/>
  <c r="H5046" i="26"/>
  <c r="H5045" i="26"/>
  <c r="H5044" i="26"/>
  <c r="H5043" i="26"/>
  <c r="H5042" i="26"/>
  <c r="H5041" i="26"/>
  <c r="H5040" i="26"/>
  <c r="H5039" i="26"/>
  <c r="H5038" i="26"/>
  <c r="H5037" i="26"/>
  <c r="H5036" i="26"/>
  <c r="H5035" i="26"/>
  <c r="H5034" i="26"/>
  <c r="H5033" i="26"/>
  <c r="H5032" i="26"/>
  <c r="H5031" i="26"/>
  <c r="H5030" i="26"/>
  <c r="H5029" i="26"/>
  <c r="H5028" i="26"/>
  <c r="H5027" i="26"/>
  <c r="H5026" i="26"/>
  <c r="H5025" i="26"/>
  <c r="H5024" i="26"/>
  <c r="H5023" i="26"/>
  <c r="H5022" i="26"/>
  <c r="H5021" i="26"/>
  <c r="H5020" i="26"/>
  <c r="H5019" i="26"/>
  <c r="H5018" i="26"/>
  <c r="H5017" i="26"/>
  <c r="H5016" i="26"/>
  <c r="H5015" i="26"/>
  <c r="H5014" i="26"/>
  <c r="H5013" i="26"/>
  <c r="H5012" i="26"/>
  <c r="H5011" i="26"/>
  <c r="H5010" i="26"/>
  <c r="H5009" i="26"/>
  <c r="H5008" i="26"/>
  <c r="H5007" i="26"/>
  <c r="H5006" i="26"/>
  <c r="H5005" i="26"/>
  <c r="H5004" i="26"/>
  <c r="H5003" i="26"/>
  <c r="H5002" i="26"/>
  <c r="H5001" i="26"/>
  <c r="H5000" i="26"/>
  <c r="H4999" i="26"/>
  <c r="H4998" i="26"/>
  <c r="H4997" i="26"/>
  <c r="H4996" i="26"/>
  <c r="H4995" i="26"/>
  <c r="H4994" i="26"/>
  <c r="H4993" i="26"/>
  <c r="H4992" i="26"/>
  <c r="H4991" i="26"/>
  <c r="H4990" i="26"/>
  <c r="H4989" i="26"/>
  <c r="H4988" i="26"/>
  <c r="H4987" i="26"/>
  <c r="H4986" i="26"/>
  <c r="H4985" i="26"/>
  <c r="H4984" i="26"/>
  <c r="H4983" i="26"/>
  <c r="H4982" i="26"/>
  <c r="H4981" i="26"/>
  <c r="H4980" i="26"/>
  <c r="H4979" i="26"/>
  <c r="H4978" i="26"/>
  <c r="H4977" i="26"/>
  <c r="H4976" i="26"/>
  <c r="H4975" i="26"/>
  <c r="H4974" i="26"/>
  <c r="H4973" i="26"/>
  <c r="H4972" i="26"/>
  <c r="H4971" i="26"/>
  <c r="H4970" i="26"/>
  <c r="H4969" i="26"/>
  <c r="H4968" i="26"/>
  <c r="H4967" i="26"/>
  <c r="H4966" i="26"/>
  <c r="H4965" i="26"/>
  <c r="H4964" i="26"/>
  <c r="H4963" i="26"/>
  <c r="H4962" i="26"/>
  <c r="H4961" i="26"/>
  <c r="H4960" i="26"/>
  <c r="H4959" i="26"/>
  <c r="H4958" i="26"/>
  <c r="H4957" i="26"/>
  <c r="H4956" i="26"/>
  <c r="H4955" i="26"/>
  <c r="H4954" i="26"/>
  <c r="H4953" i="26"/>
  <c r="H4952" i="26"/>
  <c r="H4951" i="26"/>
  <c r="H4950" i="26"/>
  <c r="H4949" i="26"/>
  <c r="H4948" i="26"/>
  <c r="H4947" i="26"/>
  <c r="H4946" i="26"/>
  <c r="H4945" i="26"/>
  <c r="H4944" i="26"/>
  <c r="H4943" i="26"/>
  <c r="H4942" i="26"/>
  <c r="H4941" i="26"/>
  <c r="H4940" i="26"/>
  <c r="H4939" i="26"/>
  <c r="H4938" i="26"/>
  <c r="H4937" i="26"/>
  <c r="H4936" i="26"/>
  <c r="H4935" i="26"/>
  <c r="H4934" i="26"/>
  <c r="H4933" i="26"/>
  <c r="H4932" i="26"/>
  <c r="H4931" i="26"/>
  <c r="H4930" i="26"/>
  <c r="H4929" i="26"/>
  <c r="H4928" i="26"/>
  <c r="H4927" i="26"/>
  <c r="H4926" i="26"/>
  <c r="H4925" i="26"/>
  <c r="H4924" i="26"/>
  <c r="H4923" i="26"/>
  <c r="H4922" i="26"/>
  <c r="H4921" i="26"/>
  <c r="H4920" i="26"/>
  <c r="H4919" i="26"/>
  <c r="H4918" i="26"/>
  <c r="H4917" i="26"/>
  <c r="H4916" i="26"/>
  <c r="H4915" i="26"/>
  <c r="H4914" i="26"/>
  <c r="H4913" i="26"/>
  <c r="H4912" i="26"/>
  <c r="H4911" i="26"/>
  <c r="H4910" i="26"/>
  <c r="H4909" i="26"/>
  <c r="H4908" i="26"/>
  <c r="H4907" i="26"/>
  <c r="H4906" i="26"/>
  <c r="H4905" i="26"/>
  <c r="H4904" i="26"/>
  <c r="H4903" i="26"/>
  <c r="H4902" i="26"/>
  <c r="H4901" i="26"/>
  <c r="H4900" i="26"/>
  <c r="H4899" i="26"/>
  <c r="H4898" i="26"/>
  <c r="H4897" i="26"/>
  <c r="H4896" i="26"/>
  <c r="H4895" i="26"/>
  <c r="H4894" i="26"/>
  <c r="H4893" i="26"/>
  <c r="H4892" i="26"/>
  <c r="H4891" i="26"/>
  <c r="H4890" i="26"/>
  <c r="H4889" i="26"/>
  <c r="H4888" i="26"/>
  <c r="H4887" i="26"/>
  <c r="H4886" i="26"/>
  <c r="H4885" i="26"/>
  <c r="H4884" i="26"/>
  <c r="H4883" i="26"/>
  <c r="H4882" i="26"/>
  <c r="H4881" i="26"/>
  <c r="H4880" i="26"/>
  <c r="H4879" i="26"/>
  <c r="H4878" i="26"/>
  <c r="H4877" i="26"/>
  <c r="H4876" i="26"/>
  <c r="H4875" i="26"/>
  <c r="H4874" i="26"/>
  <c r="H4873" i="26"/>
  <c r="H4872" i="26"/>
  <c r="H4871" i="26"/>
  <c r="H4870" i="26"/>
  <c r="H4869" i="26"/>
  <c r="H4868" i="26"/>
  <c r="H4867" i="26"/>
  <c r="H4866" i="26"/>
  <c r="H4865" i="26"/>
  <c r="H4864" i="26"/>
  <c r="H4863" i="26"/>
  <c r="H4862" i="26"/>
  <c r="H4861" i="26"/>
  <c r="H4860" i="26"/>
  <c r="H4859" i="26"/>
  <c r="H4858" i="26"/>
  <c r="H4857" i="26"/>
  <c r="H4856" i="26"/>
  <c r="H4855" i="26"/>
  <c r="H4854" i="26"/>
  <c r="H4853" i="26"/>
  <c r="H4852" i="26"/>
  <c r="H4851" i="26"/>
  <c r="H4850" i="26"/>
  <c r="H4849" i="26"/>
  <c r="H4848" i="26"/>
  <c r="H4847" i="26"/>
  <c r="H4846" i="26"/>
  <c r="H4845" i="26"/>
  <c r="H4844" i="26"/>
  <c r="H4843" i="26"/>
  <c r="H4842" i="26"/>
  <c r="H4841" i="26"/>
  <c r="H4840" i="26"/>
  <c r="H4839" i="26"/>
  <c r="H4838" i="26"/>
  <c r="H4837" i="26"/>
  <c r="H4836" i="26"/>
  <c r="H4835" i="26"/>
  <c r="H4834" i="26"/>
  <c r="H4833" i="26"/>
  <c r="H4832" i="26"/>
  <c r="H4831" i="26"/>
  <c r="H4830" i="26"/>
  <c r="H4829" i="26"/>
  <c r="H4828" i="26"/>
  <c r="H4827" i="26"/>
  <c r="H4826" i="26"/>
  <c r="H4825" i="26"/>
  <c r="H4824" i="26"/>
  <c r="H4823" i="26"/>
  <c r="H4822" i="26"/>
  <c r="H4821" i="26"/>
  <c r="H4820" i="26"/>
  <c r="H4819" i="26"/>
  <c r="H4818" i="26"/>
  <c r="H4817" i="26"/>
  <c r="H4816" i="26"/>
  <c r="H4815" i="26"/>
  <c r="H4814" i="26"/>
  <c r="H4813" i="26"/>
  <c r="H4812" i="26"/>
  <c r="H4811" i="26"/>
  <c r="H4810" i="26"/>
  <c r="H4809" i="26"/>
  <c r="H4808" i="26"/>
  <c r="H4807" i="26"/>
  <c r="H4806" i="26"/>
  <c r="H4805" i="26"/>
  <c r="H4804" i="26"/>
  <c r="H4803" i="26"/>
  <c r="H4802" i="26"/>
  <c r="H4801" i="26"/>
  <c r="H4800" i="26"/>
  <c r="H4799" i="26"/>
  <c r="H4798" i="26"/>
  <c r="H4797" i="26"/>
  <c r="H4796" i="26"/>
  <c r="H4795" i="26"/>
  <c r="H4794" i="26"/>
  <c r="H4793" i="26"/>
  <c r="H4792" i="26"/>
  <c r="H4791" i="26"/>
  <c r="H4790" i="26"/>
  <c r="H4789" i="26"/>
  <c r="H4788" i="26"/>
  <c r="H4787" i="26"/>
  <c r="H4786" i="26"/>
  <c r="H4785" i="26"/>
  <c r="H4784" i="26"/>
  <c r="H4783" i="26"/>
  <c r="H4782" i="26"/>
  <c r="H4781" i="26"/>
  <c r="H4780" i="26"/>
  <c r="H4779" i="26"/>
  <c r="H4778" i="26"/>
  <c r="H4777" i="26"/>
  <c r="H4776" i="26"/>
  <c r="H4775" i="26"/>
  <c r="H4774" i="26"/>
  <c r="H4773" i="26"/>
  <c r="H4772" i="26"/>
  <c r="H4771" i="26"/>
  <c r="H4770" i="26"/>
  <c r="H4769" i="26"/>
  <c r="H4768" i="26"/>
  <c r="H4767" i="26"/>
  <c r="H4766" i="26"/>
  <c r="H4765" i="26"/>
  <c r="H4764" i="26"/>
  <c r="H4763" i="26"/>
  <c r="H4762" i="26"/>
  <c r="H4761" i="26"/>
  <c r="H4760" i="26"/>
  <c r="H4759" i="26"/>
  <c r="H4758" i="26"/>
  <c r="H4757" i="26"/>
  <c r="H4756" i="26"/>
  <c r="H4755" i="26"/>
  <c r="H4754" i="26"/>
  <c r="H4753" i="26"/>
  <c r="H4752" i="26"/>
  <c r="H4751" i="26"/>
  <c r="H4750" i="26"/>
  <c r="H4749" i="26"/>
  <c r="H4748" i="26"/>
  <c r="H4747" i="26"/>
  <c r="H4746" i="26"/>
  <c r="H4745" i="26"/>
  <c r="H4744" i="26"/>
  <c r="H4743" i="26"/>
  <c r="H4742" i="26"/>
  <c r="H4741" i="26"/>
  <c r="H4740" i="26"/>
  <c r="H4739" i="26"/>
  <c r="H4738" i="26"/>
  <c r="H4737" i="26"/>
  <c r="H4736" i="26"/>
  <c r="H4735" i="26"/>
  <c r="H4734" i="26"/>
  <c r="H4733" i="26"/>
  <c r="H4732" i="26"/>
  <c r="H4731" i="26"/>
  <c r="H4730" i="26"/>
  <c r="H4729" i="26"/>
  <c r="H4728" i="26"/>
  <c r="H4727" i="26"/>
  <c r="H4726" i="26"/>
  <c r="H4725" i="26"/>
  <c r="H4724" i="26"/>
  <c r="H4723" i="26"/>
  <c r="H4722" i="26"/>
  <c r="H4721" i="26"/>
  <c r="H4720" i="26"/>
  <c r="H4719" i="26"/>
  <c r="H4718" i="26"/>
  <c r="H4717" i="26"/>
  <c r="H4716" i="26"/>
  <c r="H4715" i="26"/>
  <c r="H4714" i="26"/>
  <c r="H4713" i="26"/>
  <c r="H4712" i="26"/>
  <c r="H4711" i="26"/>
  <c r="H4710" i="26"/>
  <c r="H4709" i="26"/>
  <c r="H4708" i="26"/>
  <c r="H4707" i="26"/>
  <c r="H4706" i="26"/>
  <c r="H4705" i="26"/>
  <c r="H4704" i="26"/>
  <c r="H4703" i="26"/>
  <c r="H4702" i="26"/>
  <c r="H4701" i="26"/>
  <c r="H4700" i="26"/>
  <c r="H4699" i="26"/>
  <c r="H4698" i="26"/>
  <c r="H4697" i="26"/>
  <c r="H4696" i="26"/>
  <c r="H4695" i="26"/>
  <c r="H4694" i="26"/>
  <c r="H4693" i="26"/>
  <c r="H4692" i="26"/>
  <c r="H4691" i="26"/>
  <c r="H4690" i="26"/>
  <c r="H4689" i="26"/>
  <c r="H4688" i="26"/>
  <c r="H4687" i="26"/>
  <c r="H4686" i="26"/>
  <c r="H4685" i="26"/>
  <c r="H4684" i="26"/>
  <c r="H4683" i="26"/>
  <c r="H4682" i="26"/>
  <c r="H4681" i="26"/>
  <c r="H4680" i="26"/>
  <c r="H4679" i="26"/>
  <c r="H4678" i="26"/>
  <c r="H4677" i="26"/>
  <c r="H4676" i="26"/>
  <c r="H4675" i="26"/>
  <c r="H4674" i="26"/>
  <c r="H4673" i="26"/>
  <c r="H4672" i="26"/>
  <c r="H4671" i="26"/>
  <c r="H4670" i="26"/>
  <c r="H4669" i="26"/>
  <c r="H4668" i="26"/>
  <c r="H4667" i="26"/>
  <c r="H4666" i="26"/>
  <c r="H4665" i="26"/>
  <c r="H4664" i="26"/>
  <c r="H4663" i="26"/>
  <c r="H4662" i="26"/>
  <c r="H4661" i="26"/>
  <c r="H4660" i="26"/>
  <c r="H4659" i="26"/>
  <c r="H4658" i="26"/>
  <c r="H4657" i="26"/>
  <c r="H4656" i="26"/>
  <c r="H4655" i="26"/>
  <c r="H4654" i="26"/>
  <c r="H4653" i="26"/>
  <c r="H4652" i="26"/>
  <c r="H4651" i="26"/>
  <c r="H4650" i="26"/>
  <c r="H4649" i="26"/>
  <c r="H4648" i="26"/>
  <c r="H4647" i="26"/>
  <c r="H4646" i="26"/>
  <c r="H4645" i="26"/>
  <c r="H4644" i="26"/>
  <c r="H4643" i="26"/>
  <c r="H4642" i="26"/>
  <c r="H4641" i="26"/>
  <c r="H4640" i="26"/>
  <c r="H4639" i="26"/>
  <c r="H4638" i="26"/>
  <c r="H4637" i="26"/>
  <c r="H4636" i="26"/>
  <c r="H4635" i="26"/>
  <c r="H4634" i="26"/>
  <c r="H4633" i="26"/>
  <c r="H4632" i="26"/>
  <c r="H4631" i="26"/>
  <c r="H4630" i="26"/>
  <c r="H4629" i="26"/>
  <c r="H4628" i="26"/>
  <c r="H4627" i="26"/>
  <c r="H4626" i="26"/>
  <c r="H4625" i="26"/>
  <c r="H4624" i="26"/>
  <c r="H4623" i="26"/>
  <c r="H4622" i="26"/>
  <c r="H4621" i="26"/>
  <c r="H4620" i="26"/>
  <c r="H4619" i="26"/>
  <c r="H4618" i="26"/>
  <c r="H4617" i="26"/>
  <c r="H4616" i="26"/>
  <c r="H4615" i="26"/>
  <c r="H4614" i="26"/>
  <c r="H4613" i="26"/>
  <c r="H4612" i="26"/>
  <c r="H4611" i="26"/>
  <c r="H4610" i="26"/>
  <c r="H4609" i="26"/>
  <c r="H4608" i="26"/>
  <c r="H4607" i="26"/>
  <c r="H4606" i="26"/>
  <c r="H4605" i="26"/>
  <c r="H4604" i="26"/>
  <c r="H4603" i="26"/>
  <c r="H4602" i="26"/>
  <c r="H4601" i="26"/>
  <c r="H4600" i="26"/>
  <c r="H4599" i="26"/>
  <c r="H4598" i="26"/>
  <c r="H4597" i="26"/>
  <c r="H4596" i="26"/>
  <c r="H4595" i="26"/>
  <c r="H4594" i="26"/>
  <c r="H4593" i="26"/>
  <c r="H4592" i="26"/>
  <c r="H4591" i="26"/>
  <c r="H4590" i="26"/>
  <c r="H4589" i="26"/>
  <c r="H4588" i="26"/>
  <c r="H4587" i="26"/>
  <c r="H4586" i="26"/>
  <c r="H4585" i="26"/>
  <c r="H4584" i="26"/>
  <c r="H4583" i="26"/>
  <c r="H4582" i="26"/>
  <c r="H4581" i="26"/>
  <c r="H4580" i="26"/>
  <c r="H4579" i="26"/>
  <c r="H4578" i="26"/>
  <c r="H4577" i="26"/>
  <c r="H4576" i="26"/>
  <c r="H4575" i="26"/>
  <c r="H4574" i="26"/>
  <c r="H4573" i="26"/>
  <c r="H4572" i="26"/>
  <c r="H4571" i="26"/>
  <c r="H4570" i="26"/>
  <c r="H4569" i="26"/>
  <c r="H4568" i="26"/>
  <c r="H4567" i="26"/>
  <c r="H4566" i="26"/>
  <c r="H4565" i="26"/>
  <c r="H4564" i="26"/>
  <c r="H4563" i="26"/>
  <c r="H4562" i="26"/>
  <c r="H4561" i="26"/>
  <c r="H4560" i="26"/>
  <c r="H4559" i="26"/>
  <c r="H4558" i="26"/>
  <c r="H4556" i="26"/>
  <c r="H4554" i="26"/>
  <c r="H4552" i="26"/>
  <c r="H4550" i="26"/>
  <c r="H4548" i="26"/>
  <c r="H4546" i="26"/>
  <c r="H4544" i="26"/>
  <c r="H4542" i="26"/>
  <c r="H4541" i="26"/>
  <c r="H4539" i="26"/>
  <c r="H4537" i="26"/>
  <c r="H4535" i="26"/>
  <c r="H4533" i="26"/>
  <c r="H4531" i="26"/>
  <c r="H4529" i="26"/>
  <c r="H4527" i="26"/>
  <c r="H4525" i="26"/>
  <c r="H4523" i="26"/>
  <c r="H4521" i="26"/>
  <c r="H4510" i="26"/>
  <c r="H4508" i="26"/>
  <c r="H4506" i="26"/>
  <c r="H4504" i="26"/>
  <c r="H4502" i="26"/>
  <c r="H4500" i="26"/>
  <c r="H4498" i="26"/>
  <c r="H4496" i="26"/>
  <c r="H4494" i="26"/>
  <c r="H4492" i="26"/>
  <c r="H4490" i="26"/>
  <c r="H4488" i="26"/>
  <c r="H4486" i="26"/>
  <c r="H4484" i="26"/>
  <c r="H4482" i="26"/>
  <c r="H4480" i="26"/>
  <c r="H4478" i="26"/>
  <c r="H4476" i="26"/>
  <c r="H4474" i="26"/>
  <c r="H4472" i="26"/>
  <c r="H4470" i="26"/>
  <c r="H4468" i="26"/>
  <c r="H4466" i="26"/>
  <c r="H4464" i="26"/>
  <c r="H4462" i="26"/>
  <c r="H4460" i="26"/>
  <c r="H4458" i="26"/>
  <c r="H4456" i="26"/>
  <c r="H4454" i="26"/>
  <c r="H4452" i="26"/>
  <c r="H4450" i="26"/>
  <c r="H4448" i="26"/>
  <c r="H4446" i="26"/>
  <c r="H4444" i="26"/>
  <c r="H4442" i="26"/>
  <c r="H4440" i="26"/>
  <c r="H4438" i="26"/>
  <c r="H4436" i="26"/>
  <c r="H4434" i="26"/>
  <c r="H4432" i="26"/>
  <c r="H4430" i="26"/>
  <c r="H4428" i="26"/>
  <c r="H4426" i="26"/>
  <c r="H4424" i="26"/>
  <c r="H4422" i="26"/>
  <c r="H4420" i="26"/>
  <c r="H4419" i="26"/>
  <c r="H4417" i="26"/>
  <c r="H4415" i="26"/>
  <c r="H4413" i="26"/>
  <c r="H4411" i="26"/>
  <c r="H4409" i="26"/>
  <c r="H4407" i="26"/>
  <c r="H4405" i="26"/>
  <c r="H4403" i="26"/>
  <c r="H4401" i="26"/>
  <c r="H4399" i="26"/>
  <c r="H4397" i="26"/>
  <c r="H4395" i="26"/>
  <c r="H4393" i="26"/>
  <c r="H4391" i="26"/>
  <c r="H4389" i="26"/>
  <c r="H4387" i="26"/>
  <c r="H4385" i="26"/>
  <c r="H4383" i="26"/>
  <c r="H4381" i="26"/>
  <c r="H4379" i="26"/>
  <c r="H4377" i="26"/>
  <c r="H4375" i="26"/>
  <c r="H4373" i="26"/>
  <c r="H4371" i="26"/>
  <c r="H4369" i="26"/>
  <c r="H4367" i="26"/>
  <c r="H4365" i="26"/>
  <c r="H4363" i="26"/>
  <c r="H4361" i="26"/>
  <c r="H4359" i="26"/>
  <c r="H4357" i="26"/>
  <c r="H4355" i="26"/>
  <c r="H4353" i="26"/>
  <c r="H4351" i="26"/>
  <c r="H4349" i="26"/>
  <c r="H4347" i="26"/>
  <c r="H4346" i="26"/>
  <c r="H4345" i="26"/>
  <c r="H4344" i="26"/>
  <c r="H4343" i="26"/>
  <c r="H4342" i="26"/>
  <c r="H4341" i="26"/>
  <c r="H4340" i="26"/>
  <c r="H4339" i="26"/>
  <c r="H4338" i="26"/>
  <c r="H4337" i="26"/>
  <c r="H4336" i="26"/>
  <c r="H4335" i="26"/>
  <c r="H4334" i="26"/>
  <c r="H4332" i="26"/>
  <c r="H4330" i="26"/>
  <c r="H4328" i="26"/>
  <c r="H4326" i="26"/>
  <c r="H4324" i="26"/>
  <c r="H4322" i="26"/>
  <c r="H4320" i="26"/>
  <c r="H4318" i="26"/>
  <c r="H4316" i="26"/>
  <c r="H4314" i="26"/>
  <c r="H4312" i="26"/>
  <c r="H4310" i="26"/>
  <c r="H4308" i="26"/>
  <c r="H4306" i="26"/>
  <c r="H4304" i="26"/>
  <c r="H4302" i="26"/>
  <c r="H4300" i="26"/>
  <c r="H4298" i="26"/>
  <c r="H4296" i="26"/>
  <c r="H4294" i="26"/>
  <c r="H4292" i="26"/>
  <c r="H4290" i="26"/>
  <c r="H4288" i="26"/>
  <c r="H4286" i="26"/>
  <c r="H4284" i="26"/>
  <c r="H4282" i="26"/>
  <c r="H4280" i="26"/>
  <c r="H4278" i="26"/>
  <c r="H4276" i="26"/>
  <c r="H4275" i="26"/>
  <c r="H4273" i="26"/>
  <c r="H4271" i="26"/>
  <c r="H4269" i="26"/>
  <c r="H4266" i="26"/>
  <c r="H4265" i="26"/>
  <c r="H4263" i="26"/>
  <c r="H4261" i="26"/>
  <c r="H4259" i="26"/>
  <c r="H4257" i="26"/>
  <c r="H4255" i="26"/>
  <c r="H4253" i="26"/>
  <c r="H4251" i="26"/>
  <c r="H4249" i="26"/>
  <c r="H4247" i="26"/>
  <c r="H4245" i="26"/>
  <c r="H4243" i="26"/>
  <c r="H4241" i="26"/>
  <c r="H4239" i="26"/>
  <c r="H4237" i="26"/>
  <c r="H4235" i="26"/>
  <c r="H4233" i="26"/>
  <c r="H4231" i="26"/>
  <c r="H4229" i="26"/>
  <c r="H4227" i="26"/>
  <c r="H4225" i="26"/>
  <c r="H4223" i="26"/>
  <c r="H4221" i="26"/>
  <c r="H4219" i="26"/>
  <c r="H4217" i="26"/>
  <c r="H4215" i="26"/>
  <c r="H4213" i="26"/>
  <c r="H4211" i="26"/>
  <c r="H4209" i="26"/>
  <c r="H4207" i="26"/>
  <c r="H4205" i="26"/>
  <c r="H4203" i="26"/>
  <c r="H4201" i="26"/>
  <c r="H4199" i="26"/>
  <c r="H4197" i="26"/>
  <c r="H4195" i="26"/>
  <c r="H4193" i="26"/>
  <c r="H4191" i="26"/>
  <c r="H4189" i="26"/>
  <c r="H4187" i="26"/>
  <c r="H4185" i="26"/>
  <c r="H4183" i="26"/>
  <c r="H4181" i="26"/>
  <c r="H4179" i="26"/>
  <c r="H4177" i="26"/>
  <c r="H4175" i="26"/>
  <c r="H4173" i="26"/>
  <c r="H4171" i="26"/>
  <c r="H4169" i="26"/>
  <c r="H4167" i="26"/>
  <c r="H4165" i="26"/>
  <c r="H4163" i="26"/>
  <c r="H4161" i="26"/>
  <c r="H4159" i="26"/>
  <c r="H4157" i="26"/>
  <c r="H4155" i="26"/>
  <c r="H4153" i="26"/>
  <c r="H4151" i="26"/>
  <c r="H4149" i="26"/>
  <c r="H4147" i="26"/>
  <c r="H4145" i="26"/>
  <c r="H4143" i="26"/>
  <c r="H4141" i="26"/>
  <c r="H4139" i="26"/>
  <c r="H4137" i="26"/>
  <c r="H4135" i="26"/>
  <c r="H4133" i="26"/>
  <c r="H4131" i="26"/>
  <c r="H4129" i="26"/>
  <c r="H4127" i="26"/>
  <c r="H4125" i="26"/>
  <c r="H4123" i="26"/>
  <c r="H4121" i="26"/>
  <c r="H4119" i="26"/>
  <c r="H4117" i="26"/>
  <c r="H4115" i="26"/>
  <c r="H4113" i="26"/>
  <c r="H4111" i="26"/>
  <c r="H4109" i="26"/>
  <c r="H4107" i="26"/>
  <c r="H4105" i="26"/>
  <c r="H4103" i="26"/>
  <c r="H4101" i="26"/>
  <c r="H4099" i="26"/>
  <c r="H4097" i="26"/>
  <c r="H4095" i="26"/>
  <c r="H4093" i="26"/>
  <c r="H4091" i="26"/>
  <c r="H4090" i="26"/>
  <c r="H4088" i="26"/>
  <c r="H4086" i="26"/>
  <c r="H4084" i="26"/>
  <c r="H4082" i="26"/>
  <c r="H4080" i="26"/>
  <c r="H4078" i="26"/>
  <c r="H4030" i="26"/>
  <c r="H4029" i="26"/>
  <c r="H4028" i="26"/>
  <c r="H4027" i="26"/>
  <c r="H4026" i="26"/>
  <c r="H4025" i="26"/>
  <c r="H4024" i="26"/>
  <c r="H4023" i="26"/>
  <c r="H4022" i="26"/>
  <c r="H4021" i="26"/>
  <c r="H4020" i="26"/>
  <c r="H4019" i="26"/>
  <c r="H4018" i="26"/>
  <c r="H4017" i="26"/>
  <c r="H4016" i="26"/>
  <c r="H4015" i="26"/>
  <c r="H4014" i="26"/>
  <c r="H4013" i="26"/>
  <c r="H4012" i="26"/>
  <c r="H4011" i="26"/>
  <c r="H4010" i="26"/>
  <c r="H4009" i="26"/>
  <c r="H4008" i="26"/>
  <c r="H4007" i="26"/>
  <c r="H4006" i="26"/>
  <c r="H4005" i="26"/>
  <c r="H4004" i="26"/>
  <c r="H4003" i="26"/>
  <c r="H4002" i="26"/>
  <c r="H4001" i="26"/>
  <c r="H4000" i="26"/>
  <c r="H3999" i="26"/>
  <c r="H3998" i="26"/>
  <c r="H3997" i="26"/>
  <c r="H3996" i="26"/>
  <c r="H3995" i="26"/>
  <c r="H3994" i="26"/>
  <c r="H3993" i="26"/>
  <c r="H3992" i="26"/>
  <c r="H3991" i="26"/>
  <c r="H3990" i="26"/>
  <c r="H3988" i="26"/>
  <c r="H3986" i="26"/>
  <c r="H3984" i="26"/>
  <c r="H3982" i="26"/>
  <c r="H3980" i="26"/>
  <c r="H3978" i="26"/>
  <c r="H3976" i="26"/>
  <c r="H3974" i="26"/>
  <c r="H3972" i="26"/>
  <c r="H3970" i="26"/>
  <c r="H3968" i="26"/>
  <c r="H3966" i="26"/>
  <c r="H3964" i="26"/>
  <c r="H3962" i="26"/>
  <c r="H3960" i="26"/>
  <c r="H3958" i="26"/>
  <c r="H3956" i="26"/>
  <c r="H3954" i="26"/>
  <c r="H3952" i="26"/>
  <c r="H3950" i="26"/>
  <c r="H3948" i="26"/>
  <c r="H3946" i="26"/>
  <c r="H3944" i="26"/>
  <c r="H3942" i="26"/>
  <c r="H3940" i="26"/>
  <c r="H3938" i="26"/>
  <c r="H3936" i="26"/>
  <c r="H3934" i="26"/>
  <c r="H3932" i="26"/>
  <c r="H3930" i="26"/>
  <c r="H3928" i="26"/>
  <c r="H3926" i="26"/>
  <c r="H3924" i="26"/>
  <c r="H3922" i="26"/>
  <c r="H3920" i="26"/>
  <c r="H3918" i="26"/>
  <c r="H3916" i="26"/>
  <c r="H3914" i="26"/>
  <c r="H3912" i="26"/>
  <c r="H3910" i="26"/>
  <c r="H3908" i="26"/>
  <c r="H3906" i="26"/>
  <c r="H3904" i="26"/>
  <c r="H3902" i="26"/>
  <c r="H3900" i="26"/>
  <c r="H3898" i="26"/>
  <c r="H3887" i="26"/>
  <c r="H3885" i="26"/>
  <c r="H3883" i="26"/>
  <c r="H3881" i="26"/>
  <c r="H3879" i="26"/>
  <c r="H3877" i="26"/>
  <c r="H3875" i="26"/>
  <c r="H3873" i="26"/>
  <c r="H3871" i="26"/>
  <c r="H3869" i="26"/>
  <c r="H3867" i="26"/>
  <c r="H3865" i="26"/>
  <c r="H3863" i="26"/>
  <c r="H3861" i="26"/>
  <c r="H3859" i="26"/>
  <c r="H3857" i="26"/>
  <c r="H3855" i="26"/>
  <c r="H3853" i="26"/>
  <c r="H3851" i="26"/>
  <c r="H3849" i="26"/>
  <c r="H3847" i="26"/>
  <c r="H3844" i="26"/>
  <c r="H3842" i="26"/>
  <c r="H3840" i="26"/>
  <c r="H3838" i="26"/>
  <c r="H3837" i="26"/>
  <c r="H3835" i="26"/>
  <c r="H3833" i="26"/>
  <c r="H3831" i="26"/>
  <c r="H3829" i="26"/>
  <c r="H3827" i="26"/>
  <c r="H3825" i="26"/>
  <c r="H3822" i="26"/>
  <c r="H3820" i="26"/>
  <c r="H3818" i="26"/>
  <c r="H3816" i="26"/>
  <c r="H3814" i="26"/>
  <c r="H3812" i="26"/>
  <c r="H3811" i="26"/>
  <c r="H3809" i="26"/>
  <c r="H3807" i="26"/>
  <c r="H3805" i="26"/>
  <c r="H3803" i="26"/>
  <c r="H3801" i="26"/>
  <c r="H3799" i="26"/>
  <c r="H3797" i="26"/>
  <c r="H3795" i="26"/>
  <c r="H3793" i="26"/>
  <c r="H3791" i="26"/>
  <c r="H3789" i="26"/>
  <c r="H3787" i="26"/>
  <c r="H3785" i="26"/>
  <c r="H3783" i="26"/>
  <c r="H3781" i="26"/>
  <c r="H3779" i="26"/>
  <c r="H3777" i="26"/>
  <c r="H3775" i="26"/>
  <c r="H3773" i="26"/>
  <c r="H3771" i="26"/>
  <c r="H3769" i="26"/>
  <c r="H3767" i="26"/>
  <c r="H3765" i="26"/>
  <c r="H3763" i="26"/>
  <c r="H3761" i="26"/>
  <c r="H3759" i="26"/>
  <c r="H3757" i="26"/>
  <c r="H3755" i="26"/>
  <c r="H3753" i="26"/>
  <c r="H3751" i="26"/>
  <c r="H3749" i="26"/>
  <c r="H3747" i="26"/>
  <c r="H3745" i="26"/>
  <c r="H3743" i="26"/>
  <c r="H3741" i="26"/>
  <c r="H3739" i="26"/>
  <c r="H3737" i="26"/>
  <c r="H3735" i="26"/>
  <c r="H3733" i="26"/>
  <c r="H3731" i="26"/>
  <c r="H3729" i="26"/>
  <c r="H3719" i="26"/>
  <c r="H3717" i="26"/>
  <c r="H3715" i="26"/>
  <c r="H3713" i="26"/>
  <c r="H3711" i="26"/>
  <c r="H3709" i="26"/>
  <c r="H3707" i="26"/>
  <c r="H3705" i="26"/>
  <c r="H3703" i="26"/>
  <c r="H3701" i="26"/>
  <c r="H3699" i="26"/>
  <c r="H3697" i="26"/>
  <c r="H3695" i="26"/>
  <c r="H3693" i="26"/>
  <c r="H3691" i="26"/>
  <c r="H3689" i="26"/>
  <c r="H3687" i="26"/>
  <c r="H3685" i="26"/>
  <c r="H3683" i="26"/>
  <c r="H3681" i="26"/>
  <c r="H3679" i="26"/>
  <c r="H3677" i="26"/>
  <c r="H3675" i="26"/>
  <c r="H3673" i="26"/>
  <c r="H3672" i="26"/>
  <c r="H3671" i="26"/>
  <c r="H3670" i="26"/>
  <c r="H3669" i="26"/>
  <c r="H3668" i="26"/>
  <c r="H3667" i="26"/>
  <c r="H3666" i="26"/>
  <c r="H3665" i="26"/>
  <c r="H3663" i="26"/>
  <c r="H3661" i="26"/>
  <c r="H3659" i="26"/>
  <c r="H3658" i="26"/>
  <c r="H3656" i="26"/>
  <c r="H3654" i="26"/>
  <c r="H3652" i="26"/>
  <c r="H3650" i="26"/>
  <c r="H3648" i="26"/>
  <c r="H3646" i="26"/>
  <c r="H3644" i="26"/>
  <c r="H3641" i="26"/>
  <c r="H3639" i="26"/>
  <c r="H3637" i="26"/>
  <c r="H3635" i="26"/>
  <c r="H3633" i="26"/>
  <c r="H3631" i="26"/>
  <c r="H3629" i="26"/>
  <c r="H3627" i="26"/>
  <c r="H3625" i="26"/>
  <c r="H3623" i="26"/>
  <c r="H3621" i="26"/>
  <c r="H3619" i="26"/>
  <c r="H3617" i="26"/>
  <c r="H3615" i="26"/>
  <c r="H3613" i="26"/>
  <c r="H3611" i="26"/>
  <c r="H3609" i="26"/>
  <c r="H3607" i="26"/>
  <c r="H3605" i="26"/>
  <c r="H3603" i="26"/>
  <c r="H3601" i="26"/>
  <c r="H3599" i="26"/>
  <c r="H3597" i="26"/>
  <c r="H3595" i="26"/>
  <c r="H3593" i="26"/>
  <c r="H3591" i="26"/>
  <c r="H3589" i="26"/>
  <c r="H3587" i="26"/>
  <c r="H3585" i="26"/>
  <c r="H3584" i="26"/>
  <c r="H3582" i="26"/>
  <c r="H3580" i="26"/>
  <c r="H3578" i="26"/>
  <c r="H3576" i="26"/>
  <c r="H3574" i="26"/>
  <c r="H3572" i="26"/>
  <c r="H3570" i="26"/>
  <c r="H3568" i="26"/>
  <c r="H3566" i="26"/>
  <c r="H3564" i="26"/>
  <c r="H3562" i="26"/>
  <c r="H3560" i="26"/>
  <c r="H3558" i="26"/>
  <c r="H3556" i="26"/>
  <c r="H3554" i="26"/>
  <c r="H3552" i="26"/>
  <c r="H3550" i="26"/>
  <c r="H3548" i="26"/>
  <c r="H3546" i="26"/>
  <c r="H3544" i="26"/>
  <c r="H3542" i="26"/>
  <c r="H3540" i="26"/>
  <c r="H3538" i="26"/>
  <c r="H3536" i="26"/>
  <c r="H3534" i="26"/>
  <c r="H3532" i="26"/>
  <c r="H3530" i="26"/>
  <c r="H3528" i="26"/>
  <c r="H3526" i="26"/>
  <c r="H3524" i="26"/>
  <c r="H3522" i="26"/>
  <c r="H3520" i="26"/>
  <c r="H3519" i="26"/>
  <c r="H3517" i="26"/>
  <c r="H3515" i="26"/>
  <c r="H3513" i="26"/>
  <c r="H3511" i="26"/>
  <c r="H3509" i="26"/>
  <c r="H3507" i="26"/>
  <c r="H3505" i="26"/>
  <c r="H3503" i="26"/>
  <c r="H3501" i="26"/>
  <c r="H3499" i="26"/>
  <c r="H3497" i="26"/>
  <c r="H3495" i="26"/>
  <c r="H3493" i="26"/>
  <c r="H3491" i="26"/>
  <c r="H3489" i="26"/>
  <c r="H3487" i="26"/>
  <c r="H3485" i="26"/>
  <c r="H3483" i="26"/>
  <c r="H3481" i="26"/>
  <c r="H3479" i="26"/>
  <c r="H3477" i="26"/>
  <c r="H3475" i="26"/>
  <c r="H3473" i="26"/>
  <c r="H3471" i="26"/>
  <c r="H3469" i="26"/>
  <c r="H3467" i="26"/>
  <c r="H3466" i="26"/>
  <c r="H3465" i="26"/>
  <c r="H3464" i="26"/>
  <c r="H3463" i="26"/>
  <c r="H3462" i="26"/>
  <c r="H3461" i="26"/>
  <c r="H3459" i="26"/>
  <c r="H3457" i="26"/>
  <c r="H3455" i="26"/>
  <c r="H3453" i="26"/>
  <c r="H3451" i="26"/>
  <c r="H3449" i="26"/>
  <c r="H3447" i="26"/>
  <c r="H3445" i="26"/>
  <c r="H3443" i="26"/>
  <c r="H3441" i="26"/>
  <c r="H3439" i="26"/>
  <c r="H3437" i="26"/>
  <c r="H3435" i="26"/>
  <c r="H3433" i="26"/>
  <c r="H3431" i="26"/>
  <c r="H3429" i="26"/>
  <c r="H3427" i="26"/>
  <c r="H3425" i="26"/>
  <c r="H3423" i="26"/>
  <c r="H3421" i="26"/>
  <c r="H3419" i="26"/>
  <c r="H3417" i="26"/>
  <c r="H3415" i="26"/>
  <c r="H3413" i="26"/>
  <c r="H3411" i="26"/>
  <c r="H3409" i="26"/>
  <c r="H3407" i="26"/>
  <c r="H3405" i="26"/>
  <c r="H3403" i="26"/>
  <c r="H3401" i="26"/>
  <c r="H3399" i="26"/>
  <c r="H3397" i="26"/>
  <c r="H3395" i="26"/>
  <c r="H3382" i="26"/>
  <c r="H3380" i="26"/>
  <c r="H3378" i="26"/>
  <c r="H3376" i="26"/>
  <c r="H3374" i="26"/>
  <c r="H3372" i="26"/>
  <c r="H3370" i="26"/>
  <c r="H3368" i="26"/>
  <c r="H3366" i="26"/>
  <c r="H3364" i="26"/>
  <c r="H3362" i="26"/>
  <c r="H3360" i="26"/>
  <c r="H3358" i="26"/>
  <c r="H3356" i="26"/>
  <c r="H3354" i="26"/>
  <c r="H3352" i="26"/>
  <c r="H3350" i="26"/>
  <c r="H3348" i="26"/>
  <c r="H3346" i="26"/>
  <c r="H3344" i="26"/>
  <c r="H3342" i="26"/>
  <c r="H3340" i="26"/>
  <c r="H3338" i="26"/>
  <c r="H3336" i="26"/>
  <c r="H3334" i="26"/>
  <c r="H3332" i="26"/>
  <c r="H3330" i="26"/>
  <c r="H3328" i="26"/>
  <c r="H3327" i="26"/>
  <c r="H3325" i="26"/>
  <c r="H3324" i="26"/>
  <c r="H3323" i="26"/>
  <c r="H3322" i="26"/>
  <c r="H3321" i="26"/>
  <c r="H3320" i="26"/>
  <c r="H3319" i="26"/>
  <c r="H3318" i="26"/>
  <c r="H3317" i="26"/>
  <c r="H3315" i="26"/>
  <c r="H3314" i="26"/>
  <c r="H3312" i="26"/>
  <c r="H3310" i="26"/>
  <c r="H3308" i="26"/>
  <c r="H3306" i="26"/>
  <c r="H3304" i="26"/>
  <c r="H3302" i="26"/>
  <c r="H3300" i="26"/>
  <c r="H3298" i="26"/>
  <c r="H3296" i="26"/>
  <c r="H3294" i="26"/>
  <c r="H3292" i="26"/>
  <c r="H3290" i="26"/>
  <c r="H3288" i="26"/>
  <c r="H3286" i="26"/>
  <c r="H3284" i="26"/>
  <c r="H3282" i="26"/>
  <c r="H3280" i="26"/>
  <c r="H3278" i="26"/>
  <c r="H3276" i="26"/>
  <c r="H3274" i="26"/>
  <c r="H3272" i="26"/>
  <c r="H3263" i="26"/>
  <c r="H3261" i="26"/>
  <c r="H3259" i="26"/>
  <c r="H3257" i="26"/>
  <c r="H3255" i="26"/>
  <c r="H3253" i="26"/>
  <c r="H3251" i="26"/>
  <c r="H3249" i="26"/>
  <c r="H3247" i="26"/>
  <c r="H3245" i="26"/>
  <c r="H3243" i="26"/>
  <c r="H3241" i="26"/>
  <c r="H3239" i="26"/>
  <c r="H3237" i="26"/>
  <c r="H3235" i="26"/>
  <c r="H3233" i="26"/>
  <c r="H3231" i="26"/>
  <c r="H3229" i="26"/>
  <c r="H3227" i="26"/>
  <c r="H3225" i="26"/>
  <c r="H3224" i="26"/>
  <c r="H3222" i="26"/>
  <c r="H3220" i="26"/>
  <c r="H3218" i="26"/>
  <c r="H3216" i="26"/>
  <c r="H3214" i="26"/>
  <c r="H3212" i="26"/>
  <c r="H3210" i="26"/>
  <c r="H3208" i="26"/>
  <c r="H3206" i="26"/>
  <c r="H3204" i="26"/>
  <c r="H3202" i="26"/>
  <c r="H3200" i="26"/>
  <c r="H3198" i="26"/>
  <c r="H3196" i="26"/>
  <c r="H3194" i="26"/>
  <c r="H3192" i="26"/>
  <c r="H3190" i="26"/>
  <c r="H3188" i="26"/>
  <c r="H3186" i="26"/>
  <c r="H3184" i="26"/>
  <c r="H3182" i="26"/>
  <c r="H3180" i="26"/>
  <c r="H3178" i="26"/>
  <c r="H3176" i="26"/>
  <c r="H3174" i="26"/>
  <c r="H3172" i="26"/>
  <c r="H3170" i="26"/>
  <c r="H3168" i="26"/>
  <c r="H3166" i="26"/>
  <c r="H3164" i="26"/>
  <c r="H3162" i="26"/>
  <c r="H3160" i="26"/>
  <c r="H3158" i="26"/>
  <c r="H3156" i="26"/>
  <c r="H3154" i="26"/>
  <c r="H3152" i="26"/>
  <c r="H3150" i="26"/>
  <c r="H3148" i="26"/>
  <c r="H3146" i="26"/>
  <c r="H3144" i="26"/>
  <c r="H3142" i="26"/>
  <c r="H3140" i="26"/>
  <c r="H3138" i="26"/>
  <c r="H3136" i="26"/>
  <c r="H3134" i="26"/>
  <c r="H3132" i="26"/>
  <c r="H3130" i="26"/>
  <c r="H3128" i="26"/>
  <c r="H3126" i="26"/>
  <c r="H3124" i="26"/>
  <c r="H3122" i="26"/>
  <c r="H3120" i="26"/>
  <c r="H3118" i="26"/>
  <c r="H3116" i="26"/>
  <c r="H3114" i="26"/>
  <c r="H3112" i="26"/>
  <c r="H3110" i="26"/>
  <c r="H3108" i="26"/>
  <c r="H3106" i="26"/>
  <c r="H3104" i="26"/>
  <c r="H3102" i="26"/>
  <c r="H3100" i="26"/>
  <c r="H3098" i="26"/>
  <c r="H3096" i="26"/>
  <c r="H3094" i="26"/>
  <c r="H3092" i="26"/>
  <c r="H3090" i="26"/>
  <c r="H3088" i="26"/>
  <c r="H3086" i="26"/>
  <c r="H3084" i="26"/>
  <c r="H3082" i="26"/>
  <c r="H3080" i="26"/>
  <c r="H3078" i="26"/>
  <c r="H3076" i="26"/>
  <c r="H3074" i="26"/>
  <c r="H3072" i="26"/>
  <c r="H3070" i="26"/>
  <c r="H3068" i="26"/>
  <c r="H3066" i="26"/>
  <c r="H3064" i="26"/>
  <c r="H3062" i="26"/>
  <c r="H3060" i="26"/>
  <c r="H3058" i="26"/>
  <c r="H3056" i="26"/>
  <c r="H3054" i="26"/>
  <c r="H3052" i="26"/>
  <c r="H3050" i="26"/>
  <c r="H3048" i="26"/>
  <c r="H3046" i="26"/>
  <c r="H3035" i="26"/>
  <c r="H3033" i="26"/>
  <c r="H3031" i="26"/>
  <c r="H3029" i="26"/>
  <c r="H3027" i="26"/>
  <c r="H3025" i="26"/>
  <c r="H3023" i="26"/>
  <c r="H3021" i="26"/>
  <c r="H3019" i="26"/>
  <c r="H3017" i="26"/>
  <c r="H3015" i="26"/>
  <c r="H3013" i="26"/>
  <c r="H3011" i="26"/>
  <c r="H3009" i="26"/>
  <c r="H3007" i="26"/>
  <c r="H3005" i="26"/>
  <c r="H3003" i="26"/>
  <c r="H3001" i="26"/>
  <c r="H2999" i="26"/>
  <c r="H2996" i="26"/>
  <c r="H2994" i="26"/>
  <c r="H2992" i="26"/>
  <c r="H2990" i="26"/>
  <c r="H2989" i="26"/>
  <c r="H2988" i="26"/>
  <c r="H2987" i="26"/>
  <c r="H2986" i="26"/>
  <c r="H2985" i="26"/>
  <c r="H2984" i="26"/>
  <c r="H2983" i="26"/>
  <c r="H2982" i="26"/>
  <c r="H2980" i="26"/>
  <c r="H2978" i="26"/>
  <c r="H2976" i="26"/>
  <c r="H2974" i="26"/>
  <c r="H2972" i="26"/>
  <c r="H2970" i="26"/>
  <c r="H2968" i="26"/>
  <c r="H2966" i="26"/>
  <c r="H2965" i="26"/>
  <c r="H2962" i="26"/>
  <c r="H2961" i="26"/>
  <c r="H2959" i="26"/>
  <c r="H2957" i="26"/>
  <c r="H2955" i="26"/>
  <c r="H2953" i="26"/>
  <c r="H2951" i="26"/>
  <c r="H2949" i="26"/>
  <c r="H2947" i="26"/>
  <c r="H2945" i="26"/>
  <c r="H2943" i="26"/>
  <c r="H2941" i="26"/>
  <c r="H2939" i="26"/>
  <c r="H2937" i="26"/>
  <c r="H2935" i="26"/>
  <c r="H2933" i="26"/>
  <c r="H2931" i="26"/>
  <c r="H2929" i="26"/>
  <c r="H2927" i="26"/>
  <c r="H2925" i="26"/>
  <c r="H2923" i="26"/>
  <c r="H2922" i="26"/>
  <c r="H2920" i="26"/>
  <c r="H2918" i="26"/>
  <c r="H2916" i="26"/>
  <c r="H2914" i="26"/>
  <c r="H2912" i="26"/>
  <c r="H2910" i="26"/>
  <c r="H2908" i="26"/>
  <c r="H2906" i="26"/>
  <c r="H2904" i="26"/>
  <c r="H2902" i="26"/>
  <c r="H2900" i="26"/>
  <c r="H2898" i="26"/>
  <c r="H2896" i="26"/>
  <c r="H2894" i="26"/>
  <c r="H2891" i="26"/>
  <c r="H2889" i="26"/>
  <c r="H2888" i="26"/>
  <c r="H2886" i="26"/>
  <c r="H2884" i="26"/>
  <c r="H2882" i="26"/>
  <c r="H2880" i="26"/>
  <c r="H2879" i="26"/>
  <c r="H2877" i="26"/>
  <c r="H2875" i="26"/>
  <c r="H2873" i="26"/>
  <c r="H2871" i="26"/>
  <c r="H2869" i="26"/>
  <c r="H2867" i="26"/>
  <c r="H2865" i="26"/>
  <c r="H2863" i="26"/>
  <c r="H2861" i="26"/>
  <c r="H2859" i="26"/>
  <c r="H2857" i="26"/>
  <c r="H2855" i="26"/>
  <c r="H2853" i="26"/>
  <c r="H2851" i="26"/>
  <c r="H2849" i="26"/>
  <c r="H2847" i="26"/>
  <c r="H2845" i="26"/>
  <c r="H2843" i="26"/>
  <c r="H2842" i="26"/>
  <c r="H2841" i="26"/>
  <c r="H2840" i="26"/>
  <c r="H2839" i="26"/>
  <c r="H2838" i="26"/>
  <c r="H2837" i="26"/>
  <c r="H2836" i="26"/>
  <c r="H2835" i="26"/>
  <c r="H2833" i="26"/>
  <c r="H2831" i="26"/>
  <c r="H2829" i="26"/>
  <c r="H2827" i="26"/>
  <c r="H2825" i="26"/>
  <c r="H2823" i="26"/>
  <c r="H2821" i="26"/>
  <c r="H2819" i="26"/>
  <c r="H2817" i="26"/>
  <c r="H2815" i="26"/>
  <c r="H2813" i="26"/>
  <c r="H2811" i="26"/>
  <c r="H2809" i="26"/>
  <c r="H2807" i="26"/>
  <c r="H2805" i="26"/>
  <c r="H2803" i="26"/>
  <c r="H2801" i="26"/>
  <c r="H2799" i="26"/>
  <c r="H2797" i="26"/>
  <c r="H2795" i="26"/>
  <c r="H2793" i="26"/>
  <c r="H2791" i="26"/>
  <c r="H2789" i="26"/>
  <c r="H2787" i="26"/>
  <c r="H2785" i="26"/>
  <c r="H2784" i="26"/>
  <c r="H2782" i="26"/>
  <c r="H2780" i="26"/>
  <c r="H2778" i="26"/>
  <c r="H2776" i="26"/>
  <c r="H2774" i="26"/>
  <c r="H2772" i="26"/>
  <c r="H2770" i="26"/>
  <c r="H2768" i="26"/>
  <c r="H2766" i="26"/>
  <c r="H2764" i="26"/>
  <c r="H2755" i="26"/>
  <c r="H2753" i="26"/>
  <c r="H2751" i="26"/>
  <c r="H2749" i="26"/>
  <c r="H2747" i="26"/>
  <c r="H2745" i="26"/>
  <c r="H2743" i="26"/>
  <c r="H2741" i="26"/>
  <c r="H2739" i="26"/>
  <c r="H2737" i="26"/>
  <c r="H2735" i="26"/>
  <c r="H2733" i="26"/>
  <c r="H2731" i="26"/>
  <c r="H2729" i="26"/>
  <c r="H2727" i="26"/>
  <c r="H2725" i="26"/>
  <c r="H2723" i="26"/>
  <c r="H2721" i="26"/>
  <c r="H2719" i="26"/>
  <c r="H2717" i="26"/>
  <c r="H2715" i="26"/>
  <c r="H2713" i="26"/>
  <c r="H2711" i="26"/>
  <c r="H2709" i="26"/>
  <c r="H2700" i="26"/>
  <c r="H2698" i="26"/>
  <c r="H2696" i="26"/>
  <c r="H2694" i="26"/>
  <c r="H2692" i="26"/>
  <c r="H2690" i="26"/>
  <c r="H2688" i="26"/>
  <c r="H2686" i="26"/>
  <c r="H2684" i="26"/>
  <c r="H2682" i="26"/>
  <c r="H2680" i="26"/>
  <c r="H2678" i="26"/>
  <c r="H2676" i="26"/>
  <c r="H2674" i="26"/>
  <c r="H2672" i="26"/>
  <c r="H2670" i="26"/>
  <c r="H2668" i="26"/>
  <c r="H2666" i="26"/>
  <c r="H2664" i="26"/>
  <c r="H2662" i="26"/>
  <c r="H2660" i="26"/>
  <c r="H2658" i="26"/>
  <c r="H2656" i="26"/>
  <c r="H2654" i="26"/>
  <c r="H2652" i="26"/>
  <c r="H2650" i="26"/>
  <c r="H2648" i="26"/>
  <c r="H2646" i="26"/>
  <c r="H2644" i="26"/>
  <c r="H2643" i="26"/>
  <c r="H2642" i="26"/>
  <c r="H2641" i="26"/>
  <c r="H2636" i="26"/>
  <c r="H2634" i="26"/>
  <c r="H2632" i="26"/>
  <c r="H2630" i="26"/>
  <c r="H2628" i="26"/>
  <c r="H2626" i="26"/>
  <c r="H2624" i="26"/>
  <c r="H2622" i="26"/>
  <c r="H2620" i="26"/>
  <c r="H2618" i="26"/>
  <c r="H2616" i="26"/>
  <c r="H2614" i="26"/>
  <c r="H2612" i="26"/>
  <c r="H2610" i="26"/>
  <c r="H2608" i="26"/>
  <c r="H2606" i="26"/>
  <c r="H2604" i="26"/>
  <c r="H2602" i="26"/>
  <c r="H2600" i="26"/>
  <c r="H2598" i="26"/>
  <c r="H2596" i="26"/>
  <c r="H2594" i="26"/>
  <c r="H2592" i="26"/>
  <c r="H2590" i="26"/>
  <c r="H2588" i="26"/>
  <c r="H2587" i="26"/>
  <c r="H2584" i="26"/>
  <c r="H2582" i="26"/>
  <c r="H2580" i="26"/>
  <c r="H2578" i="26"/>
  <c r="H2576" i="26"/>
  <c r="H2574" i="26"/>
  <c r="H2572" i="26"/>
  <c r="H2570" i="26"/>
  <c r="H2568" i="26"/>
  <c r="H2566" i="26"/>
  <c r="H2564" i="26"/>
  <c r="H2562" i="26"/>
  <c r="H2560" i="26"/>
  <c r="H2558" i="26"/>
  <c r="H2556" i="26"/>
  <c r="H2554" i="26"/>
  <c r="H2552" i="26"/>
  <c r="H2550" i="26"/>
  <c r="H2548" i="26"/>
  <c r="H2546" i="26"/>
  <c r="H2544" i="26"/>
  <c r="H2542" i="26"/>
  <c r="H2540" i="26"/>
  <c r="H2538" i="26"/>
  <c r="H2536" i="26"/>
  <c r="H2534" i="26"/>
  <c r="H2532" i="26"/>
  <c r="H2530" i="26"/>
  <c r="H2528" i="26"/>
  <c r="H2526" i="26"/>
  <c r="H2524" i="26"/>
  <c r="H2522" i="26"/>
  <c r="H2520" i="26"/>
  <c r="H2518" i="26"/>
  <c r="H2516" i="26"/>
  <c r="H2514" i="26"/>
  <c r="H2512" i="26"/>
  <c r="H2510" i="26"/>
  <c r="H2508" i="26"/>
  <c r="H2506" i="26"/>
  <c r="H2504" i="26"/>
  <c r="H2502" i="26"/>
  <c r="H2500" i="26"/>
  <c r="H2498" i="26"/>
  <c r="H2496" i="26"/>
  <c r="H2494" i="26"/>
  <c r="H2492" i="26"/>
  <c r="H2490" i="26"/>
  <c r="H2488" i="26"/>
  <c r="H2486" i="26"/>
  <c r="H2484" i="26"/>
  <c r="H2482" i="26"/>
  <c r="H2480" i="26"/>
  <c r="H2478" i="26"/>
  <c r="H2476" i="26"/>
  <c r="H2474" i="26"/>
  <c r="H2472" i="26"/>
  <c r="H2470" i="26"/>
  <c r="H2468" i="26"/>
  <c r="H2466" i="26"/>
  <c r="H2464" i="26"/>
  <c r="H2462" i="26"/>
  <c r="H2460" i="26"/>
  <c r="H2458" i="26"/>
  <c r="H2456" i="26"/>
  <c r="H2454" i="26"/>
  <c r="H2452" i="26"/>
  <c r="H2450" i="26"/>
  <c r="H2448" i="26"/>
  <c r="H2446" i="26"/>
  <c r="H2444" i="26"/>
  <c r="H2442" i="26"/>
  <c r="H2440" i="26"/>
  <c r="H2438" i="26"/>
  <c r="H2436" i="26"/>
  <c r="H2434" i="26"/>
  <c r="H2432" i="26"/>
  <c r="H2430" i="26"/>
  <c r="H2428" i="26"/>
  <c r="H2426" i="26"/>
  <c r="H2424" i="26"/>
  <c r="H2422" i="26"/>
  <c r="H2420" i="26"/>
  <c r="H2418" i="26"/>
  <c r="H2416" i="26"/>
  <c r="H2414" i="26"/>
  <c r="H2412" i="26"/>
  <c r="H2410" i="26"/>
  <c r="H2408" i="26"/>
  <c r="H2406" i="26"/>
  <c r="H2404" i="26"/>
  <c r="H2402" i="26"/>
  <c r="H2400" i="26"/>
  <c r="H2398" i="26"/>
  <c r="H2396" i="26"/>
  <c r="H2394" i="26"/>
  <c r="H2392" i="26"/>
  <c r="H2390" i="26"/>
  <c r="H2388" i="26"/>
  <c r="H2386" i="26"/>
  <c r="H2384" i="26"/>
  <c r="H2382" i="26"/>
  <c r="H2380" i="26"/>
  <c r="H2378" i="26"/>
  <c r="H2376" i="26"/>
  <c r="H2374" i="26"/>
  <c r="H2372" i="26"/>
  <c r="H2370" i="26"/>
  <c r="H2368" i="26"/>
  <c r="H2366" i="26"/>
  <c r="H2364" i="26"/>
  <c r="H2362" i="26"/>
  <c r="H2360" i="26"/>
  <c r="H2350" i="26"/>
  <c r="H2348" i="26"/>
  <c r="H2346" i="26"/>
  <c r="H2344" i="26"/>
  <c r="H2342" i="26"/>
  <c r="H2340" i="26"/>
  <c r="H2338" i="26"/>
  <c r="H2336" i="26"/>
  <c r="H2334" i="26"/>
  <c r="H2332" i="26"/>
  <c r="H2330" i="26"/>
  <c r="H2328" i="26"/>
  <c r="H2326" i="26"/>
  <c r="H2324" i="26"/>
  <c r="H2322" i="26"/>
  <c r="H2320" i="26"/>
  <c r="H2318" i="26"/>
  <c r="H2316" i="26"/>
  <c r="H2314" i="26"/>
  <c r="H2312" i="26"/>
  <c r="H2310" i="26"/>
  <c r="H2309" i="26"/>
  <c r="H2308" i="26"/>
  <c r="H2307" i="26"/>
  <c r="H2306" i="26"/>
  <c r="H2305" i="26"/>
  <c r="H2304" i="26"/>
  <c r="H2303" i="26"/>
  <c r="H2302" i="26"/>
  <c r="H2300" i="26"/>
  <c r="H2299" i="26"/>
  <c r="H2297" i="26"/>
  <c r="H2295" i="26"/>
  <c r="H2293" i="26"/>
  <c r="H2291" i="26"/>
  <c r="H2289" i="26"/>
  <c r="H2287" i="26"/>
  <c r="H2285" i="26"/>
  <c r="H2283" i="26"/>
  <c r="H2281" i="26"/>
  <c r="H2279" i="26"/>
  <c r="H2277" i="26"/>
  <c r="H2275" i="26"/>
  <c r="H2273" i="26"/>
  <c r="H2271" i="26"/>
  <c r="H2269" i="26"/>
  <c r="H2267" i="26"/>
  <c r="H2265" i="26"/>
  <c r="H2263" i="26"/>
  <c r="H2261" i="26"/>
  <c r="H2259" i="26"/>
  <c r="H2257" i="26"/>
  <c r="H2255" i="26"/>
  <c r="H2253" i="26"/>
  <c r="H2251" i="26"/>
  <c r="H2249" i="26"/>
  <c r="H2247" i="26"/>
  <c r="H2245" i="26"/>
  <c r="H2243" i="26"/>
  <c r="H2241" i="26"/>
  <c r="H2239" i="26"/>
  <c r="H2237" i="26"/>
  <c r="H2235" i="26"/>
  <c r="H2233" i="26"/>
  <c r="H2231" i="26"/>
  <c r="H2229" i="26"/>
  <c r="H2227" i="26"/>
  <c r="H2225" i="26"/>
  <c r="H2223" i="26"/>
  <c r="H2222" i="26"/>
  <c r="H2221" i="26"/>
  <c r="H2220" i="26"/>
  <c r="H2219" i="26"/>
  <c r="H2218" i="26"/>
  <c r="H2217" i="26"/>
  <c r="H2216" i="26"/>
  <c r="H2215" i="26"/>
  <c r="H2214" i="26"/>
  <c r="H2212" i="26"/>
  <c r="H2210" i="26"/>
  <c r="H2208" i="26"/>
  <c r="H2206" i="26"/>
  <c r="H2204" i="26"/>
  <c r="H2202" i="26"/>
  <c r="H2200" i="26"/>
  <c r="H2198" i="26"/>
  <c r="H2196" i="26"/>
  <c r="H2194" i="26"/>
  <c r="H2192" i="26"/>
  <c r="H2190" i="26"/>
  <c r="H2188" i="26"/>
  <c r="H2186" i="26"/>
  <c r="H2184" i="26"/>
  <c r="H2182" i="26"/>
  <c r="H2180" i="26"/>
  <c r="H2178" i="26"/>
  <c r="H2176" i="26"/>
  <c r="H2174" i="26"/>
  <c r="H2172" i="26"/>
  <c r="H2170" i="26"/>
  <c r="H2168" i="26"/>
  <c r="H2166" i="26"/>
  <c r="H2164" i="26"/>
  <c r="H2162" i="26"/>
  <c r="H2160" i="26"/>
  <c r="H2158" i="26"/>
  <c r="H2156" i="26"/>
  <c r="H2154" i="26"/>
  <c r="H2152" i="26"/>
  <c r="H2150" i="26"/>
  <c r="H2148" i="26"/>
  <c r="H2146" i="26"/>
  <c r="H2144" i="26"/>
  <c r="H2142" i="26"/>
  <c r="H2140" i="26"/>
  <c r="H2138" i="26"/>
  <c r="H2136" i="26"/>
  <c r="H2134" i="26"/>
  <c r="H2132" i="26"/>
  <c r="H2130" i="26"/>
  <c r="H2128" i="26"/>
  <c r="H2126" i="26"/>
  <c r="H2124" i="26"/>
  <c r="H2122" i="26"/>
  <c r="H2120" i="26"/>
  <c r="H2118" i="26"/>
  <c r="H2116" i="26"/>
  <c r="H2115" i="26"/>
  <c r="H2113" i="26"/>
  <c r="H2111" i="26"/>
  <c r="H2109" i="26"/>
  <c r="H2107" i="26"/>
  <c r="H2105" i="26"/>
  <c r="H2103" i="26"/>
  <c r="H2101" i="26"/>
  <c r="H2099" i="26"/>
  <c r="H2097" i="26"/>
  <c r="H2024" i="26"/>
  <c r="H2021" i="26"/>
  <c r="H2020" i="26"/>
  <c r="H2019" i="26"/>
  <c r="H2018" i="26"/>
  <c r="H2017" i="26"/>
  <c r="H2016" i="26"/>
  <c r="H2015" i="26"/>
  <c r="H2014" i="26"/>
  <c r="H2013" i="26"/>
  <c r="H2012" i="26"/>
  <c r="H2010" i="26"/>
  <c r="H2008" i="26"/>
  <c r="H2007" i="26"/>
  <c r="H2006" i="26"/>
  <c r="H2005" i="26"/>
  <c r="H2004" i="26"/>
  <c r="H2003" i="26"/>
  <c r="H2002" i="26"/>
  <c r="H2001" i="26"/>
  <c r="H1999" i="26"/>
  <c r="H1997" i="26"/>
  <c r="H1995" i="26"/>
  <c r="H1993" i="26"/>
  <c r="H1991" i="26"/>
  <c r="H1989" i="26"/>
  <c r="H1987" i="26"/>
  <c r="H1985" i="26"/>
  <c r="H1983" i="26"/>
  <c r="H1981" i="26"/>
  <c r="H1979" i="26"/>
  <c r="H1977" i="26"/>
  <c r="H1975" i="26"/>
  <c r="H1973" i="26"/>
  <c r="H1963" i="26"/>
  <c r="H1961" i="26"/>
  <c r="H1950" i="26"/>
  <c r="H1948" i="26"/>
  <c r="H1946" i="26"/>
  <c r="H1944" i="26"/>
  <c r="H1942" i="26"/>
  <c r="H1940" i="26"/>
  <c r="H1937" i="26"/>
  <c r="H1935" i="26"/>
  <c r="H1933" i="26"/>
  <c r="H1931" i="26"/>
  <c r="H1929" i="26"/>
  <c r="H1927" i="26"/>
  <c r="H1925" i="26"/>
  <c r="H1923" i="26"/>
  <c r="H1921" i="26"/>
  <c r="H1919" i="26"/>
  <c r="H1917" i="26"/>
  <c r="H1915" i="26"/>
  <c r="H1913" i="26"/>
  <c r="H1911" i="26"/>
  <c r="H1909" i="26"/>
  <c r="H1907" i="26"/>
  <c r="H1905" i="26"/>
  <c r="H1903" i="26"/>
  <c r="H1901" i="26"/>
  <c r="H1899" i="26"/>
  <c r="H1897" i="26"/>
  <c r="H1895" i="26"/>
  <c r="H1893" i="26"/>
  <c r="H1891" i="26"/>
  <c r="H1889" i="26"/>
  <c r="H1887" i="26"/>
  <c r="H1885" i="26"/>
  <c r="H1883" i="26"/>
  <c r="H1881" i="26"/>
  <c r="H1879" i="26"/>
  <c r="H1877" i="26"/>
  <c r="H1875" i="26"/>
  <c r="H1873" i="26"/>
  <c r="H1871" i="26"/>
  <c r="H1869" i="26"/>
  <c r="H1867" i="26"/>
  <c r="H1865" i="26"/>
  <c r="H1863" i="26"/>
  <c r="H1861" i="26"/>
  <c r="H1859" i="26"/>
  <c r="H1857" i="26"/>
  <c r="H1854" i="26"/>
  <c r="H1852" i="26"/>
  <c r="H1850" i="26"/>
  <c r="H1848" i="26"/>
  <c r="H1846" i="26"/>
  <c r="H1844" i="26"/>
  <c r="H1842" i="26"/>
  <c r="H1840" i="26"/>
  <c r="H1838" i="26"/>
  <c r="H1836" i="26"/>
  <c r="H1834" i="26"/>
  <c r="H1832" i="26"/>
  <c r="H1830" i="26"/>
  <c r="H1828" i="26"/>
  <c r="H1826" i="26"/>
  <c r="H1824" i="26"/>
  <c r="H1822" i="26"/>
  <c r="H1820" i="26"/>
  <c r="H1818" i="26"/>
  <c r="H1816" i="26"/>
  <c r="H1814" i="26"/>
  <c r="H1812" i="26"/>
  <c r="H1810" i="26"/>
  <c r="H1808" i="26"/>
  <c r="H1806" i="26"/>
  <c r="H1804" i="26"/>
  <c r="H1802" i="26"/>
  <c r="H1800" i="26"/>
  <c r="H1798" i="26"/>
  <c r="H1796" i="26"/>
  <c r="H1794" i="26"/>
  <c r="H1792" i="26"/>
  <c r="H1790" i="26"/>
  <c r="H1788" i="26"/>
  <c r="H1786" i="26"/>
  <c r="H1784" i="26"/>
  <c r="H1782" i="26"/>
  <c r="H1780" i="26"/>
  <c r="H1778" i="26"/>
  <c r="H1776" i="26"/>
  <c r="H1774" i="26"/>
  <c r="H1772" i="26"/>
  <c r="H1770" i="26"/>
  <c r="H1768" i="26"/>
  <c r="H1766" i="26"/>
  <c r="H1764" i="26"/>
  <c r="H1762" i="26"/>
  <c r="H1760" i="26"/>
  <c r="H1758" i="26"/>
  <c r="H1756" i="26"/>
  <c r="H1754" i="26"/>
  <c r="H1752" i="26"/>
  <c r="H1750" i="26"/>
  <c r="H1748" i="26"/>
  <c r="H1746" i="26"/>
  <c r="H1744" i="26"/>
  <c r="H1742" i="26"/>
  <c r="H1740" i="26"/>
  <c r="H1738" i="26"/>
  <c r="H1736" i="26"/>
  <c r="H1734" i="26"/>
  <c r="H1732" i="26"/>
  <c r="H1730" i="26"/>
  <c r="H1728" i="26"/>
  <c r="H1726" i="26"/>
  <c r="H1724" i="26"/>
  <c r="H1722" i="26"/>
  <c r="H1720" i="26"/>
  <c r="H1718" i="26"/>
  <c r="H1716" i="26"/>
  <c r="H1714" i="26"/>
  <c r="H1712" i="26"/>
  <c r="H1710" i="26"/>
  <c r="H1708" i="26"/>
  <c r="H1706" i="26"/>
  <c r="H1704" i="26"/>
  <c r="H1702" i="26"/>
  <c r="H1700" i="26"/>
  <c r="H1698" i="26"/>
  <c r="H1696" i="26"/>
  <c r="H1694" i="26"/>
  <c r="H1692" i="26"/>
  <c r="H1690" i="26"/>
  <c r="H1688" i="26"/>
  <c r="H1686" i="26"/>
  <c r="H1684" i="26"/>
  <c r="H1683" i="26"/>
  <c r="H1682" i="26"/>
  <c r="H1681" i="26"/>
  <c r="H1680" i="26"/>
  <c r="H1679" i="26"/>
  <c r="H1678" i="26"/>
  <c r="H1677" i="26"/>
  <c r="H1676" i="26"/>
  <c r="H1674" i="26"/>
  <c r="H1672" i="26"/>
  <c r="H1670" i="26"/>
  <c r="H1668" i="26"/>
  <c r="H1666" i="26"/>
  <c r="H1664" i="26"/>
  <c r="H1662" i="26"/>
  <c r="H1660" i="26"/>
  <c r="H1658" i="26"/>
  <c r="H1656" i="26"/>
  <c r="H1655" i="26"/>
  <c r="H1654" i="26"/>
  <c r="H1653" i="26"/>
  <c r="H1652" i="26"/>
  <c r="H1651" i="26"/>
  <c r="H1650" i="26"/>
  <c r="H1649" i="26"/>
  <c r="H1648" i="26"/>
  <c r="H1647" i="26"/>
  <c r="H1645" i="26"/>
  <c r="H1643" i="26"/>
  <c r="H1641" i="26"/>
  <c r="H1639" i="26"/>
  <c r="H1637" i="26"/>
  <c r="H1635" i="26"/>
  <c r="H1633" i="26"/>
  <c r="H1631" i="26"/>
  <c r="H1621" i="26"/>
  <c r="H1619" i="26"/>
  <c r="H1617" i="26"/>
  <c r="H1615" i="26"/>
  <c r="H1613" i="26"/>
  <c r="H1611" i="26"/>
  <c r="H1609" i="26"/>
  <c r="H1607" i="26"/>
  <c r="H1605" i="26"/>
  <c r="H1603" i="26"/>
  <c r="H1601" i="26"/>
  <c r="H1599" i="26"/>
  <c r="H1597" i="26"/>
  <c r="H1595" i="26"/>
  <c r="H1593" i="26"/>
  <c r="H1591" i="26"/>
  <c r="H1589" i="26"/>
  <c r="H1587" i="26"/>
  <c r="H1585" i="26"/>
  <c r="H1583" i="26"/>
  <c r="H1581" i="26"/>
  <c r="H1579" i="26"/>
  <c r="H1577" i="26"/>
  <c r="H1575" i="26"/>
  <c r="H1573" i="26"/>
  <c r="H1571" i="26"/>
  <c r="H1569" i="26"/>
  <c r="H1567" i="26"/>
  <c r="H1565" i="26"/>
  <c r="H1563" i="26"/>
  <c r="H1561" i="26"/>
  <c r="H1559" i="26"/>
  <c r="H1557" i="26"/>
  <c r="H1555" i="26"/>
  <c r="H1553" i="26"/>
  <c r="H1551" i="26"/>
  <c r="H1548" i="26"/>
  <c r="H1546" i="26"/>
  <c r="H1544" i="26"/>
  <c r="H1542" i="26"/>
  <c r="H1540" i="26"/>
  <c r="H1538" i="26"/>
  <c r="H1536" i="26"/>
  <c r="H1535" i="26"/>
  <c r="H1533" i="26"/>
  <c r="H1531" i="26"/>
  <c r="H1529" i="26"/>
  <c r="H1527" i="26"/>
  <c r="H1525" i="26"/>
  <c r="H1523" i="26"/>
  <c r="H1521" i="26"/>
  <c r="H1519" i="26"/>
  <c r="H1517" i="26"/>
  <c r="H1515" i="26"/>
  <c r="H1513" i="26"/>
  <c r="H1511" i="26"/>
  <c r="H1509" i="26"/>
  <c r="H1507" i="26"/>
  <c r="H1505" i="26"/>
  <c r="H1503" i="26"/>
  <c r="H1501" i="26"/>
  <c r="H1499" i="26"/>
  <c r="H1497" i="26"/>
  <c r="H1495" i="26"/>
  <c r="H1493" i="26"/>
  <c r="H1491" i="26"/>
  <c r="H1489" i="26"/>
  <c r="H1487" i="26"/>
  <c r="H1485" i="26"/>
  <c r="H1483" i="26"/>
  <c r="H1480" i="26"/>
  <c r="H1478" i="26"/>
  <c r="H1476" i="26"/>
  <c r="H1474" i="26"/>
  <c r="H1472" i="26"/>
  <c r="H1470" i="26"/>
  <c r="H1468" i="26"/>
  <c r="H1466" i="26"/>
  <c r="H1464" i="26"/>
  <c r="H1462" i="26"/>
  <c r="H1460" i="26"/>
  <c r="H1458" i="26"/>
  <c r="H1456" i="26"/>
  <c r="H1454" i="26"/>
  <c r="H1452" i="26"/>
  <c r="H1450" i="26"/>
  <c r="H1448" i="26"/>
  <c r="H1446" i="26"/>
  <c r="H1444" i="26"/>
  <c r="H1442" i="26"/>
  <c r="H1440" i="26"/>
  <c r="H1438" i="26"/>
  <c r="H1436" i="26"/>
  <c r="H1434" i="26"/>
  <c r="H1432" i="26"/>
  <c r="H1430" i="26"/>
  <c r="H1427" i="26"/>
  <c r="H1425" i="26"/>
  <c r="H1423" i="26"/>
  <c r="H1421" i="26"/>
  <c r="H1419" i="26"/>
  <c r="H1417" i="26"/>
  <c r="H1415" i="26"/>
  <c r="H1413" i="26"/>
  <c r="H1411" i="26"/>
  <c r="H1409" i="26"/>
  <c r="H1407" i="26"/>
  <c r="H1405" i="26"/>
  <c r="H1403" i="26"/>
  <c r="H1401" i="26"/>
  <c r="H1399" i="26"/>
  <c r="H1397" i="26"/>
  <c r="H1395" i="26"/>
  <c r="H1393" i="26"/>
  <c r="H1391" i="26"/>
  <c r="H1389" i="26"/>
  <c r="H1387" i="26"/>
  <c r="H1385" i="26"/>
  <c r="H1383" i="26"/>
  <c r="H1381" i="26"/>
  <c r="H1379" i="26"/>
  <c r="H1377" i="26"/>
  <c r="H1375" i="26"/>
  <c r="H1373" i="26"/>
  <c r="H1371" i="26"/>
  <c r="H1369" i="26"/>
  <c r="H1367" i="26"/>
  <c r="H1365" i="26"/>
  <c r="H1363" i="26"/>
  <c r="H1361" i="26"/>
  <c r="H1359" i="26"/>
  <c r="H1357" i="26"/>
  <c r="H1355" i="26"/>
  <c r="H1353" i="26"/>
  <c r="H1351" i="26"/>
  <c r="H1349" i="26"/>
  <c r="H1347" i="26"/>
  <c r="H1345" i="26"/>
  <c r="H1343" i="26"/>
  <c r="H1341" i="26"/>
  <c r="H1339" i="26"/>
  <c r="H1337" i="26"/>
  <c r="H1335" i="26"/>
  <c r="H1333" i="26"/>
  <c r="H1330" i="26"/>
  <c r="H1329" i="26"/>
  <c r="H1328" i="26"/>
  <c r="H1327" i="26"/>
  <c r="H1326" i="26"/>
  <c r="H1325" i="26"/>
  <c r="H1324" i="26"/>
  <c r="H1323" i="26"/>
  <c r="H1322" i="26"/>
  <c r="H1321" i="26"/>
  <c r="H1320" i="26"/>
  <c r="H1319" i="26"/>
  <c r="H1318" i="26"/>
  <c r="H1317" i="26"/>
  <c r="H1316" i="26"/>
  <c r="H1315" i="26"/>
  <c r="H1314" i="26"/>
  <c r="H1313" i="26"/>
  <c r="H1312" i="26"/>
  <c r="H1311" i="26"/>
  <c r="H1310" i="26"/>
  <c r="H1309" i="26"/>
  <c r="H1308" i="26"/>
  <c r="H1307" i="26"/>
  <c r="H1306" i="26"/>
  <c r="H1305" i="26"/>
  <c r="H1304" i="26"/>
  <c r="H1303" i="26"/>
  <c r="H1302" i="26"/>
  <c r="H1301" i="26"/>
  <c r="H1297" i="26"/>
  <c r="H1295" i="26"/>
  <c r="H1293" i="26"/>
  <c r="H1291" i="26"/>
  <c r="H1289" i="26"/>
  <c r="H1287" i="26"/>
  <c r="H1285" i="26"/>
  <c r="H1283" i="26"/>
  <c r="H1281" i="26"/>
  <c r="H1279" i="26"/>
  <c r="H1277" i="26"/>
  <c r="H1275" i="26"/>
  <c r="H1273" i="26"/>
  <c r="H1271" i="26"/>
  <c r="H1269" i="26"/>
  <c r="H1267" i="26"/>
  <c r="H1265" i="26"/>
  <c r="H1263" i="26"/>
  <c r="H1261" i="26"/>
  <c r="H1259" i="26"/>
  <c r="H1257" i="26"/>
  <c r="H1255" i="26"/>
  <c r="H1253" i="26"/>
  <c r="H1251" i="26"/>
  <c r="H1249" i="26"/>
  <c r="H1247" i="26"/>
  <c r="H1245" i="26"/>
  <c r="H1243" i="26"/>
  <c r="H1241" i="26"/>
  <c r="H1240" i="26"/>
  <c r="H1238" i="26"/>
  <c r="H1236" i="26"/>
  <c r="H1234" i="26"/>
  <c r="H1232" i="26"/>
  <c r="H1230" i="26"/>
  <c r="H1228" i="26"/>
  <c r="H1226" i="26"/>
  <c r="H1224" i="26"/>
  <c r="H1222" i="26"/>
  <c r="H1220" i="26"/>
  <c r="H1218" i="26"/>
  <c r="H1216" i="26"/>
  <c r="H1214" i="26"/>
  <c r="H1212" i="26"/>
  <c r="H1210" i="26"/>
  <c r="H1208" i="26"/>
  <c r="H1206" i="26"/>
  <c r="H1204" i="26"/>
  <c r="H1202" i="26"/>
  <c r="H1200" i="26"/>
  <c r="H1198" i="26"/>
  <c r="H1196" i="26"/>
  <c r="H1194" i="26"/>
  <c r="H1192" i="26"/>
  <c r="H1190" i="26"/>
  <c r="H1188" i="26"/>
  <c r="H1186" i="26"/>
  <c r="H1184" i="26"/>
  <c r="H1182" i="26"/>
  <c r="H1180" i="26"/>
  <c r="H1178" i="26"/>
  <c r="H1176" i="26"/>
  <c r="H1174" i="26"/>
  <c r="H1172" i="26"/>
  <c r="H1170" i="26"/>
  <c r="H1168" i="26"/>
  <c r="H1166" i="26"/>
  <c r="H1164" i="26"/>
  <c r="H1162" i="26"/>
  <c r="H1160" i="26"/>
  <c r="H1158" i="26"/>
  <c r="H1156" i="26"/>
  <c r="H1154" i="26"/>
  <c r="H1152" i="26"/>
  <c r="H1150" i="26"/>
  <c r="H1148" i="26"/>
  <c r="H1146" i="26"/>
  <c r="H1144" i="26"/>
  <c r="H1142" i="26"/>
  <c r="H1140" i="26"/>
  <c r="H1138" i="26"/>
  <c r="H1136" i="26"/>
  <c r="H1134" i="26"/>
  <c r="H1132" i="26"/>
  <c r="H1130" i="26"/>
  <c r="H1128" i="26"/>
  <c r="H1126" i="26"/>
  <c r="H1124" i="26"/>
  <c r="H1122" i="26"/>
  <c r="H1120" i="26"/>
  <c r="H1118" i="26"/>
  <c r="H1116" i="26"/>
  <c r="H1114" i="26"/>
  <c r="H1112" i="26"/>
  <c r="H1110" i="26"/>
  <c r="H1108" i="26"/>
  <c r="H1106" i="26"/>
  <c r="H1104" i="26"/>
  <c r="H1102" i="26"/>
  <c r="H1100" i="26"/>
  <c r="H1098" i="26"/>
  <c r="H1096" i="26"/>
  <c r="H1094" i="26"/>
  <c r="H1093" i="26"/>
  <c r="H1091" i="26"/>
  <c r="H1088" i="26"/>
  <c r="H1086" i="26"/>
  <c r="H1084" i="26"/>
  <c r="H1082" i="26"/>
  <c r="H1080" i="26"/>
  <c r="H1078" i="26"/>
  <c r="H1076" i="26"/>
  <c r="H1074" i="26"/>
  <c r="H1072" i="26"/>
  <c r="H1070" i="26"/>
  <c r="H1068" i="26"/>
  <c r="H1066" i="26"/>
  <c r="H1065" i="26"/>
  <c r="H1063" i="26"/>
  <c r="H1061" i="26"/>
  <c r="H1059" i="26"/>
  <c r="H1057" i="26"/>
  <c r="H1055" i="26"/>
  <c r="H1053" i="26"/>
  <c r="H1051" i="26"/>
  <c r="H1049" i="26"/>
  <c r="H1047" i="26"/>
  <c r="H1045" i="26"/>
  <c r="H1043" i="26"/>
  <c r="H1041" i="26"/>
  <c r="H1039" i="26"/>
  <c r="H1037" i="26"/>
  <c r="H1035" i="26"/>
  <c r="H1033" i="26"/>
  <c r="H1031" i="26"/>
  <c r="H1029" i="26"/>
  <c r="H1026" i="26"/>
  <c r="H1024" i="26"/>
  <c r="H1022" i="26"/>
  <c r="H1020" i="26"/>
  <c r="H1018" i="26"/>
  <c r="H1016" i="26"/>
  <c r="H1014" i="26"/>
  <c r="H1012" i="26"/>
  <c r="H1010" i="26"/>
  <c r="H1008" i="26"/>
  <c r="H1007" i="26"/>
  <c r="H1005" i="26"/>
  <c r="H1004" i="26"/>
  <c r="H1003" i="26"/>
  <c r="H1002" i="26"/>
  <c r="H1001" i="26"/>
  <c r="H1000" i="26"/>
  <c r="H999" i="26"/>
  <c r="H998" i="26"/>
  <c r="H997" i="26"/>
  <c r="H996" i="26"/>
  <c r="H994" i="26"/>
  <c r="H992" i="26"/>
  <c r="H990" i="26"/>
  <c r="H987" i="26"/>
  <c r="H986" i="26"/>
  <c r="H984" i="26"/>
  <c r="H982" i="26"/>
  <c r="H980" i="26"/>
  <c r="H978" i="26"/>
  <c r="H976" i="26"/>
  <c r="H974" i="26"/>
  <c r="H972" i="26"/>
  <c r="H970" i="26"/>
  <c r="H960" i="26"/>
  <c r="H959" i="26"/>
  <c r="H958" i="26"/>
  <c r="H957" i="26"/>
  <c r="H956" i="26"/>
  <c r="H955" i="26"/>
  <c r="H954" i="26"/>
  <c r="H953" i="26"/>
  <c r="H952" i="26"/>
  <c r="H950" i="26"/>
  <c r="H948" i="26"/>
  <c r="H946" i="26"/>
  <c r="H944" i="26"/>
  <c r="H942" i="26"/>
  <c r="H940" i="26"/>
  <c r="H938" i="26"/>
  <c r="H936" i="26"/>
  <c r="H934" i="26"/>
  <c r="H932" i="26"/>
  <c r="H930" i="26"/>
  <c r="H928" i="26"/>
  <c r="H926" i="26"/>
  <c r="H924" i="26"/>
  <c r="H922" i="26"/>
  <c r="H920" i="26"/>
  <c r="H918" i="26"/>
  <c r="H917" i="26"/>
  <c r="H915" i="26"/>
  <c r="H913" i="26"/>
  <c r="H911" i="26"/>
  <c r="H909" i="26"/>
  <c r="H907" i="26"/>
  <c r="H905" i="26"/>
  <c r="H903" i="26"/>
  <c r="H901" i="26"/>
  <c r="H899" i="26"/>
  <c r="H896" i="26"/>
  <c r="H894" i="26"/>
  <c r="H892" i="26"/>
  <c r="H890" i="26"/>
  <c r="H888" i="26"/>
  <c r="H886" i="26"/>
  <c r="H884" i="26"/>
  <c r="H882" i="26"/>
  <c r="H880" i="26"/>
  <c r="H878" i="26"/>
  <c r="H876" i="26"/>
  <c r="H875" i="26"/>
  <c r="H873" i="26"/>
  <c r="H871" i="26"/>
  <c r="H869" i="26"/>
  <c r="H867" i="26"/>
  <c r="H865" i="26"/>
  <c r="H863" i="26"/>
  <c r="H861" i="26"/>
  <c r="H859" i="26"/>
  <c r="H857" i="26"/>
  <c r="H855" i="26"/>
  <c r="H853" i="26"/>
  <c r="H851" i="26"/>
  <c r="H849" i="26"/>
  <c r="H847" i="26"/>
  <c r="H845" i="26"/>
  <c r="H842" i="26"/>
  <c r="H840" i="26"/>
  <c r="H838" i="26"/>
  <c r="H836" i="26"/>
  <c r="H834" i="26"/>
  <c r="H832" i="26"/>
  <c r="H830" i="26"/>
  <c r="H828" i="26"/>
  <c r="H826" i="26"/>
  <c r="H824" i="26"/>
  <c r="H822" i="26"/>
  <c r="H820" i="26"/>
  <c r="H818" i="26"/>
  <c r="H816" i="26"/>
  <c r="H814" i="26"/>
  <c r="H812" i="26"/>
  <c r="H810" i="26"/>
  <c r="H808" i="26"/>
  <c r="H806" i="26"/>
  <c r="H804" i="26"/>
  <c r="H802" i="26"/>
  <c r="H800" i="26"/>
  <c r="H798" i="26"/>
  <c r="H796" i="26"/>
  <c r="H794" i="26"/>
  <c r="H792" i="26"/>
  <c r="H790" i="26"/>
  <c r="H788" i="26"/>
  <c r="H786" i="26"/>
  <c r="H784" i="26"/>
  <c r="H782" i="26"/>
  <c r="H780" i="26"/>
  <c r="H778" i="26"/>
  <c r="H776" i="26"/>
  <c r="H774" i="26"/>
  <c r="H772" i="26"/>
  <c r="H770" i="26"/>
  <c r="H768" i="26"/>
  <c r="H766" i="26"/>
  <c r="H764" i="26"/>
  <c r="H762" i="26"/>
  <c r="H760" i="26"/>
  <c r="H758" i="26"/>
  <c r="H756" i="26"/>
  <c r="H754" i="26"/>
  <c r="H752" i="26"/>
  <c r="H750" i="26"/>
  <c r="H748" i="26"/>
  <c r="H746" i="26"/>
  <c r="H735" i="26"/>
  <c r="H733" i="26"/>
  <c r="H731" i="26"/>
  <c r="H729" i="26"/>
  <c r="H727" i="26"/>
  <c r="H725" i="26"/>
  <c r="H723" i="26"/>
  <c r="H721" i="26"/>
  <c r="H719" i="26"/>
  <c r="H717" i="26"/>
  <c r="H715" i="26"/>
  <c r="H713" i="26"/>
  <c r="H711" i="26"/>
  <c r="H709" i="26"/>
  <c r="H707" i="26"/>
  <c r="H705" i="26"/>
  <c r="H703" i="26"/>
  <c r="H701" i="26"/>
  <c r="H699" i="26"/>
  <c r="H697" i="26"/>
  <c r="H695" i="26"/>
  <c r="H693" i="26"/>
  <c r="H691" i="26"/>
  <c r="H689" i="26"/>
  <c r="H687" i="26"/>
  <c r="H685" i="26"/>
  <c r="H683" i="26"/>
  <c r="H681" i="26"/>
  <c r="H679" i="26"/>
  <c r="H677" i="26"/>
  <c r="H675" i="26"/>
  <c r="H673" i="26"/>
  <c r="H668" i="26"/>
  <c r="H667" i="26"/>
  <c r="H665" i="26"/>
  <c r="H663" i="26"/>
  <c r="H660" i="26"/>
  <c r="H658" i="26"/>
  <c r="H656" i="26"/>
  <c r="H654" i="26"/>
  <c r="H652" i="26"/>
  <c r="H650" i="26"/>
  <c r="H648" i="26"/>
  <c r="H646" i="26"/>
  <c r="H644" i="26"/>
  <c r="H642" i="26"/>
  <c r="H640" i="26"/>
  <c r="H638" i="26"/>
  <c r="H636" i="26"/>
  <c r="H634" i="26"/>
  <c r="H632" i="26"/>
  <c r="H630" i="26"/>
  <c r="H628" i="26"/>
  <c r="H626" i="26"/>
  <c r="H624" i="26"/>
  <c r="H622" i="26"/>
  <c r="H621" i="26"/>
  <c r="H620" i="26"/>
  <c r="H619" i="26"/>
  <c r="H615" i="26"/>
  <c r="H613" i="26"/>
  <c r="H611" i="26"/>
  <c r="H609" i="26"/>
  <c r="H607" i="26"/>
  <c r="H605" i="26"/>
  <c r="H603" i="26"/>
  <c r="H601" i="26"/>
  <c r="H599" i="26"/>
  <c r="H597" i="26"/>
  <c r="H595" i="26"/>
  <c r="H593" i="26"/>
  <c r="H591" i="26"/>
  <c r="H589" i="26"/>
  <c r="H587" i="26"/>
  <c r="H585" i="26"/>
  <c r="H583" i="26"/>
  <c r="H581" i="26"/>
  <c r="H579" i="26"/>
  <c r="H577" i="26"/>
  <c r="H575" i="26"/>
  <c r="H573" i="26"/>
  <c r="H571" i="26"/>
  <c r="H569" i="26"/>
  <c r="H567" i="26"/>
  <c r="H565" i="26"/>
  <c r="H563" i="26"/>
  <c r="H561" i="26"/>
  <c r="H559" i="26"/>
  <c r="H557" i="26"/>
  <c r="H555" i="26"/>
  <c r="H553" i="26"/>
  <c r="H551" i="26"/>
  <c r="H549" i="26"/>
  <c r="H547" i="26"/>
  <c r="H545" i="26"/>
  <c r="H543" i="26"/>
  <c r="H541" i="26"/>
  <c r="H539" i="26"/>
  <c r="H537" i="26"/>
  <c r="H535" i="26"/>
  <c r="H533" i="26"/>
  <c r="H531" i="26"/>
  <c r="H529" i="26"/>
  <c r="H527" i="26"/>
  <c r="H525" i="26"/>
  <c r="H524" i="26"/>
  <c r="H522" i="26"/>
  <c r="H520" i="26"/>
  <c r="H518" i="26"/>
  <c r="H516" i="26"/>
  <c r="H514" i="26"/>
  <c r="H512" i="26"/>
  <c r="H510" i="26"/>
  <c r="H508" i="26"/>
  <c r="H506" i="26"/>
  <c r="H504" i="26"/>
  <c r="H502" i="26"/>
  <c r="H500" i="26"/>
  <c r="H498" i="26"/>
  <c r="H496" i="26"/>
  <c r="H494" i="26"/>
  <c r="H492" i="26"/>
  <c r="H490" i="26"/>
  <c r="H488" i="26"/>
  <c r="H486" i="26"/>
  <c r="H484" i="26"/>
  <c r="H482" i="26"/>
  <c r="H480" i="26"/>
  <c r="H478" i="26"/>
  <c r="H476" i="26"/>
  <c r="H474" i="26"/>
  <c r="H472" i="26"/>
  <c r="H470" i="26"/>
  <c r="H468" i="26"/>
  <c r="H466" i="26"/>
  <c r="H464" i="26"/>
  <c r="H462" i="26"/>
  <c r="H460" i="26"/>
  <c r="H458" i="26"/>
  <c r="H456" i="26"/>
  <c r="H454" i="26"/>
  <c r="H453" i="26"/>
  <c r="H451" i="26"/>
  <c r="H449" i="26"/>
  <c r="H447" i="26"/>
  <c r="H445" i="26"/>
  <c r="H443" i="26"/>
  <c r="H441" i="26"/>
  <c r="H439" i="26"/>
  <c r="H437" i="26"/>
  <c r="H435" i="26"/>
  <c r="H433" i="26"/>
  <c r="H431" i="26"/>
  <c r="H429" i="26"/>
  <c r="H426" i="26"/>
  <c r="H424" i="26"/>
  <c r="H422" i="26"/>
  <c r="H420" i="26"/>
  <c r="H418" i="26"/>
  <c r="H416" i="26"/>
  <c r="H414" i="26"/>
  <c r="H412" i="26"/>
  <c r="H410" i="26"/>
  <c r="H408" i="26"/>
  <c r="H406" i="26"/>
  <c r="H404" i="26"/>
  <c r="H402" i="26"/>
  <c r="H400" i="26"/>
  <c r="H398" i="26"/>
  <c r="H396" i="26"/>
  <c r="H395" i="26"/>
  <c r="H392" i="26"/>
  <c r="H390" i="26"/>
  <c r="H388" i="26"/>
  <c r="H386" i="26"/>
  <c r="H384" i="26"/>
  <c r="H383" i="26"/>
  <c r="H381" i="26"/>
  <c r="H380" i="26"/>
  <c r="H379" i="26"/>
  <c r="H378" i="26"/>
  <c r="H377" i="26"/>
  <c r="H376" i="26"/>
  <c r="H375" i="26"/>
  <c r="H374" i="26"/>
  <c r="H373" i="26"/>
  <c r="H371" i="26"/>
  <c r="H370" i="26"/>
  <c r="H367" i="26"/>
  <c r="H365" i="26"/>
  <c r="H363" i="26"/>
  <c r="H361" i="26"/>
  <c r="H359" i="26"/>
  <c r="H357" i="26"/>
  <c r="H355" i="26"/>
  <c r="H353" i="26"/>
  <c r="H351" i="26"/>
  <c r="H349" i="26"/>
  <c r="H347" i="26"/>
  <c r="H345" i="26"/>
  <c r="H343" i="26"/>
  <c r="H341" i="26"/>
  <c r="H339" i="26"/>
  <c r="H337" i="26"/>
  <c r="H335" i="26"/>
  <c r="H333" i="26"/>
  <c r="H331" i="26"/>
  <c r="H329" i="26"/>
  <c r="H327" i="26"/>
  <c r="H325" i="26"/>
  <c r="H323" i="26"/>
  <c r="H321" i="26"/>
  <c r="H319" i="26"/>
  <c r="H317" i="26"/>
  <c r="H315" i="26"/>
  <c r="H313" i="26"/>
  <c r="H311" i="26"/>
  <c r="H309" i="26"/>
  <c r="H307" i="26"/>
  <c r="H305" i="26"/>
  <c r="H303" i="26"/>
  <c r="H301" i="26"/>
  <c r="H299" i="26"/>
  <c r="H297" i="26"/>
  <c r="H295" i="26"/>
  <c r="H293" i="26"/>
  <c r="H291" i="26"/>
  <c r="H289" i="26"/>
  <c r="H287" i="26"/>
  <c r="H285" i="26"/>
  <c r="H276" i="26"/>
  <c r="H275" i="26"/>
  <c r="H274" i="26"/>
  <c r="H273" i="26"/>
  <c r="H272" i="26"/>
  <c r="H271" i="26"/>
  <c r="H269" i="26"/>
  <c r="H267" i="26"/>
  <c r="H266" i="26"/>
  <c r="H264" i="26"/>
  <c r="H262" i="26"/>
  <c r="H261" i="26"/>
  <c r="H259" i="26"/>
  <c r="H257" i="26"/>
  <c r="H255" i="26"/>
  <c r="H253" i="26"/>
  <c r="H251" i="26"/>
  <c r="H249" i="26"/>
  <c r="H247" i="26"/>
  <c r="H245" i="26"/>
  <c r="H243" i="26"/>
  <c r="H241" i="26"/>
  <c r="H239" i="26"/>
  <c r="H237" i="26"/>
  <c r="H235" i="26"/>
  <c r="H233" i="26"/>
  <c r="H231" i="26"/>
  <c r="H229" i="26"/>
  <c r="H227" i="26"/>
  <c r="H225" i="26"/>
  <c r="H223" i="26"/>
  <c r="H221" i="26"/>
  <c r="H219" i="26"/>
  <c r="H217" i="26"/>
  <c r="H215" i="26"/>
  <c r="H213" i="26"/>
  <c r="H211" i="26"/>
  <c r="H209" i="26"/>
  <c r="H208" i="26"/>
  <c r="H206" i="26"/>
  <c r="H204" i="26"/>
  <c r="H202" i="26"/>
  <c r="H200" i="26"/>
  <c r="H198" i="26"/>
  <c r="H196" i="26"/>
  <c r="H194" i="26"/>
  <c r="H192" i="26"/>
  <c r="H190" i="26"/>
  <c r="H188" i="26"/>
  <c r="H186" i="26"/>
  <c r="H184" i="26"/>
  <c r="H182" i="26"/>
  <c r="H180" i="26"/>
  <c r="H178" i="26"/>
  <c r="H176" i="26"/>
  <c r="H174" i="26"/>
  <c r="H172" i="26"/>
  <c r="H170" i="26"/>
  <c r="H168" i="26"/>
  <c r="H166" i="26"/>
  <c r="H164" i="26"/>
  <c r="H162" i="26"/>
  <c r="H160" i="26"/>
  <c r="H158" i="26"/>
  <c r="H156" i="26"/>
  <c r="H154" i="26"/>
  <c r="H152" i="26"/>
  <c r="H150" i="26"/>
  <c r="H148" i="26"/>
  <c r="H147" i="26"/>
  <c r="H145" i="26"/>
  <c r="H143" i="26"/>
  <c r="H141" i="26"/>
  <c r="H139" i="26"/>
  <c r="H137" i="26"/>
  <c r="H135" i="26"/>
  <c r="H133" i="26"/>
  <c r="H131" i="26"/>
  <c r="H130" i="26"/>
  <c r="H128" i="26"/>
  <c r="H126" i="26"/>
  <c r="H124" i="26"/>
  <c r="H112" i="26"/>
  <c r="H110" i="26"/>
  <c r="H108" i="26"/>
  <c r="H106" i="26"/>
  <c r="H104" i="26"/>
  <c r="H102" i="26"/>
  <c r="H100" i="26"/>
  <c r="H98" i="26"/>
  <c r="H96" i="26"/>
  <c r="H94" i="26"/>
  <c r="H92" i="26"/>
  <c r="H90" i="26"/>
  <c r="H88" i="26"/>
  <c r="H86" i="26"/>
  <c r="H84" i="26"/>
  <c r="H82" i="26"/>
  <c r="H80" i="26"/>
  <c r="H78" i="26"/>
  <c r="H76" i="26"/>
  <c r="H75" i="26"/>
  <c r="H73" i="26"/>
  <c r="H71" i="26"/>
  <c r="H69" i="26"/>
  <c r="H67" i="26"/>
  <c r="H65" i="26"/>
  <c r="H63" i="26"/>
  <c r="H61" i="26"/>
  <c r="H59" i="26"/>
  <c r="H57" i="26"/>
  <c r="H54" i="26"/>
  <c r="H52" i="26"/>
  <c r="H50" i="26"/>
  <c r="H48" i="26"/>
  <c r="H46" i="26"/>
  <c r="H44" i="26"/>
  <c r="H42" i="26"/>
  <c r="H40" i="26"/>
  <c r="H38" i="26"/>
  <c r="H36" i="26"/>
  <c r="H34" i="26"/>
  <c r="H32" i="26"/>
  <c r="H30" i="26"/>
  <c r="H28" i="26"/>
  <c r="H26" i="26"/>
  <c r="H24" i="26"/>
  <c r="H22" i="26"/>
  <c r="H20" i="26"/>
  <c r="H17" i="26"/>
  <c r="H15" i="26"/>
  <c r="H13" i="26"/>
  <c r="H11" i="26"/>
  <c r="H9" i="26"/>
  <c r="D17" i="11"/>
  <c r="D18" i="11" s="1"/>
  <c r="D16" i="13" s="1"/>
  <c r="D15" i="11"/>
  <c r="J17" i="4"/>
  <c r="K15" i="2"/>
  <c r="C23" i="11"/>
  <c r="C24" i="11" s="1"/>
  <c r="C17" i="13" s="1"/>
  <c r="D23" i="11"/>
  <c r="D24" i="11" s="1"/>
  <c r="D17" i="13" s="1"/>
  <c r="H23" i="11"/>
  <c r="I23" i="11"/>
  <c r="J23" i="11"/>
  <c r="K23" i="11"/>
  <c r="H40" i="28" s="1"/>
  <c r="H42" i="28" s="1"/>
  <c r="H58" i="28" s="1"/>
  <c r="H59" i="28" s="1"/>
  <c r="I40" i="28"/>
  <c r="I42" i="28" s="1"/>
  <c r="I58" i="28" s="1"/>
  <c r="I59" i="28" s="1"/>
  <c r="D64" i="11"/>
  <c r="D71" i="11" s="1"/>
  <c r="E64" i="11"/>
  <c r="E71" i="11" s="1"/>
  <c r="F64" i="11"/>
  <c r="F71" i="11" s="1"/>
  <c r="G64" i="11"/>
  <c r="G71" i="11" s="1"/>
  <c r="H64" i="11"/>
  <c r="H71" i="11" s="1"/>
  <c r="I64" i="11"/>
  <c r="I71" i="11" s="1"/>
  <c r="J64" i="11"/>
  <c r="J71" i="11" s="1"/>
  <c r="K64" i="11"/>
  <c r="L64" i="11"/>
  <c r="L71" i="11" s="1"/>
  <c r="C64" i="11"/>
  <c r="C71" i="11" s="1"/>
  <c r="D73" i="11"/>
  <c r="D44" i="13"/>
  <c r="F73" i="11"/>
  <c r="F44" i="13"/>
  <c r="E45" i="13"/>
  <c r="E58" i="11"/>
  <c r="C32" i="11"/>
  <c r="D32" i="11"/>
  <c r="H32" i="11"/>
  <c r="I32" i="11"/>
  <c r="I12" i="13" s="1"/>
  <c r="J32" i="11"/>
  <c r="M12" i="11"/>
  <c r="M30" i="11"/>
  <c r="C38" i="11"/>
  <c r="C36" i="11"/>
  <c r="C33" i="11"/>
  <c r="C19" i="13" s="1"/>
  <c r="D38" i="11"/>
  <c r="D36" i="11"/>
  <c r="D33" i="11"/>
  <c r="D19" i="13" s="1"/>
  <c r="H38" i="11"/>
  <c r="H39" i="11" s="1"/>
  <c r="H20" i="13" s="1"/>
  <c r="H36" i="11"/>
  <c r="H33" i="11"/>
  <c r="H19" i="13" s="1"/>
  <c r="G39" i="10"/>
  <c r="G49" i="10" s="1"/>
  <c r="G51" i="10" s="1"/>
  <c r="I38" i="11"/>
  <c r="I39" i="11" s="1"/>
  <c r="I20" i="13" s="1"/>
  <c r="I36" i="11"/>
  <c r="I33" i="11"/>
  <c r="I19" i="13" s="1"/>
  <c r="J38" i="11"/>
  <c r="J36" i="11"/>
  <c r="J33" i="11"/>
  <c r="J19" i="13" s="1"/>
  <c r="K24" i="11"/>
  <c r="K17" i="13" s="1"/>
  <c r="K32" i="11"/>
  <c r="L24" i="11"/>
  <c r="L17" i="13" s="1"/>
  <c r="L32" i="11"/>
  <c r="M24" i="11"/>
  <c r="M32" i="11"/>
  <c r="K33" i="13"/>
  <c r="K39" i="13" s="1"/>
  <c r="C28" i="13"/>
  <c r="E27" i="2"/>
  <c r="E29" i="2" s="1"/>
  <c r="H45" i="2" s="1"/>
  <c r="M27" i="11"/>
  <c r="L32" i="13"/>
  <c r="L38" i="13" s="1"/>
  <c r="D12" i="13"/>
  <c r="C33" i="13"/>
  <c r="C39" i="13" s="1"/>
  <c r="C32" i="13"/>
  <c r="C38" i="13" s="1"/>
  <c r="D33" i="13"/>
  <c r="D39" i="13" s="1"/>
  <c r="D32" i="13"/>
  <c r="D38" i="13" s="1"/>
  <c r="E33" i="13"/>
  <c r="E39" i="13" s="1"/>
  <c r="E32" i="13"/>
  <c r="E38" i="13" s="1"/>
  <c r="F32" i="13"/>
  <c r="F38" i="13" s="1"/>
  <c r="F33" i="13"/>
  <c r="F39" i="13" s="1"/>
  <c r="G33" i="13"/>
  <c r="G39" i="13" s="1"/>
  <c r="G32" i="13"/>
  <c r="G38" i="13" s="1"/>
  <c r="H32" i="13"/>
  <c r="H38" i="13" s="1"/>
  <c r="H33" i="13"/>
  <c r="H39" i="13" s="1"/>
  <c r="I32" i="13"/>
  <c r="I38" i="13" s="1"/>
  <c r="I33" i="13"/>
  <c r="I39" i="13" s="1"/>
  <c r="J32" i="13"/>
  <c r="J38" i="13" s="1"/>
  <c r="J33" i="13"/>
  <c r="J39" i="13" s="1"/>
  <c r="O10" i="13"/>
  <c r="N10" i="13"/>
  <c r="N22" i="13"/>
  <c r="O22" i="13"/>
  <c r="C30" i="13"/>
  <c r="C26" i="13"/>
  <c r="C18" i="13"/>
  <c r="C24" i="13" s="1"/>
  <c r="D26" i="13"/>
  <c r="D11" i="13"/>
  <c r="D30" i="13"/>
  <c r="D18" i="13"/>
  <c r="D24" i="13" s="1"/>
  <c r="H26" i="13"/>
  <c r="H30" i="13"/>
  <c r="H18" i="13"/>
  <c r="H24" i="13" s="1"/>
  <c r="I11" i="13"/>
  <c r="I26" i="13"/>
  <c r="I30" i="13"/>
  <c r="I18" i="13"/>
  <c r="I24" i="13" s="1"/>
  <c r="J11" i="13"/>
  <c r="J26" i="13"/>
  <c r="J30" i="13"/>
  <c r="J18" i="13"/>
  <c r="J24" i="13" s="1"/>
  <c r="K11" i="13"/>
  <c r="K26" i="13"/>
  <c r="K30" i="13"/>
  <c r="K18" i="13"/>
  <c r="K24" i="13" s="1"/>
  <c r="L11" i="13"/>
  <c r="L26" i="13"/>
  <c r="L18" i="13"/>
  <c r="L24" i="13" s="1"/>
  <c r="L30" i="13"/>
  <c r="O23" i="13"/>
  <c r="N23" i="13"/>
  <c r="H39" i="10"/>
  <c r="H49" i="10" s="1"/>
  <c r="H51" i="10" s="1"/>
  <c r="J12" i="13"/>
  <c r="I39" i="10"/>
  <c r="I49" i="10" s="1"/>
  <c r="I51" i="10" s="1"/>
  <c r="D13" i="13"/>
  <c r="D28" i="13"/>
  <c r="H43" i="11"/>
  <c r="H47" i="11" s="1"/>
  <c r="H28" i="13"/>
  <c r="I13" i="13"/>
  <c r="I43" i="11"/>
  <c r="I47" i="11" s="1"/>
  <c r="I28" i="13"/>
  <c r="J43" i="11"/>
  <c r="J47" i="11" s="1"/>
  <c r="J13" i="13"/>
  <c r="D14" i="13"/>
  <c r="H14" i="13"/>
  <c r="I14" i="13"/>
  <c r="J14" i="13"/>
  <c r="K14" i="13"/>
  <c r="L14" i="13"/>
  <c r="G44" i="13"/>
  <c r="G73" i="11"/>
  <c r="Q37" i="21"/>
  <c r="P37" i="21"/>
  <c r="O37" i="21"/>
  <c r="H13" i="21"/>
  <c r="Q13" i="21"/>
  <c r="Q35" i="21"/>
  <c r="P35" i="21"/>
  <c r="O35" i="21"/>
  <c r="H22" i="21"/>
  <c r="Q22" i="21"/>
  <c r="H21" i="21"/>
  <c r="Q21" i="21"/>
  <c r="H20" i="21"/>
  <c r="Q20" i="21"/>
  <c r="H19" i="21"/>
  <c r="Q19" i="21"/>
  <c r="H18" i="21"/>
  <c r="Q18" i="21"/>
  <c r="H17" i="21"/>
  <c r="Q17" i="21"/>
  <c r="H16" i="21"/>
  <c r="Q16" i="21"/>
  <c r="H15" i="21"/>
  <c r="Q15" i="21"/>
  <c r="H14" i="21"/>
  <c r="Q14" i="21"/>
  <c r="E11" i="19"/>
  <c r="J36" i="10"/>
  <c r="I36" i="10"/>
  <c r="H36" i="10"/>
  <c r="G36" i="10"/>
  <c r="K14" i="10"/>
  <c r="K22" i="10" s="1"/>
  <c r="J14" i="10"/>
  <c r="J22" i="10" s="1"/>
  <c r="K47" i="10" s="1"/>
  <c r="K53" i="10" s="1"/>
  <c r="H14" i="10"/>
  <c r="H22" i="10" s="1"/>
  <c r="G14" i="10"/>
  <c r="G22" i="10" s="1"/>
  <c r="K36" i="10"/>
  <c r="K38" i="10"/>
  <c r="J38" i="10"/>
  <c r="H38" i="10"/>
  <c r="D9" i="14"/>
  <c r="D14" i="14"/>
  <c r="D12" i="14"/>
  <c r="D11" i="14"/>
  <c r="D17" i="14"/>
  <c r="D18" i="14"/>
  <c r="E18" i="14" s="1"/>
  <c r="D16" i="14"/>
  <c r="D15" i="14"/>
  <c r="E15" i="14" s="1"/>
  <c r="D13" i="14"/>
  <c r="E13" i="14" s="1"/>
  <c r="D10" i="14"/>
  <c r="C34" i="13"/>
  <c r="C36" i="13"/>
  <c r="C43" i="13"/>
  <c r="D35" i="13"/>
  <c r="D34" i="13"/>
  <c r="D40" i="13" s="1"/>
  <c r="D43" i="13"/>
  <c r="D36" i="13"/>
  <c r="E35" i="13"/>
  <c r="E34" i="13"/>
  <c r="E40" i="13" s="1"/>
  <c r="E43" i="13"/>
  <c r="E36" i="13"/>
  <c r="F34" i="13"/>
  <c r="F40" i="13" s="1"/>
  <c r="F43" i="13"/>
  <c r="F36" i="13"/>
  <c r="F35" i="13"/>
  <c r="G36" i="13"/>
  <c r="G34" i="13"/>
  <c r="G40" i="13" s="1"/>
  <c r="G43" i="13"/>
  <c r="G35" i="13"/>
  <c r="H36" i="13"/>
  <c r="H34" i="13"/>
  <c r="H40" i="13" s="1"/>
  <c r="H43" i="13"/>
  <c r="H35" i="13"/>
  <c r="I35" i="13"/>
  <c r="I36" i="13"/>
  <c r="I34" i="13"/>
  <c r="I40" i="13" s="1"/>
  <c r="I43" i="13"/>
  <c r="J35" i="13"/>
  <c r="J36" i="13"/>
  <c r="J43" i="13"/>
  <c r="J34" i="13"/>
  <c r="J40" i="13" s="1"/>
  <c r="K36" i="13"/>
  <c r="K43" i="13"/>
  <c r="K34" i="13"/>
  <c r="K40" i="13" s="1"/>
  <c r="K35" i="13"/>
  <c r="L43" i="13"/>
  <c r="L36" i="13"/>
  <c r="L33" i="13"/>
  <c r="L34" i="13"/>
  <c r="L40" i="13" s="1"/>
  <c r="L35" i="13"/>
  <c r="O45" i="13"/>
  <c r="N45" i="13"/>
  <c r="K32" i="13"/>
  <c r="K69" i="11"/>
  <c r="K71" i="11" s="1"/>
  <c r="E73" i="11"/>
  <c r="E44" i="13"/>
  <c r="D23" i="14"/>
  <c r="D21" i="14"/>
  <c r="D20" i="14"/>
  <c r="E10" i="14"/>
  <c r="D22" i="14"/>
  <c r="D19" i="14"/>
  <c r="E19" i="14" s="1"/>
  <c r="E15" i="11"/>
  <c r="E17" i="11"/>
  <c r="F15" i="11"/>
  <c r="F17" i="11"/>
  <c r="G15" i="11"/>
  <c r="G17" i="11"/>
  <c r="M46" i="11"/>
  <c r="I14" i="10"/>
  <c r="I22" i="10" s="1"/>
  <c r="J19" i="2"/>
  <c r="I19" i="2"/>
  <c r="J18" i="2"/>
  <c r="I18" i="2"/>
  <c r="L18" i="2" s="1"/>
  <c r="J17" i="2"/>
  <c r="I17" i="2"/>
  <c r="J16" i="2"/>
  <c r="I16" i="2"/>
  <c r="C36" i="2"/>
  <c r="J15" i="2"/>
  <c r="I15" i="2"/>
  <c r="C38" i="2"/>
  <c r="D37" i="2" s="1"/>
  <c r="H37" i="2"/>
  <c r="L19" i="2"/>
  <c r="L16" i="2"/>
  <c r="I22" i="2"/>
  <c r="M11" i="4"/>
  <c r="M12" i="4"/>
  <c r="H24" i="11" l="1"/>
  <c r="H17" i="13" s="1"/>
  <c r="E40" i="28"/>
  <c r="E42" i="28" s="1"/>
  <c r="E58" i="28" s="1"/>
  <c r="E59" i="28" s="1"/>
  <c r="I24" i="11"/>
  <c r="I17" i="13" s="1"/>
  <c r="F40" i="28"/>
  <c r="F42" i="28" s="1"/>
  <c r="F58" i="28" s="1"/>
  <c r="F59" i="28" s="1"/>
  <c r="J24" i="11"/>
  <c r="J17" i="13" s="1"/>
  <c r="G40" i="28"/>
  <c r="G42" i="28" s="1"/>
  <c r="G58" i="28" s="1"/>
  <c r="G59" i="28" s="1"/>
  <c r="H33" i="28"/>
  <c r="H39" i="28" s="1"/>
  <c r="H45" i="28" s="1"/>
  <c r="H51" i="28"/>
  <c r="H57" i="28" s="1"/>
  <c r="G33" i="28"/>
  <c r="G39" i="28" s="1"/>
  <c r="G45" i="28" s="1"/>
  <c r="G51" i="28"/>
  <c r="G57" i="28" s="1"/>
  <c r="F33" i="28"/>
  <c r="F39" i="28" s="1"/>
  <c r="F45" i="28" s="1"/>
  <c r="F51" i="28"/>
  <c r="F57" i="28" s="1"/>
  <c r="E33" i="28"/>
  <c r="E39" i="28" s="1"/>
  <c r="E45" i="28" s="1"/>
  <c r="E51" i="28"/>
  <c r="E57" i="28" s="1"/>
  <c r="D33" i="28"/>
  <c r="D39" i="28" s="1"/>
  <c r="D45" i="28" s="1"/>
  <c r="D51" i="28"/>
  <c r="D57" i="28" s="1"/>
  <c r="C33" i="28"/>
  <c r="C39" i="28" s="1"/>
  <c r="C45" i="28" s="1"/>
  <c r="C51" i="28"/>
  <c r="C57" i="28" s="1"/>
  <c r="I33" i="28"/>
  <c r="I39" i="28" s="1"/>
  <c r="I45" i="28" s="1"/>
  <c r="I51" i="28"/>
  <c r="I57" i="28" s="1"/>
  <c r="H89" i="27"/>
  <c r="H91" i="27" s="1"/>
  <c r="H97" i="27" s="1"/>
  <c r="H83" i="27"/>
  <c r="H85" i="27" s="1"/>
  <c r="G89" i="27"/>
  <c r="G91" i="27" s="1"/>
  <c r="G97" i="27" s="1"/>
  <c r="G83" i="27"/>
  <c r="G85" i="27" s="1"/>
  <c r="F89" i="27"/>
  <c r="F91" i="27" s="1"/>
  <c r="F97" i="27" s="1"/>
  <c r="F83" i="27"/>
  <c r="F85" i="27" s="1"/>
  <c r="E89" i="27"/>
  <c r="E91" i="27" s="1"/>
  <c r="E97" i="27" s="1"/>
  <c r="E83" i="27"/>
  <c r="E85" i="27" s="1"/>
  <c r="D89" i="27"/>
  <c r="D91" i="27" s="1"/>
  <c r="D97" i="27" s="1"/>
  <c r="D83" i="27"/>
  <c r="D85" i="27" s="1"/>
  <c r="C89" i="27"/>
  <c r="C91" i="27" s="1"/>
  <c r="C97" i="27" s="1"/>
  <c r="C83" i="27"/>
  <c r="C85" i="27" s="1"/>
  <c r="I89" i="27"/>
  <c r="I91" i="27" s="1"/>
  <c r="I97" i="27" s="1"/>
  <c r="I83" i="27"/>
  <c r="I85" i="27" s="1"/>
  <c r="H68" i="27"/>
  <c r="H79" i="27" s="1"/>
  <c r="G68" i="27"/>
  <c r="G79" i="27" s="1"/>
  <c r="F68" i="27"/>
  <c r="F79" i="27" s="1"/>
  <c r="E68" i="27"/>
  <c r="E79" i="27" s="1"/>
  <c r="D68" i="27"/>
  <c r="D79" i="27" s="1"/>
  <c r="C68" i="27"/>
  <c r="C79" i="27" s="1"/>
  <c r="I68" i="27"/>
  <c r="I79" i="27" s="1"/>
  <c r="K27" i="26"/>
  <c r="L27" i="26" s="1"/>
  <c r="M27" i="26" s="1"/>
  <c r="K25" i="26"/>
  <c r="L25" i="26" s="1"/>
  <c r="M25" i="26" s="1"/>
  <c r="M17" i="26"/>
  <c r="M20" i="26"/>
  <c r="K24" i="26"/>
  <c r="L24" i="26" s="1"/>
  <c r="M24" i="26" s="1"/>
  <c r="K26" i="26"/>
  <c r="L26" i="26" s="1"/>
  <c r="M26" i="26" s="1"/>
  <c r="M19" i="26"/>
  <c r="M18" i="26"/>
  <c r="H44" i="13"/>
  <c r="H73" i="11"/>
  <c r="I44" i="13"/>
  <c r="I73" i="11"/>
  <c r="J44" i="13"/>
  <c r="J73" i="11"/>
  <c r="L44" i="13"/>
  <c r="L73" i="11"/>
  <c r="G38" i="10"/>
  <c r="G41" i="10" s="1"/>
  <c r="H47" i="10"/>
  <c r="H53" i="10" s="1"/>
  <c r="H54" i="10" s="1"/>
  <c r="H62" i="10" s="1"/>
  <c r="L15" i="2"/>
  <c r="K21" i="2"/>
  <c r="K22" i="2"/>
  <c r="J21" i="2"/>
  <c r="J22" i="2"/>
  <c r="E36" i="2" s="1"/>
  <c r="H46" i="2" s="1"/>
  <c r="D36" i="2"/>
  <c r="E22" i="14"/>
  <c r="O14" i="13"/>
  <c r="N14" i="13"/>
  <c r="J39" i="10"/>
  <c r="K12" i="13"/>
  <c r="L12" i="13"/>
  <c r="K39" i="10"/>
  <c r="J39" i="11"/>
  <c r="J20" i="13" s="1"/>
  <c r="J28" i="13"/>
  <c r="C43" i="11"/>
  <c r="C47" i="11" s="1"/>
  <c r="C49" i="11" s="1"/>
  <c r="C27" i="13" s="1"/>
  <c r="C29" i="13" s="1"/>
  <c r="C39" i="11"/>
  <c r="C20" i="13" s="1"/>
  <c r="D43" i="11"/>
  <c r="D39" i="11"/>
  <c r="D20" i="13" s="1"/>
  <c r="K38" i="11"/>
  <c r="K36" i="11"/>
  <c r="K33" i="11"/>
  <c r="K19" i="13" s="1"/>
  <c r="L36" i="11"/>
  <c r="L33" i="11"/>
  <c r="L19" i="13" s="1"/>
  <c r="M36" i="11"/>
  <c r="M33" i="11"/>
  <c r="E41" i="13"/>
  <c r="G41" i="13"/>
  <c r="I41" i="13"/>
  <c r="J41" i="13"/>
  <c r="D41" i="13"/>
  <c r="F41" i="13"/>
  <c r="H41" i="13"/>
  <c r="I49" i="11"/>
  <c r="I27" i="13" s="1"/>
  <c r="I29" i="13" s="1"/>
  <c r="I44" i="11"/>
  <c r="J49" i="11"/>
  <c r="J27" i="13" s="1"/>
  <c r="J44" i="11"/>
  <c r="H49" i="11"/>
  <c r="H27" i="13" s="1"/>
  <c r="H29" i="13" s="1"/>
  <c r="H41" i="10"/>
  <c r="H63" i="10" s="1"/>
  <c r="L39" i="13"/>
  <c r="O33" i="13"/>
  <c r="N33" i="13"/>
  <c r="O13" i="21"/>
  <c r="P13" i="21"/>
  <c r="Q25" i="21"/>
  <c r="Q26" i="21"/>
  <c r="Q27" i="21"/>
  <c r="Q28" i="21"/>
  <c r="Q36" i="21" s="1"/>
  <c r="Q29" i="21"/>
  <c r="Q30" i="21"/>
  <c r="P22" i="21"/>
  <c r="O22" i="21"/>
  <c r="O21" i="21"/>
  <c r="P21" i="21"/>
  <c r="O20" i="21"/>
  <c r="P20" i="21"/>
  <c r="O19" i="21"/>
  <c r="P19" i="21"/>
  <c r="O18" i="21"/>
  <c r="P18" i="21"/>
  <c r="P17" i="21"/>
  <c r="O17" i="21"/>
  <c r="O16" i="21"/>
  <c r="P16" i="21"/>
  <c r="O15" i="21"/>
  <c r="P15" i="21"/>
  <c r="O14" i="21"/>
  <c r="P14" i="21"/>
  <c r="I38" i="10"/>
  <c r="I41" i="10" s="1"/>
  <c r="I63" i="10" s="1"/>
  <c r="J47" i="10"/>
  <c r="J53" i="10" s="1"/>
  <c r="I47" i="10"/>
  <c r="I53" i="10" s="1"/>
  <c r="I54" i="10" s="1"/>
  <c r="I62" i="10" s="1"/>
  <c r="I64" i="10" s="1"/>
  <c r="C44" i="13"/>
  <c r="C73" i="11"/>
  <c r="O35" i="13"/>
  <c r="N35" i="13"/>
  <c r="C40" i="13"/>
  <c r="O34" i="13"/>
  <c r="N34" i="13"/>
  <c r="O36" i="13"/>
  <c r="N36" i="13"/>
  <c r="O43" i="13"/>
  <c r="N43" i="13"/>
  <c r="K38" i="13"/>
  <c r="O32" i="13"/>
  <c r="N32" i="13"/>
  <c r="K44" i="13"/>
  <c r="K73" i="11"/>
  <c r="E14" i="14"/>
  <c r="E12" i="14"/>
  <c r="E11" i="14"/>
  <c r="E17" i="14"/>
  <c r="E16" i="14"/>
  <c r="E20" i="14"/>
  <c r="E23" i="14"/>
  <c r="E21" i="14"/>
  <c r="E23" i="11"/>
  <c r="E18" i="11"/>
  <c r="E16" i="13" s="1"/>
  <c r="F18" i="11"/>
  <c r="F16" i="13" s="1"/>
  <c r="F23" i="11"/>
  <c r="C40" i="28" s="1"/>
  <c r="C42" i="28" s="1"/>
  <c r="C58" i="28" s="1"/>
  <c r="C59" i="28" s="1"/>
  <c r="G18" i="11"/>
  <c r="G16" i="13" s="1"/>
  <c r="G23" i="11"/>
  <c r="D40" i="28" s="1"/>
  <c r="D42" i="28" s="1"/>
  <c r="D58" i="28" s="1"/>
  <c r="D59" i="28" s="1"/>
  <c r="L17" i="2"/>
  <c r="I21" i="2"/>
  <c r="J49" i="10" l="1"/>
  <c r="J51" i="10" s="1"/>
  <c r="J54" i="10" s="1"/>
  <c r="J41" i="10"/>
  <c r="J63" i="10" s="1"/>
  <c r="K49" i="10"/>
  <c r="K51" i="10" s="1"/>
  <c r="K54" i="10" s="1"/>
  <c r="K62" i="10" s="1"/>
  <c r="K41" i="10"/>
  <c r="K63" i="10" s="1"/>
  <c r="H64" i="10"/>
  <c r="D40" i="2"/>
  <c r="D38" i="2"/>
  <c r="E38" i="2" s="1"/>
  <c r="E37" i="2" s="1"/>
  <c r="J29" i="13"/>
  <c r="D44" i="11"/>
  <c r="D47" i="11"/>
  <c r="D49" i="11" s="1"/>
  <c r="D27" i="13" s="1"/>
  <c r="D29" i="13" s="1"/>
  <c r="K28" i="13"/>
  <c r="K43" i="11"/>
  <c r="K13" i="13"/>
  <c r="K39" i="11"/>
  <c r="K20" i="13" s="1"/>
  <c r="L28" i="13"/>
  <c r="L43" i="11"/>
  <c r="L13" i="13"/>
  <c r="L39" i="11"/>
  <c r="L20" i="13" s="1"/>
  <c r="M43" i="11"/>
  <c r="M39" i="11"/>
  <c r="L41" i="13"/>
  <c r="O39" i="13"/>
  <c r="N39" i="13"/>
  <c r="O25" i="21"/>
  <c r="O26" i="21"/>
  <c r="O27" i="21"/>
  <c r="O29" i="21"/>
  <c r="O30" i="21"/>
  <c r="O28" i="21"/>
  <c r="O34" i="21" s="1"/>
  <c r="O36" i="21" s="1"/>
  <c r="O38" i="21" s="1"/>
  <c r="O41" i="21" s="1"/>
  <c r="P25" i="21"/>
  <c r="P26" i="21"/>
  <c r="P27" i="21"/>
  <c r="P28" i="21"/>
  <c r="P34" i="21" s="1"/>
  <c r="P36" i="21" s="1"/>
  <c r="P38" i="21" s="1"/>
  <c r="P41" i="21" s="1"/>
  <c r="P29" i="21"/>
  <c r="P30" i="21"/>
  <c r="Q34" i="21"/>
  <c r="Q38" i="21"/>
  <c r="Q41" i="21" s="1"/>
  <c r="O44" i="13"/>
  <c r="N44" i="13"/>
  <c r="C41" i="13"/>
  <c r="O40" i="13"/>
  <c r="N40" i="13"/>
  <c r="N38" i="13"/>
  <c r="O38" i="13"/>
  <c r="K41" i="13"/>
  <c r="E11" i="13"/>
  <c r="E18" i="13"/>
  <c r="E26" i="13"/>
  <c r="E30" i="13"/>
  <c r="I9" i="14" a="1"/>
  <c r="O16" i="13"/>
  <c r="N16" i="13"/>
  <c r="F11" i="13"/>
  <c r="F18" i="13"/>
  <c r="F24" i="13" s="1"/>
  <c r="F26" i="13"/>
  <c r="F30" i="13"/>
  <c r="G11" i="13"/>
  <c r="H11" i="13"/>
  <c r="G18" i="13"/>
  <c r="G24" i="13" s="1"/>
  <c r="G26" i="13"/>
  <c r="G30" i="13"/>
  <c r="E32" i="11"/>
  <c r="E12" i="13" s="1"/>
  <c r="E24" i="11"/>
  <c r="E17" i="13" s="1"/>
  <c r="F32" i="11"/>
  <c r="F24" i="11"/>
  <c r="F17" i="13" s="1"/>
  <c r="G32" i="11"/>
  <c r="G24" i="11"/>
  <c r="G17" i="13" s="1"/>
  <c r="L22" i="2"/>
  <c r="H35" i="2" s="1"/>
  <c r="L21" i="2"/>
  <c r="K64" i="10" l="1"/>
  <c r="J62" i="10"/>
  <c r="J64" i="10" s="1"/>
  <c r="E12" i="19"/>
  <c r="K56" i="10"/>
  <c r="E40" i="2"/>
  <c r="H36" i="2" s="1"/>
  <c r="H38" i="2" s="1"/>
  <c r="H29" i="2" s="1"/>
  <c r="H30" i="2" s="1"/>
  <c r="H42" i="2" s="1"/>
  <c r="H43" i="2"/>
  <c r="K44" i="11"/>
  <c r="K49" i="11"/>
  <c r="K27" i="13" s="1"/>
  <c r="K29" i="13" s="1"/>
  <c r="K47" i="11"/>
  <c r="L44" i="11"/>
  <c r="L47" i="11"/>
  <c r="L49" i="11" s="1"/>
  <c r="L27" i="13" s="1"/>
  <c r="L29" i="13" s="1"/>
  <c r="M44" i="11"/>
  <c r="M49" i="11"/>
  <c r="M47" i="11"/>
  <c r="F12" i="13"/>
  <c r="N41" i="13"/>
  <c r="O41" i="13"/>
  <c r="O11" i="13"/>
  <c r="N11" i="13"/>
  <c r="E24" i="13"/>
  <c r="O18" i="13"/>
  <c r="N18" i="13"/>
  <c r="O26" i="13"/>
  <c r="N26" i="13"/>
  <c r="O30" i="13"/>
  <c r="N30" i="13"/>
  <c r="I9" i="14"/>
  <c r="I10" i="14"/>
  <c r="I11" i="14"/>
  <c r="I12" i="14"/>
  <c r="J12" i="14" s="1"/>
  <c r="I13" i="14"/>
  <c r="I14" i="14"/>
  <c r="I15" i="14"/>
  <c r="I16" i="14"/>
  <c r="I17" i="14"/>
  <c r="J17" i="14" s="1"/>
  <c r="I18" i="14"/>
  <c r="O17" i="13"/>
  <c r="N17" i="13"/>
  <c r="G12" i="13"/>
  <c r="H12" i="13"/>
  <c r="E33" i="11"/>
  <c r="E19" i="13" s="1"/>
  <c r="E38" i="11"/>
  <c r="E36" i="11"/>
  <c r="F36" i="11"/>
  <c r="F33" i="11"/>
  <c r="F19" i="13" s="1"/>
  <c r="F38" i="11"/>
  <c r="G38" i="11"/>
  <c r="G36" i="11"/>
  <c r="G33" i="11"/>
  <c r="G19" i="13" s="1"/>
  <c r="J10" i="14" l="1"/>
  <c r="K67" i="10"/>
  <c r="E19" i="19" s="1"/>
  <c r="K66" i="10"/>
  <c r="F12" i="19"/>
  <c r="G12" i="19" s="1"/>
  <c r="H12" i="19" s="1"/>
  <c r="I12" i="19" s="1"/>
  <c r="E13" i="19"/>
  <c r="H48" i="2"/>
  <c r="E21" i="19" s="1"/>
  <c r="J11" i="14"/>
  <c r="J14" i="14"/>
  <c r="O12" i="13"/>
  <c r="J15" i="14"/>
  <c r="J18" i="14"/>
  <c r="J16" i="14"/>
  <c r="N12" i="13"/>
  <c r="O24" i="13"/>
  <c r="N24" i="13"/>
  <c r="I23" i="14"/>
  <c r="I21" i="14"/>
  <c r="I22" i="14"/>
  <c r="I20" i="14"/>
  <c r="I19" i="14"/>
  <c r="J19" i="14" s="1"/>
  <c r="J13" i="14"/>
  <c r="O19" i="13"/>
  <c r="N19" i="13"/>
  <c r="E28" i="13"/>
  <c r="E13" i="13"/>
  <c r="F13" i="13"/>
  <c r="F28" i="13"/>
  <c r="G13" i="13"/>
  <c r="H13" i="13"/>
  <c r="G28" i="13"/>
  <c r="E43" i="11"/>
  <c r="E39" i="11"/>
  <c r="E20" i="13" s="1"/>
  <c r="F39" i="11"/>
  <c r="F20" i="13" s="1"/>
  <c r="F43" i="11"/>
  <c r="G39" i="11"/>
  <c r="G20" i="13" s="1"/>
  <c r="G43" i="11"/>
  <c r="F15" i="19" l="1"/>
  <c r="J15" i="19"/>
  <c r="H15" i="19"/>
  <c r="I15" i="19"/>
  <c r="F11" i="19"/>
  <c r="G11" i="19" s="1"/>
  <c r="H11" i="19" s="1"/>
  <c r="I11" i="19" s="1"/>
  <c r="J11" i="19" s="1"/>
  <c r="F9" i="19"/>
  <c r="G9" i="19" s="1"/>
  <c r="H9" i="19" s="1"/>
  <c r="I9" i="19" s="1"/>
  <c r="J9" i="19" s="1"/>
  <c r="F13" i="19"/>
  <c r="G15" i="19"/>
  <c r="D28" i="19"/>
  <c r="J22" i="14"/>
  <c r="J23" i="14"/>
  <c r="N9" i="14" a="1"/>
  <c r="O28" i="13"/>
  <c r="N28" i="13"/>
  <c r="O13" i="13"/>
  <c r="N13" i="13"/>
  <c r="J21" i="14"/>
  <c r="J20" i="14"/>
  <c r="N20" i="13"/>
  <c r="O20" i="13"/>
  <c r="E47" i="11"/>
  <c r="E44" i="11"/>
  <c r="E49" i="11"/>
  <c r="E27" i="13" s="1"/>
  <c r="F47" i="11"/>
  <c r="F49" i="11" s="1"/>
  <c r="F27" i="13" s="1"/>
  <c r="F29" i="13" s="1"/>
  <c r="F44" i="11"/>
  <c r="G47" i="11"/>
  <c r="G44" i="11"/>
  <c r="H44" i="11"/>
  <c r="G49" i="11"/>
  <c r="G27" i="13" s="1"/>
  <c r="G29" i="13" s="1"/>
  <c r="G13" i="19" l="1"/>
  <c r="F17" i="19"/>
  <c r="N9" i="14"/>
  <c r="N10" i="14"/>
  <c r="N11" i="14"/>
  <c r="N12" i="14"/>
  <c r="N13" i="14"/>
  <c r="N14" i="14"/>
  <c r="N15" i="14"/>
  <c r="N16" i="14"/>
  <c r="N17" i="14"/>
  <c r="N18" i="14"/>
  <c r="O27" i="13"/>
  <c r="E29" i="13"/>
  <c r="N27" i="13"/>
  <c r="O16" i="14" l="1"/>
  <c r="H13" i="19"/>
  <c r="G17" i="19"/>
  <c r="O10" i="14"/>
  <c r="O14" i="14"/>
  <c r="O12" i="14"/>
  <c r="O15" i="14"/>
  <c r="O17" i="14"/>
  <c r="O18" i="14"/>
  <c r="O13" i="14"/>
  <c r="O11" i="14"/>
  <c r="N23" i="14"/>
  <c r="N22" i="14"/>
  <c r="N21" i="14"/>
  <c r="N20" i="14"/>
  <c r="N19" i="14"/>
  <c r="N29" i="13"/>
  <c r="O29" i="13"/>
  <c r="I13" i="19" l="1"/>
  <c r="H17" i="19"/>
  <c r="O22" i="14"/>
  <c r="O23" i="14"/>
  <c r="O21" i="14"/>
  <c r="O19" i="14"/>
  <c r="O20" i="14"/>
  <c r="J13" i="19" l="1"/>
  <c r="I17" i="19"/>
  <c r="D27" i="19" l="1"/>
  <c r="D31" i="19" s="1"/>
  <c r="D36" i="19" s="1"/>
  <c r="J17" i="19"/>
  <c r="D35" i="19" s="1"/>
  <c r="D37" i="19" l="1"/>
  <c r="D41" i="19" s="1"/>
  <c r="D43" i="19" s="1"/>
  <c r="F26" i="19" l="1"/>
  <c r="D46" i="19"/>
</calcChain>
</file>

<file path=xl/sharedStrings.xml><?xml version="1.0" encoding="utf-8"?>
<sst xmlns="http://schemas.openxmlformats.org/spreadsheetml/2006/main" count="734" uniqueCount="456">
  <si>
    <t>Date</t>
  </si>
  <si>
    <t>Closing Price</t>
  </si>
  <si>
    <t>Weekly Return</t>
  </si>
  <si>
    <t>Hindustan Unilever Limited Weekly Returns</t>
  </si>
  <si>
    <t>Nifty  Weekly Returns</t>
  </si>
  <si>
    <t>Beta 1</t>
  </si>
  <si>
    <t>Beta 2</t>
  </si>
  <si>
    <t>Beta 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</si>
  <si>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</si>
  <si>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</si>
  <si>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</si>
  <si>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</si>
  <si>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</si>
  <si>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</si>
  <si>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</si>
  <si>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</si>
  <si>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</si>
  <si>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</si>
  <si>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</si>
  <si>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</si>
  <si>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</si>
  <si>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</si>
  <si>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</si>
  <si>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</si>
  <si>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</si>
  <si>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</si>
  <si>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</si>
  <si>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</si>
  <si>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</si>
  <si>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</si>
  <si>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</si>
  <si>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</si>
  <si>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</si>
  <si>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</si>
  <si>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</si>
  <si>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</si>
  <si>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Market Beta</t>
  </si>
  <si>
    <t>Market Beta Weight</t>
  </si>
  <si>
    <t>Adjusted Beta</t>
  </si>
  <si>
    <t>Weighted Average Cost of Capital</t>
  </si>
  <si>
    <t>All figures are in INR unless stated .</t>
  </si>
  <si>
    <t xml:space="preserve">Peer Comps </t>
  </si>
  <si>
    <t xml:space="preserve">Name of the company </t>
  </si>
  <si>
    <t>Country</t>
  </si>
  <si>
    <t xml:space="preserve">Total Debt </t>
  </si>
  <si>
    <t>Total Equity</t>
  </si>
  <si>
    <r>
      <t xml:space="preserve">Tax Rate </t>
    </r>
    <r>
      <rPr>
        <vertAlign val="superscript"/>
        <sz val="11"/>
        <color theme="1"/>
        <rFont val="Calibri"/>
        <family val="2"/>
      </rPr>
      <t>1</t>
    </r>
  </si>
  <si>
    <t>Debt/</t>
  </si>
  <si>
    <t>Equity</t>
  </si>
  <si>
    <t>Capital</t>
  </si>
  <si>
    <t>Levered</t>
  </si>
  <si>
    <t>Unlevered</t>
  </si>
  <si>
    <r>
      <t xml:space="preserve">Beta </t>
    </r>
    <r>
      <rPr>
        <vertAlign val="superscript"/>
        <sz val="11"/>
        <color theme="1"/>
        <rFont val="Calibri"/>
        <family val="2"/>
      </rPr>
      <t>2</t>
    </r>
  </si>
  <si>
    <r>
      <t xml:space="preserve">Beta </t>
    </r>
    <r>
      <rPr>
        <vertAlign val="superscript"/>
        <sz val="11"/>
        <color theme="1"/>
        <rFont val="Calibri"/>
        <family val="2"/>
      </rPr>
      <t>3</t>
    </r>
  </si>
  <si>
    <t>ITC</t>
  </si>
  <si>
    <t>India</t>
  </si>
  <si>
    <t xml:space="preserve"> </t>
  </si>
  <si>
    <t>Average</t>
  </si>
  <si>
    <t>Median</t>
  </si>
  <si>
    <t xml:space="preserve">Cost of Debt </t>
  </si>
  <si>
    <t>Pre-Tax Cost of Debt</t>
  </si>
  <si>
    <t>Tax Rate</t>
  </si>
  <si>
    <t>Post Tax Cost Of Debt</t>
  </si>
  <si>
    <t>Cost of Equity</t>
  </si>
  <si>
    <t>Risk Free Rate</t>
  </si>
  <si>
    <t xml:space="preserve">Equity Risk Premium </t>
  </si>
  <si>
    <r>
      <t xml:space="preserve">Levered Beta </t>
    </r>
    <r>
      <rPr>
        <vertAlign val="superscript"/>
        <sz val="11"/>
        <color theme="1"/>
        <rFont val="Calibri"/>
        <family val="2"/>
      </rPr>
      <t>4</t>
    </r>
  </si>
  <si>
    <t xml:space="preserve">Capital Structure </t>
  </si>
  <si>
    <t>Current</t>
  </si>
  <si>
    <t>Target</t>
  </si>
  <si>
    <t>Market Capilitalization</t>
  </si>
  <si>
    <t>Total Capital</t>
  </si>
  <si>
    <t xml:space="preserve">Levered Beta </t>
  </si>
  <si>
    <t xml:space="preserve">Comps Median Unlevered Beta </t>
  </si>
  <si>
    <t>Target Debt/ Equity</t>
  </si>
  <si>
    <t>Debt/ Equity</t>
  </si>
  <si>
    <t xml:space="preserve">Weighted Average Cost Of Capital </t>
  </si>
  <si>
    <t>Notes</t>
  </si>
  <si>
    <t>1. Tax Rate are considered as Marginal Tax Rate for the country</t>
  </si>
  <si>
    <t xml:space="preserve">2. Levered Beta is based on 5 year monthly data </t>
  </si>
  <si>
    <t xml:space="preserve">3. Unlevered Beta = Levered Beta /(1+(1- Tax Rate )* Debt / Equity) </t>
  </si>
  <si>
    <t xml:space="preserve">4. Levered Beta = Unlevered Beta * (1+(1- Tax Rate )* Debt / Equity) </t>
  </si>
  <si>
    <t>S.No.</t>
  </si>
  <si>
    <t>Company</t>
  </si>
  <si>
    <t>CMP Rs.</t>
  </si>
  <si>
    <t xml:space="preserve">Mar Cap Rs.Cr. </t>
  </si>
  <si>
    <t>Debt Rs.Cr.</t>
  </si>
  <si>
    <t>Debt / Eq</t>
  </si>
  <si>
    <t>Hind. Unilever</t>
  </si>
  <si>
    <t>Nestle India</t>
  </si>
  <si>
    <t>Varun Beverages</t>
  </si>
  <si>
    <t>Britannia Inds.</t>
  </si>
  <si>
    <t>Year</t>
  </si>
  <si>
    <t>Annual</t>
  </si>
  <si>
    <t>Return on Markets</t>
  </si>
  <si>
    <t>Average Return</t>
  </si>
  <si>
    <t>Dividend Yield</t>
  </si>
  <si>
    <r>
      <t xml:space="preserve">1.3% </t>
    </r>
    <r>
      <rPr>
        <vertAlign val="superscript"/>
        <sz val="11"/>
        <color theme="1"/>
        <rFont val="Calibri"/>
        <family val="2"/>
      </rPr>
      <t>1</t>
    </r>
  </si>
  <si>
    <t>Total Market Return</t>
  </si>
  <si>
    <t>Equity Weight</t>
  </si>
  <si>
    <t>Cost of Debt</t>
  </si>
  <si>
    <t>Debt Weight</t>
  </si>
  <si>
    <t>WACC</t>
  </si>
  <si>
    <t>Equity Capital</t>
  </si>
  <si>
    <t>Reserves</t>
  </si>
  <si>
    <t>Borrowings -</t>
  </si>
  <si>
    <t>Long term Borrowings</t>
  </si>
  <si>
    <t>Short term Borrowings</t>
  </si>
  <si>
    <t>Lease Liabilities</t>
  </si>
  <si>
    <t>Other Liabilities -</t>
  </si>
  <si>
    <t>Non controlling int</t>
  </si>
  <si>
    <t>Trade Payables</t>
  </si>
  <si>
    <t>Advance from Customers</t>
  </si>
  <si>
    <t>Other liability items</t>
  </si>
  <si>
    <t>Total Liabilities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</si>
  <si>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</si>
  <si>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</si>
  <si>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</si>
  <si>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</si>
  <si>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</si>
  <si>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</si>
  <si>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</si>
  <si>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</si>
  <si>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</si>
  <si>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</si>
  <si>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</si>
  <si>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</si>
  <si>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</si>
  <si>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Investments</t>
  </si>
  <si>
    <t>Other Assets -</t>
  </si>
  <si>
    <t>Inventories</t>
  </si>
  <si>
    <t>Receivables over 6m</t>
  </si>
  <si>
    <t>Receivables under 6m</t>
  </si>
  <si>
    <t>Prov for Doubtful</t>
  </si>
  <si>
    <t>Cash Equivalents</t>
  </si>
  <si>
    <t>Loans n Advances</t>
  </si>
  <si>
    <t>Other asset items</t>
  </si>
  <si>
    <t>Total Assets</t>
  </si>
  <si>
    <t>Particulars</t>
  </si>
  <si>
    <t>Net Block</t>
  </si>
  <si>
    <t>Calculation of ROIC</t>
  </si>
  <si>
    <t xml:space="preserve">Trade receivables </t>
  </si>
  <si>
    <t>Current Assets</t>
  </si>
  <si>
    <t>Total Current Assets</t>
  </si>
  <si>
    <t>Current Liabilities</t>
  </si>
  <si>
    <t>Total Current Liabilities</t>
  </si>
  <si>
    <t>Net Working Capital</t>
  </si>
  <si>
    <t>#</t>
  </si>
  <si>
    <t>Non Current Assets</t>
  </si>
  <si>
    <t>Net Cash Flow</t>
  </si>
  <si>
    <t>Cash from Financing Activity</t>
  </si>
  <si>
    <t>Cash from Investing Activity</t>
  </si>
  <si>
    <t>Cash from Operating Activity</t>
  </si>
  <si>
    <t>Cash Flow Statement</t>
  </si>
  <si>
    <t>Check</t>
  </si>
  <si>
    <t xml:space="preserve">Total Asset </t>
  </si>
  <si>
    <t>Total Current Asset</t>
  </si>
  <si>
    <t>Cash &amp; Bank</t>
  </si>
  <si>
    <t>Inventory</t>
  </si>
  <si>
    <t>Receivables</t>
  </si>
  <si>
    <t>Total Non Current Asset</t>
  </si>
  <si>
    <t>Other Assets</t>
  </si>
  <si>
    <t>Capital Work in Progress</t>
  </si>
  <si>
    <t>Fixed Asset Net Block</t>
  </si>
  <si>
    <t>Other Liabilities</t>
  </si>
  <si>
    <t>Borrowings</t>
  </si>
  <si>
    <t>Equity Share Capital</t>
  </si>
  <si>
    <t>Balance Sheet</t>
  </si>
  <si>
    <t>Retained Earnings</t>
  </si>
  <si>
    <t>Dividend Payout Ratio</t>
  </si>
  <si>
    <t>Dividend per Share</t>
  </si>
  <si>
    <t>EPS Growth %</t>
  </si>
  <si>
    <t>Earning Per Share</t>
  </si>
  <si>
    <t>No. of Equity Shares</t>
  </si>
  <si>
    <t>Net Margins</t>
  </si>
  <si>
    <t>Net Profit</t>
  </si>
  <si>
    <t>Effective Tax Rtae</t>
  </si>
  <si>
    <t>Tax</t>
  </si>
  <si>
    <t>EBT% Sales</t>
  </si>
  <si>
    <t>Earning Before Tax</t>
  </si>
  <si>
    <t>Depreciation% Sales</t>
  </si>
  <si>
    <t>Depriciation</t>
  </si>
  <si>
    <t>Interest % Sales</t>
  </si>
  <si>
    <t>Interest</t>
  </si>
  <si>
    <t>EBITDA Margins</t>
  </si>
  <si>
    <t>EBITDA</t>
  </si>
  <si>
    <t>SG&amp;A Exp % Sales</t>
  </si>
  <si>
    <t>Selling &amp; General Expenses</t>
  </si>
  <si>
    <t>Gross Margins</t>
  </si>
  <si>
    <t>Gross Profit</t>
  </si>
  <si>
    <t>COGS % Sales</t>
  </si>
  <si>
    <t>COGS</t>
  </si>
  <si>
    <t>-</t>
  </si>
  <si>
    <t>Sales Growth</t>
  </si>
  <si>
    <t>Sales</t>
  </si>
  <si>
    <t>Income Statement</t>
  </si>
  <si>
    <t>LTM</t>
  </si>
  <si>
    <t>CFO/Total Debt</t>
  </si>
  <si>
    <t>CFO/Total Asset</t>
  </si>
  <si>
    <t>CFO/Sales</t>
  </si>
  <si>
    <t>Cash Conversion Cycle (in days)</t>
  </si>
  <si>
    <t>Inventory Days</t>
  </si>
  <si>
    <t>Payable Days</t>
  </si>
  <si>
    <t>Debtor Days</t>
  </si>
  <si>
    <t>Capital Turnover Ratio</t>
  </si>
  <si>
    <t>Fixed Asset Turnover</t>
  </si>
  <si>
    <t>Inventory Turnover</t>
  </si>
  <si>
    <t>Creditor Turnover Ratio</t>
  </si>
  <si>
    <t>Debtor Turnover Ratio</t>
  </si>
  <si>
    <t>Interest Coverage Ratio</t>
  </si>
  <si>
    <t>Self Sustained Growth Rate</t>
  </si>
  <si>
    <t>Return on Equity</t>
  </si>
  <si>
    <t>Retained Earnings %</t>
  </si>
  <si>
    <t>Return on Capital Employed</t>
  </si>
  <si>
    <t>OperatingIncome%Sales</t>
  </si>
  <si>
    <t>Depreciation%Sales</t>
  </si>
  <si>
    <t>SalesExpenses%Sales</t>
  </si>
  <si>
    <t>Net Profit Margin</t>
  </si>
  <si>
    <t>EBT Margin</t>
  </si>
  <si>
    <t>EBIT Margin</t>
  </si>
  <si>
    <t>EBITDA Margin</t>
  </si>
  <si>
    <t>Gross Margin</t>
  </si>
  <si>
    <t>Dividend  Growth</t>
  </si>
  <si>
    <t>Net Profit Growth</t>
  </si>
  <si>
    <t>EBT Growth</t>
  </si>
  <si>
    <t>EBITDA Growth</t>
  </si>
  <si>
    <t>SalesGrowth</t>
  </si>
  <si>
    <t>Mean</t>
  </si>
  <si>
    <t>Trend</t>
  </si>
  <si>
    <t>Year Weight</t>
  </si>
  <si>
    <t>Other financing items</t>
  </si>
  <si>
    <t>Financial liabilities</t>
  </si>
  <si>
    <t>Dividends paid</t>
  </si>
  <si>
    <t>Interest paid fin</t>
  </si>
  <si>
    <t>Repayment of borrowings</t>
  </si>
  <si>
    <t>Proceeds from borrowings</t>
  </si>
  <si>
    <t>Proceeds from shares</t>
  </si>
  <si>
    <t>Cash from Financing Activity -</t>
  </si>
  <si>
    <t>Other investing items</t>
  </si>
  <si>
    <t>Acquisition of companies</t>
  </si>
  <si>
    <t>Redemp n Canc of Shares</t>
  </si>
  <si>
    <t>Dividends received</t>
  </si>
  <si>
    <t>Interest received</t>
  </si>
  <si>
    <t>Investments sold</t>
  </si>
  <si>
    <t>Investments purchased</t>
  </si>
  <si>
    <t>Fixed assets sold</t>
  </si>
  <si>
    <t>Fixed assets purchased</t>
  </si>
  <si>
    <t>Cash from Investing Activity -</t>
  </si>
  <si>
    <t>Direct taxes</t>
  </si>
  <si>
    <t>Working capital changes</t>
  </si>
  <si>
    <t>Other WC items</t>
  </si>
  <si>
    <t>Loans Advances</t>
  </si>
  <si>
    <t>Payables</t>
  </si>
  <si>
    <t>Profit from operations</t>
  </si>
  <si>
    <t>Cash from Operating Activity -</t>
  </si>
  <si>
    <t>Adjusted Equity Shares in Cr</t>
  </si>
  <si>
    <t>DERIVED:</t>
  </si>
  <si>
    <t>PRICE:</t>
  </si>
  <si>
    <t>Report Date</t>
  </si>
  <si>
    <t>CASH FLOW:</t>
  </si>
  <si>
    <t>Total Asset</t>
  </si>
  <si>
    <t>Face value</t>
  </si>
  <si>
    <t>New Bonus Shares</t>
  </si>
  <si>
    <t>BALANCE SHEET</t>
  </si>
  <si>
    <t>Operating Profit</t>
  </si>
  <si>
    <t>Net profit</t>
  </si>
  <si>
    <t>Profit before tax</t>
  </si>
  <si>
    <t>Depreciation</t>
  </si>
  <si>
    <t>Other Income</t>
  </si>
  <si>
    <t>Expenses</t>
  </si>
  <si>
    <t>Quarters</t>
  </si>
  <si>
    <t>Effective Tax Rate</t>
  </si>
  <si>
    <t>Dividend Amount</t>
  </si>
  <si>
    <t>Other Expenses</t>
  </si>
  <si>
    <t>Selling and admin</t>
  </si>
  <si>
    <t>Employee Cost</t>
  </si>
  <si>
    <t>Other Mfr. Exp</t>
  </si>
  <si>
    <t>Power and Fuel</t>
  </si>
  <si>
    <t>Change in Inventory</t>
  </si>
  <si>
    <t>Raw Material Cost</t>
  </si>
  <si>
    <t>PROFIT &amp; LOSS</t>
  </si>
  <si>
    <t>Market Capitalization</t>
  </si>
  <si>
    <t>Current Price</t>
  </si>
  <si>
    <t>Face Value</t>
  </si>
  <si>
    <t>Number of shares</t>
  </si>
  <si>
    <t>META</t>
  </si>
  <si>
    <t>CURRENT VERSION</t>
  </si>
  <si>
    <t>PLEASE DO NOT MAKE ANY CHANGES TO THIS SHEET</t>
  </si>
  <si>
    <t>LATEST VERSION</t>
  </si>
  <si>
    <t>HINDUSTAN UNILEVER LTD</t>
  </si>
  <si>
    <t>COMPANY NAME</t>
  </si>
  <si>
    <t>Total Assset</t>
  </si>
  <si>
    <t>Particilars</t>
  </si>
  <si>
    <t>Net Non Current Asset</t>
  </si>
  <si>
    <t>Invested Capital</t>
  </si>
  <si>
    <t>EBIT</t>
  </si>
  <si>
    <t>ROIC</t>
  </si>
  <si>
    <t>Calculation of Reinvestment Rate</t>
  </si>
  <si>
    <t>Net Capex</t>
  </si>
  <si>
    <t>Operating Deposits</t>
  </si>
  <si>
    <t>Other operating items</t>
  </si>
  <si>
    <t>Exceptional CF items</t>
  </si>
  <si>
    <t>Free Cash Flow</t>
  </si>
  <si>
    <t>CFO/OP</t>
  </si>
  <si>
    <t>Change in Working Capital</t>
  </si>
  <si>
    <t>Marginal Tax Rate</t>
  </si>
  <si>
    <t>Reinvestment</t>
  </si>
  <si>
    <t>EBIT(1-T)</t>
  </si>
  <si>
    <t>Reinvestment Rate</t>
  </si>
  <si>
    <t>4 year average</t>
  </si>
  <si>
    <t>4 year median</t>
  </si>
  <si>
    <t>Calculation of Growth Rate</t>
  </si>
  <si>
    <t>Intrinsic Rate</t>
  </si>
  <si>
    <t>Calculation of PV of FCFF</t>
  </si>
  <si>
    <t>Less: Reinvestment Rate</t>
  </si>
  <si>
    <t>Free Cash Flow to Firm (FCFF)</t>
  </si>
  <si>
    <t>Mid Year Convention</t>
  </si>
  <si>
    <t>Discounting Factor</t>
  </si>
  <si>
    <t>PV of FCFF</t>
  </si>
  <si>
    <t>Expected Growth</t>
  </si>
  <si>
    <t>Terminal Growth</t>
  </si>
  <si>
    <t>Calculation of Terminal Value</t>
  </si>
  <si>
    <t>FCFF(N+1)</t>
  </si>
  <si>
    <t>Terminal Growth Rate</t>
  </si>
  <si>
    <t>Terminal Value</t>
  </si>
  <si>
    <t>Calculation of Equity Value</t>
  </si>
  <si>
    <t>PV of Terminal Value</t>
  </si>
  <si>
    <t>Value Of Operating Assets</t>
  </si>
  <si>
    <t>Add: Cash</t>
  </si>
  <si>
    <t>Less: Debt</t>
  </si>
  <si>
    <t>Value Of Equity</t>
  </si>
  <si>
    <t>No. Of Shares</t>
  </si>
  <si>
    <t>Equity Value Per Share</t>
  </si>
  <si>
    <t>Share Price</t>
  </si>
  <si>
    <t>Discount/Premium</t>
  </si>
  <si>
    <t xml:space="preserve">Comparable Company Valuation </t>
  </si>
  <si>
    <t xml:space="preserve">Company </t>
  </si>
  <si>
    <t>Ticker</t>
  </si>
  <si>
    <t>Share Outstanding</t>
  </si>
  <si>
    <t>Equity Value</t>
  </si>
  <si>
    <t>Net Debt</t>
  </si>
  <si>
    <t>Enterprise Value</t>
  </si>
  <si>
    <t>Market Data</t>
  </si>
  <si>
    <t>Revenue</t>
  </si>
  <si>
    <t>Net Income</t>
  </si>
  <si>
    <t>Valuation</t>
  </si>
  <si>
    <t>Financials</t>
  </si>
  <si>
    <t>No. Eq. Shares Cr.</t>
  </si>
  <si>
    <t>Cash End Rs.Cr.</t>
  </si>
  <si>
    <t>Sales Rs.Cr.</t>
  </si>
  <si>
    <t>NP 12M Rs.Cr.</t>
  </si>
  <si>
    <t>EV / EBITDA</t>
  </si>
  <si>
    <t>Marico</t>
  </si>
  <si>
    <t>United Spirits</t>
  </si>
  <si>
    <t>Tata Consumer</t>
  </si>
  <si>
    <t>Godrej Consumer</t>
  </si>
  <si>
    <t>Dabur India</t>
  </si>
  <si>
    <t>Radico Khaitan</t>
  </si>
  <si>
    <t>Colgate-Palmoliv</t>
  </si>
  <si>
    <t>Cupid</t>
  </si>
  <si>
    <t>Patanjali Foods</t>
  </si>
  <si>
    <t>United Breweries</t>
  </si>
  <si>
    <t>Market Cap</t>
  </si>
  <si>
    <t>EV</t>
  </si>
  <si>
    <t>EV/REVENUE</t>
  </si>
  <si>
    <t>EV/EBITDA</t>
  </si>
  <si>
    <t>P/E</t>
  </si>
  <si>
    <t>High</t>
  </si>
  <si>
    <t>75th Percentile</t>
  </si>
  <si>
    <t>25th Percentile</t>
  </si>
  <si>
    <t>Low</t>
  </si>
  <si>
    <t>Hindustan Unilever Ltd Comparable Valuation</t>
  </si>
  <si>
    <t>Implied Enterprise Value</t>
  </si>
  <si>
    <t>Nebt Debt</t>
  </si>
  <si>
    <t>Implied Market Value</t>
  </si>
  <si>
    <t>Implied Value per Share</t>
  </si>
  <si>
    <t>Source: Screener.in</t>
  </si>
  <si>
    <t>Amount in crores</t>
  </si>
  <si>
    <t>Sensitivity Analysis</t>
  </si>
  <si>
    <t>Football Field Analysis</t>
  </si>
  <si>
    <t>Comps</t>
  </si>
  <si>
    <t>DCF Bear</t>
  </si>
  <si>
    <t>DCF Base</t>
  </si>
  <si>
    <t xml:space="preserve">DCF Bull </t>
  </si>
  <si>
    <t>52W H/L</t>
  </si>
  <si>
    <t>OpenLow</t>
  </si>
  <si>
    <t>OpenHigh</t>
  </si>
  <si>
    <t>_</t>
  </si>
  <si>
    <t>(NSE: HINDUNILVR | BSE: 500696 )</t>
  </si>
  <si>
    <t>INR 1927.0</t>
  </si>
  <si>
    <t>52 Week - (High- 2667.2 &amp; Low- 1926.2)</t>
  </si>
  <si>
    <t>Regression Beta Calculation - 2 years weekly</t>
  </si>
  <si>
    <t>HINDUNILVR</t>
  </si>
  <si>
    <t>NESTLEIND</t>
  </si>
  <si>
    <t>VBL</t>
  </si>
  <si>
    <t>BRITANNIA</t>
  </si>
  <si>
    <t>MARICO</t>
  </si>
  <si>
    <t>UNITDSPR</t>
  </si>
  <si>
    <t>TATACONSUM</t>
  </si>
  <si>
    <t>GODREJCP</t>
  </si>
  <si>
    <t>DABUR</t>
  </si>
  <si>
    <t>Adjusted price</t>
  </si>
  <si>
    <t>Return</t>
  </si>
  <si>
    <t>Sorted Return</t>
  </si>
  <si>
    <t>Calculation of Value at Risk - HUL (Historical Approach)</t>
  </si>
  <si>
    <t>STD. Deviation</t>
  </si>
  <si>
    <t>Min</t>
  </si>
  <si>
    <t>Max</t>
  </si>
  <si>
    <t>Percentile</t>
  </si>
  <si>
    <t>CMP</t>
  </si>
  <si>
    <t>Stock Price</t>
  </si>
  <si>
    <t>VAR %</t>
  </si>
  <si>
    <t>VAR (INR)</t>
  </si>
  <si>
    <t>Confidence</t>
  </si>
  <si>
    <t>Replication</t>
  </si>
  <si>
    <t>Simulated Return</t>
  </si>
  <si>
    <t>Historical Approach</t>
  </si>
  <si>
    <t>Calculation of Value at Risk - HUL (Simulation)</t>
  </si>
  <si>
    <t>Monte Carlo Simulation</t>
  </si>
  <si>
    <t xml:space="preserve">About the Company </t>
  </si>
  <si>
    <r>
      <t xml:space="preserve">Hindustan Unilever Limited (HUL) is an Indian's </t>
    </r>
    <r>
      <rPr>
        <sz val="11"/>
        <rFont val="Calibri"/>
        <family val="2"/>
        <scheme val="minor"/>
      </rPr>
      <t>fast-moving consumer goods</t>
    </r>
    <r>
      <rPr>
        <sz val="11"/>
        <color rgb="FF202122"/>
        <rFont val="Calibri"/>
        <family val="2"/>
        <scheme val="minor"/>
      </rPr>
      <t xml:space="preserve"> company, headquartered in </t>
    </r>
    <r>
      <rPr>
        <sz val="11"/>
        <rFont val="Calibri"/>
        <family val="2"/>
        <scheme val="minor"/>
      </rPr>
      <t>Mumbai</t>
    </r>
    <r>
      <rPr>
        <sz val="11"/>
        <color rgb="FF202122"/>
        <rFont val="Calibri"/>
        <family val="2"/>
        <scheme val="minor"/>
      </rPr>
      <t xml:space="preserve">. It is a subsidiary of the Anglo-Dutch company </t>
    </r>
    <r>
      <rPr>
        <sz val="11"/>
        <rFont val="Calibri"/>
        <family val="2"/>
        <scheme val="minor"/>
      </rPr>
      <t>Unilever</t>
    </r>
    <r>
      <rPr>
        <sz val="11"/>
        <color rgb="FF202122"/>
        <rFont val="Calibri"/>
        <family val="2"/>
        <scheme val="minor"/>
      </rPr>
      <t>. Its products include foods, beverages, cleaning agents, personal care products and other consumer staples.The company was established in India in 1931 as Hindustan Vanaspati Manufacturing Co. Following a merger of constituent groups in 1956, it was renamed Hindustan Lever Limited. The company was renamed again in June 2007 as Hindustan Unilever Limited.</t>
    </r>
  </si>
  <si>
    <t>Return on Equity (ROE)</t>
  </si>
  <si>
    <t>Average Shareholder's Equity</t>
  </si>
  <si>
    <t>ROE - Dupont Equation</t>
  </si>
  <si>
    <t>Net Profit Margin (A)</t>
  </si>
  <si>
    <t>Average Total Asset</t>
  </si>
  <si>
    <t>Asset Turnover Ratio (B)</t>
  </si>
  <si>
    <t>Equity Multiplier (C)</t>
  </si>
  <si>
    <t>Return on Asset (ROE)</t>
  </si>
  <si>
    <t>Return on Asset (ROA)</t>
  </si>
  <si>
    <t>ROA - Dupont Equation</t>
  </si>
  <si>
    <t>Return on Equity (A*B*C)</t>
  </si>
  <si>
    <t>Return on Asset (A*B)</t>
  </si>
  <si>
    <t>Financial Summary</t>
  </si>
  <si>
    <t>Dupont Analysis - Return on Equity &amp; Return on Asset</t>
  </si>
  <si>
    <t>Altman's Z Score Analysis Calculation</t>
  </si>
  <si>
    <t>Working Capital</t>
  </si>
  <si>
    <t>Working Capital/ Total Assets</t>
  </si>
  <si>
    <t>Retained Earnings / Total Assets</t>
  </si>
  <si>
    <t>EBIT/ Total Assets</t>
  </si>
  <si>
    <t>Market Cap / Long Term Liabilities</t>
  </si>
  <si>
    <t>Sales / Total Assets</t>
  </si>
  <si>
    <t>Altman's Z Score</t>
  </si>
  <si>
    <t>Working Capital/ Total Assets (A)</t>
  </si>
  <si>
    <t>Retained Earnings / Total Assets (B)</t>
  </si>
  <si>
    <t>EBIT/ Total Assets (C)</t>
  </si>
  <si>
    <t>Market Cap / Long Term Liabilities (D)</t>
  </si>
  <si>
    <t>Sales / Total Assets (E)</t>
  </si>
  <si>
    <t>Final Score</t>
  </si>
  <si>
    <t>Financial Stability</t>
  </si>
  <si>
    <t>Cash Flow from Operations</t>
  </si>
  <si>
    <t>Operations Acitivities</t>
  </si>
  <si>
    <t>Investing Activities</t>
  </si>
  <si>
    <t>Cash Flow from Investing</t>
  </si>
  <si>
    <t>Financing Activities</t>
  </si>
  <si>
    <t>Cash Flow from Financing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</si>
</sst>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0.0"/>
    <numFmt numFmtId="165" formatCode="#,##0.0"/>
    <numFmt numFmtId="166" formatCode="#,##0.0;\(#,##0.0\);\-"/>
    <numFmt numFmtId="167" formatCode="&quot;₹&quot;\ #,##0.0;\(&quot;₹&quot;\ #,##0.0\);\-"/>
    <numFmt numFmtId="168" formatCode="&quot;₹&quot;\ #,##0.00"/>
    <numFmt numFmtId="169" formatCode="0.00&quot;x&quot;"/>
    <numFmt numFmtId="170" formatCode="yyyy&quot;E&quot;"/>
    <numFmt numFmtId="171" formatCode="yyyy&quot;A&quot;"/>
    <numFmt numFmtId="172" formatCode="_(* #,##0.00_);_(* \(#,##0.00\);_(* &quot;-&quot;??_);_(@_)"/>
    <numFmt numFmtId="173" formatCode="[$-409]mmm\-yy;@"/>
    <numFmt numFmtId="174" formatCode="mmm/yy\ &quot;A&quot;"/>
    <numFmt numFmtId="175" formatCode="mmm/yy\ &quot;F&quot;"/>
    <numFmt numFmtId="176" formatCode="0.000"/>
    <numFmt numFmtId="177" formatCode="0.00\X"/>
    <numFmt numFmtId="178" formatCode="#,##0.0;\(#,##0.0\)"/>
    <numFmt numFmtId="179" formatCode="0.00\x"/>
    <numFmt numFmtId="180" formatCode="0.0%"/>
    <numFmt numFmtId="181" formatCode="0.00\ \x"/>
    <numFmt numFmtId="182" formatCode="&quot;₹&quot;\ #,##0.0"/>
  </numFmts>
  <fonts count="34" x14ac:knownFonts="1">
    <font>
      <sz val="11"/>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vertAlign val="superscript"/>
      <sz val="11"/>
      <color theme="1"/>
      <name val="Calibri"/>
      <family val="2"/>
    </font>
    <font>
      <sz val="11"/>
      <color rgb="FF0000CC"/>
      <name val="Calibri"/>
      <family val="2"/>
    </font>
    <font>
      <i/>
      <sz val="9"/>
      <color theme="1"/>
      <name val="Calibri"/>
      <family val="2"/>
    </font>
    <font>
      <sz val="11"/>
      <name val="Calibri"/>
      <family val="2"/>
    </font>
    <font>
      <i/>
      <sz val="11"/>
      <color theme="1" tint="0.34998626667073579"/>
      <name val="Calibri"/>
      <family val="2"/>
    </font>
    <font>
      <b/>
      <i/>
      <sz val="11"/>
      <color theme="1" tint="0.499984740745262"/>
      <name val="Calibri"/>
      <family val="2"/>
    </font>
    <font>
      <sz val="11"/>
      <color theme="1"/>
      <name val="Calibri"/>
      <family val="2"/>
      <scheme val="minor"/>
    </font>
    <font>
      <sz val="10"/>
      <color theme="1"/>
      <name val="Arial"/>
      <family val="2"/>
    </font>
    <font>
      <b/>
      <sz val="10"/>
      <color theme="1"/>
      <name val="Arial"/>
      <family val="2"/>
    </font>
    <font>
      <sz val="10"/>
      <name val="Arial"/>
      <family val="2"/>
    </font>
    <font>
      <b/>
      <sz val="10"/>
      <color theme="0"/>
      <name val="Arial"/>
      <family val="2"/>
    </font>
    <font>
      <sz val="11"/>
      <color theme="1"/>
      <name val="Arial Narrow"/>
      <family val="2"/>
    </font>
    <font>
      <sz val="11"/>
      <color theme="0"/>
      <name val="Calibri"/>
      <family val="2"/>
      <scheme val="minor"/>
    </font>
    <font>
      <u/>
      <sz val="11"/>
      <color theme="10"/>
      <name val="Calibri"/>
      <family val="2"/>
    </font>
    <font>
      <u/>
      <sz val="10"/>
      <color theme="10"/>
      <name val="Arial"/>
      <family val="2"/>
    </font>
    <font>
      <b/>
      <sz val="11"/>
      <name val="Calibri"/>
      <family val="2"/>
    </font>
    <font>
      <sz val="11"/>
      <color theme="0"/>
      <name val="Calibri"/>
      <family val="2"/>
    </font>
    <font>
      <b/>
      <sz val="11"/>
      <color rgb="FFC00000"/>
      <name val="Calibri"/>
      <family val="2"/>
    </font>
    <font>
      <b/>
      <sz val="20"/>
      <color theme="1"/>
      <name val="Calibri"/>
      <family val="2"/>
    </font>
    <font>
      <b/>
      <sz val="16"/>
      <color theme="1"/>
      <name val="Calibri"/>
      <family val="2"/>
    </font>
    <font>
      <b/>
      <sz val="14"/>
      <color rgb="FF002060"/>
      <name val="Calibri"/>
      <family val="2"/>
    </font>
    <font>
      <sz val="11"/>
      <color rgb="FF212529"/>
      <name val="Calibri"/>
      <family val="2"/>
      <scheme val="minor"/>
    </font>
    <font>
      <b/>
      <sz val="11"/>
      <color theme="0"/>
      <name val="Calibri"/>
      <family val="2"/>
      <scheme val="minor"/>
    </font>
    <font>
      <b/>
      <sz val="11"/>
      <color theme="1"/>
      <name val="Calibri"/>
      <family val="2"/>
      <scheme val="minor"/>
    </font>
    <font>
      <sz val="11"/>
      <color rgb="FF202122"/>
      <name val="Calibri"/>
      <family val="2"/>
      <scheme val="minor"/>
    </font>
    <font>
      <sz val="11"/>
      <name val="Calibri"/>
      <family val="2"/>
      <scheme val="minor"/>
    </font>
    <font>
      <b/>
      <sz val="11"/>
      <color rgb="FF002060"/>
      <name val="Calibri"/>
      <family val="2"/>
      <scheme val="minor"/>
    </font>
    <font>
      <b/>
      <sz val="20"/>
      <color rgb="FF002060"/>
      <name val="Calibri"/>
      <family val="2"/>
    </font>
    <font>
      <b/>
      <i/>
      <sz val="11"/>
      <color rgb="FF002060"/>
      <name val="Calibri"/>
      <family val="2"/>
    </font>
  </fonts>
  <fills count="12">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4.9989318521683403E-2"/>
        <bgColor indexed="64"/>
      </patternFill>
    </fill>
    <fill>
      <patternFill patternType="solid">
        <fgColor theme="9"/>
      </patternFill>
    </fill>
    <fill>
      <patternFill patternType="solid">
        <fgColor theme="4" tint="0.39997558519241921"/>
        <bgColor indexed="64"/>
      </patternFill>
    </fill>
    <fill>
      <patternFill patternType="solid">
        <fgColor theme="0" tint="-0.14999847407452621"/>
        <bgColor indexed="64"/>
      </patternFill>
    </fill>
    <fill>
      <patternFill patternType="solid">
        <fgColor rgb="FF0275D8"/>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FFFF"/>
        <bgColor indexed="64"/>
      </patternFill>
    </fill>
  </fills>
  <borders count="41">
    <border>
      <left/>
      <right/>
      <top/>
      <bottom/>
      <diagonal/>
    </border>
    <border>
      <left/>
      <right/>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dashed">
        <color auto="1"/>
      </top>
      <bottom/>
      <diagonal/>
    </border>
    <border>
      <left/>
      <right/>
      <top style="medium">
        <color theme="2" tint="-0.24994659260841701"/>
      </top>
      <bottom style="medium">
        <color theme="2" tint="-0.24994659260841701"/>
      </bottom>
      <diagonal/>
    </border>
    <border>
      <left/>
      <right/>
      <top style="medium">
        <color auto="1"/>
      </top>
      <bottom style="medium">
        <color auto="1"/>
      </bottom>
      <diagonal/>
    </border>
    <border>
      <left/>
      <right/>
      <top style="medium">
        <color theme="2" tint="-0.24994659260841701"/>
      </top>
      <bottom/>
      <diagonal/>
    </border>
    <border>
      <left/>
      <right/>
      <top style="medium">
        <color auto="1"/>
      </top>
      <bottom style="thick">
        <color auto="1"/>
      </bottom>
      <diagonal/>
    </border>
    <border>
      <left/>
      <right/>
      <top style="dotted">
        <color theme="1" tint="0.34998626667073579"/>
      </top>
      <bottom style="dotted">
        <color theme="1" tint="0.34998626667073579"/>
      </bottom>
      <diagonal/>
    </border>
    <border>
      <left/>
      <right/>
      <top/>
      <bottom style="thin">
        <color theme="3" tint="-0.24994659260841701"/>
      </bottom>
      <diagonal/>
    </border>
    <border>
      <left/>
      <right/>
      <top style="thin">
        <color auto="1"/>
      </top>
      <bottom/>
      <diagonal/>
    </border>
    <border>
      <left/>
      <right/>
      <top style="thin">
        <color theme="3" tint="-0.24994659260841701"/>
      </top>
      <bottom/>
      <diagonal/>
    </border>
    <border>
      <left/>
      <right/>
      <top style="medium">
        <color theme="1"/>
      </top>
      <bottom style="thick">
        <color theme="1"/>
      </bottom>
      <diagonal/>
    </border>
    <border>
      <left/>
      <right/>
      <top/>
      <bottom style="thick">
        <color theme="0"/>
      </bottom>
      <diagonal/>
    </border>
    <border>
      <left/>
      <right/>
      <top style="medium">
        <color theme="0" tint="-0.14996795556505021"/>
      </top>
      <bottom style="medium">
        <color theme="0" tint="-0.14996795556505021"/>
      </bottom>
      <diagonal/>
    </border>
    <border>
      <left style="medium">
        <color auto="1"/>
      </left>
      <right style="thin">
        <color theme="2" tint="-0.24994659260841701"/>
      </right>
      <top style="medium">
        <color auto="1"/>
      </top>
      <bottom style="thin">
        <color theme="2" tint="-0.24994659260841701"/>
      </bottom>
      <diagonal/>
    </border>
    <border>
      <left style="thin">
        <color theme="2" tint="-0.24994659260841701"/>
      </left>
      <right style="thin">
        <color theme="2" tint="-0.24994659260841701"/>
      </right>
      <top style="medium">
        <color auto="1"/>
      </top>
      <bottom style="thin">
        <color theme="2" tint="-0.24994659260841701"/>
      </bottom>
      <diagonal/>
    </border>
    <border>
      <left style="thin">
        <color theme="2" tint="-0.24994659260841701"/>
      </left>
      <right style="medium">
        <color auto="1"/>
      </right>
      <top style="medium">
        <color auto="1"/>
      </top>
      <bottom style="thin">
        <color theme="2" tint="-0.24994659260841701"/>
      </bottom>
      <diagonal/>
    </border>
    <border>
      <left style="medium">
        <color auto="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medium">
        <color auto="1"/>
      </right>
      <top style="thin">
        <color theme="2" tint="-0.24994659260841701"/>
      </top>
      <bottom style="thin">
        <color theme="2" tint="-0.24994659260841701"/>
      </bottom>
      <diagonal/>
    </border>
    <border>
      <left style="medium">
        <color auto="1"/>
      </left>
      <right style="thin">
        <color theme="2" tint="-0.24994659260841701"/>
      </right>
      <top style="thin">
        <color theme="2" tint="-0.24994659260841701"/>
      </top>
      <bottom style="medium">
        <color auto="1"/>
      </bottom>
      <diagonal/>
    </border>
    <border>
      <left style="thin">
        <color theme="2" tint="-0.24994659260841701"/>
      </left>
      <right style="thin">
        <color theme="2" tint="-0.24994659260841701"/>
      </right>
      <top style="thin">
        <color theme="2" tint="-0.24994659260841701"/>
      </top>
      <bottom style="medium">
        <color auto="1"/>
      </bottom>
      <diagonal/>
    </border>
    <border>
      <left style="thin">
        <color theme="2" tint="-0.24994659260841701"/>
      </left>
      <right style="medium">
        <color auto="1"/>
      </right>
      <top style="thin">
        <color theme="2" tint="-0.24994659260841701"/>
      </top>
      <bottom style="medium">
        <color auto="1"/>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style="thin">
        <color theme="0" tint="-0.14996795556505021"/>
      </left>
      <right style="thin">
        <color auto="1"/>
      </right>
      <top style="thin">
        <color auto="1"/>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right/>
      <top/>
      <bottom style="medium">
        <color rgb="FF002060"/>
      </bottom>
      <diagonal/>
    </border>
    <border>
      <left/>
      <right style="thin">
        <color auto="1"/>
      </right>
      <top/>
      <bottom/>
      <diagonal/>
    </border>
    <border>
      <left style="thin">
        <color auto="1"/>
      </left>
      <right style="thin">
        <color theme="0" tint="-0.14996795556505021"/>
      </right>
      <top style="thin">
        <color theme="0" tint="-0.14996795556505021"/>
      </top>
      <bottom style="thin">
        <color theme="1"/>
      </bottom>
      <diagonal/>
    </border>
    <border>
      <left style="thin">
        <color theme="0" tint="-0.14996795556505021"/>
      </left>
      <right style="thin">
        <color theme="0" tint="-0.14996795556505021"/>
      </right>
      <top style="thin">
        <color theme="0" tint="-0.14996795556505021"/>
      </top>
      <bottom style="thin">
        <color theme="1"/>
      </bottom>
      <diagonal/>
    </border>
    <border>
      <left style="thin">
        <color theme="0" tint="-0.14996795556505021"/>
      </left>
      <right style="thin">
        <color auto="1"/>
      </right>
      <top style="thin">
        <color theme="0" tint="-0.14996795556505021"/>
      </top>
      <bottom style="thin">
        <color theme="1"/>
      </bottom>
      <diagonal/>
    </border>
    <border>
      <left/>
      <right/>
      <top style="medium">
        <color auto="1"/>
      </top>
      <bottom style="medium">
        <color theme="2" tint="-0.24994659260841701"/>
      </bottom>
      <diagonal/>
    </border>
    <border>
      <left/>
      <right/>
      <top style="medium">
        <color theme="1" tint="4.9989318521683403E-2"/>
      </top>
      <bottom style="medium">
        <color theme="1" tint="4.9989318521683403E-2"/>
      </bottom>
      <diagonal/>
    </border>
    <border>
      <left/>
      <right/>
      <top/>
      <bottom style="medium">
        <color theme="2" tint="-0.24994659260841701"/>
      </bottom>
      <diagonal/>
    </border>
    <border>
      <left/>
      <right/>
      <top style="thick">
        <color auto="1"/>
      </top>
      <bottom/>
      <diagonal/>
    </border>
  </borders>
  <cellStyleXfs count="8">
    <xf numFmtId="0" fontId="0" fillId="0" borderId="0"/>
    <xf numFmtId="9" fontId="1" fillId="0" borderId="0" applyFont="0" applyFill="0" applyBorder="0" applyAlignment="0" applyProtection="0"/>
    <xf numFmtId="43" fontId="11" fillId="0" borderId="0" applyFont="0" applyFill="0" applyBorder="0" applyAlignment="0" applyProtection="0"/>
    <xf numFmtId="0" fontId="11" fillId="0" borderId="0"/>
    <xf numFmtId="0" fontId="16" fillId="0" borderId="0"/>
    <xf numFmtId="9" fontId="11" fillId="0" borderId="0" applyFont="0" applyFill="0" applyBorder="0" applyAlignment="0" applyProtection="0"/>
    <xf numFmtId="0" fontId="17" fillId="5" borderId="0" applyNumberFormat="0" applyBorder="0" applyAlignment="0" applyProtection="0"/>
    <xf numFmtId="0" fontId="18" fillId="0" borderId="0" applyNumberFormat="0" applyFill="0" applyBorder="0" applyAlignment="0" applyProtection="0">
      <alignment vertical="top"/>
      <protection locked="0"/>
    </xf>
  </cellStyleXfs>
  <cellXfs count="254">
    <xf numFmtId="0" fontId="0" fillId="0" borderId="0" xfId="0"/>
    <xf numFmtId="10" fontId="0" fillId="0" borderId="0" xfId="0" applyNumberFormat="1"/>
    <xf numFmtId="0" fontId="3" fillId="0" borderId="1" xfId="0" applyFont="1" applyBorder="1"/>
    <xf numFmtId="0" fontId="3" fillId="0" borderId="0" xfId="0" applyFont="1"/>
    <xf numFmtId="49" fontId="0" fillId="0" borderId="0" xfId="0" applyNumberFormat="1"/>
    <xf numFmtId="0" fontId="2" fillId="3" borderId="0" xfId="0" applyFont="1" applyFill="1"/>
    <xf numFmtId="14" fontId="0" fillId="0" borderId="0" xfId="0" applyNumberFormat="1" applyAlignment="1">
      <alignment horizontal="left"/>
    </xf>
    <xf numFmtId="164" fontId="0" fillId="0" borderId="0" xfId="0" applyNumberFormat="1" applyAlignment="1">
      <alignment horizontal="right"/>
    </xf>
    <xf numFmtId="10" fontId="0" fillId="0" borderId="0" xfId="1" applyNumberFormat="1" applyFont="1" applyBorder="1"/>
    <xf numFmtId="2" fontId="0" fillId="0" borderId="0" xfId="0" applyNumberFormat="1"/>
    <xf numFmtId="0" fontId="0" fillId="0" borderId="3" xfId="0" applyBorder="1"/>
    <xf numFmtId="0" fontId="4" fillId="0" borderId="4" xfId="0" applyFont="1" applyBorder="1" applyAlignment="1">
      <alignment horizontal="center"/>
    </xf>
    <xf numFmtId="0" fontId="4" fillId="0" borderId="4" xfId="0" applyFont="1" applyBorder="1" applyAlignment="1">
      <alignment horizontal="centerContinuous"/>
    </xf>
    <xf numFmtId="0" fontId="2" fillId="3" borderId="0" xfId="0" applyFont="1" applyFill="1" applyAlignment="1">
      <alignment horizontal="center"/>
    </xf>
    <xf numFmtId="0" fontId="4" fillId="0" borderId="0" xfId="0" applyFont="1"/>
    <xf numFmtId="0" fontId="0" fillId="0" borderId="2" xfId="0" applyBorder="1"/>
    <xf numFmtId="10" fontId="0" fillId="0" borderId="0" xfId="1" applyNumberFormat="1" applyFont="1"/>
    <xf numFmtId="0" fontId="6" fillId="0" borderId="0" xfId="0" applyFont="1"/>
    <xf numFmtId="2" fontId="6" fillId="0" borderId="0" xfId="0" applyNumberFormat="1" applyFont="1"/>
    <xf numFmtId="10" fontId="6" fillId="0" borderId="0" xfId="1" applyNumberFormat="1" applyFont="1"/>
    <xf numFmtId="10" fontId="0" fillId="4" borderId="0" xfId="1" applyNumberFormat="1" applyFont="1" applyFill="1"/>
    <xf numFmtId="2" fontId="0" fillId="4" borderId="0" xfId="0" applyNumberFormat="1" applyFill="1"/>
    <xf numFmtId="0" fontId="3" fillId="0" borderId="2" xfId="0" applyFont="1" applyBorder="1"/>
    <xf numFmtId="0" fontId="3" fillId="0" borderId="3" xfId="0" applyFont="1" applyBorder="1"/>
    <xf numFmtId="10" fontId="0" fillId="0" borderId="2" xfId="0" applyNumberFormat="1" applyBorder="1"/>
    <xf numFmtId="10" fontId="0" fillId="0" borderId="3" xfId="0" applyNumberFormat="1" applyBorder="1"/>
    <xf numFmtId="0" fontId="0" fillId="0" borderId="5" xfId="0" applyBorder="1"/>
    <xf numFmtId="10" fontId="0" fillId="0" borderId="5" xfId="0" applyNumberFormat="1" applyBorder="1"/>
    <xf numFmtId="2" fontId="0" fillId="0" borderId="2" xfId="0" applyNumberFormat="1" applyBorder="1"/>
    <xf numFmtId="2" fontId="0" fillId="0" borderId="3" xfId="0" applyNumberFormat="1" applyBorder="1"/>
    <xf numFmtId="10" fontId="0" fillId="4" borderId="5" xfId="0" applyNumberFormat="1" applyFill="1" applyBorder="1"/>
    <xf numFmtId="10" fontId="0" fillId="0" borderId="5" xfId="1" applyNumberFormat="1" applyFont="1" applyBorder="1"/>
    <xf numFmtId="2" fontId="0" fillId="4" borderId="5" xfId="0" applyNumberFormat="1" applyFill="1" applyBorder="1"/>
    <xf numFmtId="165" fontId="0" fillId="0" borderId="5" xfId="0" applyNumberFormat="1" applyBorder="1"/>
    <xf numFmtId="0" fontId="7" fillId="0" borderId="0" xfId="0" applyFont="1"/>
    <xf numFmtId="0" fontId="7" fillId="0" borderId="0" xfId="0" applyFont="1" applyAlignment="1">
      <alignment vertical="top"/>
    </xf>
    <xf numFmtId="164" fontId="0" fillId="0" borderId="0" xfId="0" applyNumberFormat="1"/>
    <xf numFmtId="165" fontId="0" fillId="0" borderId="0" xfId="0" applyNumberFormat="1"/>
    <xf numFmtId="0" fontId="0" fillId="0" borderId="0" xfId="0" applyAlignment="1">
      <alignment horizontal="left"/>
    </xf>
    <xf numFmtId="0" fontId="2" fillId="0" borderId="0" xfId="0" applyFont="1"/>
    <xf numFmtId="10" fontId="8" fillId="0" borderId="0" xfId="1" applyNumberFormat="1" applyFont="1"/>
    <xf numFmtId="10" fontId="8" fillId="0" borderId="0" xfId="0" applyNumberFormat="1" applyFont="1"/>
    <xf numFmtId="0" fontId="3" fillId="4" borderId="0" xfId="0" applyFont="1" applyFill="1"/>
    <xf numFmtId="10" fontId="3" fillId="4" borderId="0" xfId="0" applyNumberFormat="1" applyFont="1" applyFill="1"/>
    <xf numFmtId="0" fontId="0" fillId="3" borderId="0" xfId="0" applyFill="1"/>
    <xf numFmtId="17" fontId="0" fillId="0" borderId="0" xfId="0" applyNumberFormat="1"/>
    <xf numFmtId="3" fontId="0" fillId="0" borderId="0" xfId="0" applyNumberFormat="1"/>
    <xf numFmtId="0" fontId="2" fillId="2" borderId="0" xfId="0" applyFont="1" applyFill="1"/>
    <xf numFmtId="17" fontId="2" fillId="2" borderId="0" xfId="0" applyNumberFormat="1" applyFont="1" applyFill="1"/>
    <xf numFmtId="0" fontId="0" fillId="0" borderId="6" xfId="0" applyBorder="1"/>
    <xf numFmtId="0" fontId="3" fillId="0" borderId="7" xfId="0" applyFont="1" applyBorder="1"/>
    <xf numFmtId="166" fontId="0" fillId="0" borderId="6" xfId="0" applyNumberFormat="1" applyBorder="1"/>
    <xf numFmtId="166" fontId="0" fillId="0" borderId="8" xfId="0" applyNumberFormat="1" applyBorder="1"/>
    <xf numFmtId="166" fontId="3" fillId="0" borderId="7" xfId="0" applyNumberFormat="1" applyFont="1" applyBorder="1"/>
    <xf numFmtId="166" fontId="0" fillId="0" borderId="0" xfId="0" applyNumberFormat="1"/>
    <xf numFmtId="166" fontId="3" fillId="0" borderId="0" xfId="0" applyNumberFormat="1" applyFont="1"/>
    <xf numFmtId="166" fontId="0" fillId="0" borderId="2" xfId="0" applyNumberFormat="1" applyBorder="1"/>
    <xf numFmtId="166" fontId="0" fillId="0" borderId="7" xfId="0" applyNumberFormat="1" applyBorder="1"/>
    <xf numFmtId="166" fontId="3" fillId="0" borderId="2" xfId="0" applyNumberFormat="1" applyFont="1" applyBorder="1"/>
    <xf numFmtId="0" fontId="0" fillId="0" borderId="9" xfId="0" applyBorder="1"/>
    <xf numFmtId="166" fontId="0" fillId="0" borderId="9" xfId="0" applyNumberFormat="1" applyBorder="1"/>
    <xf numFmtId="167" fontId="0" fillId="0" borderId="0" xfId="0" applyNumberFormat="1"/>
    <xf numFmtId="167" fontId="3" fillId="0" borderId="0" xfId="0" applyNumberFormat="1" applyFont="1"/>
    <xf numFmtId="0" fontId="0" fillId="6" borderId="0" xfId="0" applyFill="1"/>
    <xf numFmtId="0" fontId="3" fillId="6" borderId="0" xfId="0" applyFont="1" applyFill="1"/>
    <xf numFmtId="167" fontId="3" fillId="0" borderId="10" xfId="0" applyNumberFormat="1" applyFont="1" applyBorder="1"/>
    <xf numFmtId="0" fontId="3" fillId="0" borderId="10" xfId="0" applyFont="1" applyBorder="1"/>
    <xf numFmtId="10" fontId="9" fillId="0" borderId="0" xfId="1" applyNumberFormat="1" applyFont="1"/>
    <xf numFmtId="0" fontId="9" fillId="0" borderId="0" xfId="0" applyFont="1"/>
    <xf numFmtId="168" fontId="0" fillId="0" borderId="0" xfId="0" applyNumberFormat="1"/>
    <xf numFmtId="0" fontId="9" fillId="0" borderId="0" xfId="0" applyFont="1" applyAlignment="1">
      <alignment horizontal="right"/>
    </xf>
    <xf numFmtId="17" fontId="2" fillId="2" borderId="0" xfId="0" applyNumberFormat="1" applyFont="1" applyFill="1" applyAlignment="1">
      <alignment horizontal="right"/>
    </xf>
    <xf numFmtId="10" fontId="0" fillId="0" borderId="1" xfId="1" applyNumberFormat="1" applyFont="1" applyBorder="1"/>
    <xf numFmtId="0" fontId="0" fillId="0" borderId="1" xfId="0" applyBorder="1"/>
    <xf numFmtId="10" fontId="0" fillId="0" borderId="11" xfId="1" applyNumberFormat="1" applyFont="1" applyBorder="1"/>
    <xf numFmtId="0" fontId="0" fillId="0" borderId="11" xfId="0" applyBorder="1"/>
    <xf numFmtId="10" fontId="0" fillId="0" borderId="12" xfId="1" applyNumberFormat="1" applyFont="1" applyBorder="1"/>
    <xf numFmtId="0" fontId="0" fillId="0" borderId="12" xfId="0" applyBorder="1"/>
    <xf numFmtId="10" fontId="0" fillId="0" borderId="13" xfId="1" applyNumberFormat="1" applyFont="1" applyBorder="1"/>
    <xf numFmtId="0" fontId="0" fillId="0" borderId="13" xfId="0" applyBorder="1"/>
    <xf numFmtId="1" fontId="0" fillId="0" borderId="1" xfId="0" applyNumberFormat="1" applyBorder="1"/>
    <xf numFmtId="1" fontId="0" fillId="0" borderId="11" xfId="0" applyNumberFormat="1" applyBorder="1"/>
    <xf numFmtId="1" fontId="0" fillId="0" borderId="0" xfId="0" applyNumberFormat="1"/>
    <xf numFmtId="1" fontId="0" fillId="0" borderId="12" xfId="0" applyNumberFormat="1" applyBorder="1"/>
    <xf numFmtId="1" fontId="0" fillId="0" borderId="13" xfId="0" applyNumberFormat="1" applyBorder="1"/>
    <xf numFmtId="0" fontId="10" fillId="0" borderId="0" xfId="0" applyFont="1"/>
    <xf numFmtId="169" fontId="0" fillId="0" borderId="1" xfId="0" applyNumberFormat="1" applyBorder="1"/>
    <xf numFmtId="169" fontId="0" fillId="0" borderId="0" xfId="0" applyNumberFormat="1"/>
    <xf numFmtId="169" fontId="0" fillId="0" borderId="12" xfId="0" applyNumberFormat="1" applyBorder="1"/>
    <xf numFmtId="10" fontId="0" fillId="0" borderId="1" xfId="0" applyNumberFormat="1" applyBorder="1"/>
    <xf numFmtId="17" fontId="2" fillId="2" borderId="0" xfId="0" applyNumberFormat="1" applyFont="1" applyFill="1" applyAlignment="1">
      <alignment horizontal="center"/>
    </xf>
    <xf numFmtId="170" fontId="0" fillId="0" borderId="0" xfId="0" applyNumberFormat="1" applyAlignment="1">
      <alignment horizontal="right"/>
    </xf>
    <xf numFmtId="10" fontId="0" fillId="7" borderId="0" xfId="1" applyNumberFormat="1" applyFont="1" applyFill="1"/>
    <xf numFmtId="164" fontId="0" fillId="7" borderId="0" xfId="0" applyNumberFormat="1" applyFill="1"/>
    <xf numFmtId="170" fontId="0" fillId="7" borderId="0" xfId="0" applyNumberFormat="1" applyFill="1" applyAlignment="1">
      <alignment horizontal="right"/>
    </xf>
    <xf numFmtId="0" fontId="0" fillId="7" borderId="0" xfId="0" applyFill="1" applyAlignment="1">
      <alignment horizontal="left"/>
    </xf>
    <xf numFmtId="171" fontId="0" fillId="0" borderId="0" xfId="0" applyNumberFormat="1" applyAlignment="1">
      <alignment horizontal="right"/>
    </xf>
    <xf numFmtId="0" fontId="2" fillId="2" borderId="0" xfId="0" applyFont="1" applyFill="1" applyAlignment="1">
      <alignment horizontal="right"/>
    </xf>
    <xf numFmtId="17" fontId="3" fillId="0" borderId="0" xfId="0" applyNumberFormat="1" applyFont="1"/>
    <xf numFmtId="43" fontId="12" fillId="0" borderId="0" xfId="2" applyFont="1" applyBorder="1"/>
    <xf numFmtId="172" fontId="12" fillId="0" borderId="0" xfId="2" applyNumberFormat="1" applyFont="1" applyBorder="1"/>
    <xf numFmtId="43" fontId="13" fillId="0" borderId="0" xfId="2" applyFont="1" applyBorder="1"/>
    <xf numFmtId="0" fontId="12" fillId="0" borderId="0" xfId="3" applyFont="1"/>
    <xf numFmtId="173" fontId="14" fillId="0" borderId="0" xfId="2" applyNumberFormat="1" applyFont="1" applyFill="1" applyBorder="1"/>
    <xf numFmtId="173" fontId="15" fillId="8" borderId="0" xfId="3" applyNumberFormat="1" applyFont="1" applyFill="1" applyAlignment="1">
      <alignment horizontal="center"/>
    </xf>
    <xf numFmtId="173" fontId="15" fillId="8" borderId="0" xfId="2" applyNumberFormat="1" applyFont="1" applyFill="1" applyBorder="1"/>
    <xf numFmtId="0" fontId="16" fillId="0" borderId="0" xfId="4"/>
    <xf numFmtId="0" fontId="11" fillId="0" borderId="0" xfId="3"/>
    <xf numFmtId="9" fontId="12" fillId="0" borderId="0" xfId="5" applyFont="1" applyBorder="1"/>
    <xf numFmtId="43" fontId="0" fillId="0" borderId="0" xfId="0" applyNumberFormat="1"/>
    <xf numFmtId="17" fontId="3" fillId="0" borderId="3" xfId="0" applyNumberFormat="1" applyFont="1" applyBorder="1"/>
    <xf numFmtId="0" fontId="3" fillId="0" borderId="9" xfId="0" applyFont="1" applyBorder="1"/>
    <xf numFmtId="166" fontId="3" fillId="0" borderId="9" xfId="0" applyNumberFormat="1" applyFont="1" applyBorder="1"/>
    <xf numFmtId="10" fontId="0" fillId="0" borderId="9" xfId="1" applyNumberFormat="1" applyFont="1" applyBorder="1"/>
    <xf numFmtId="9" fontId="0" fillId="0" borderId="0" xfId="0" applyNumberFormat="1"/>
    <xf numFmtId="3" fontId="3" fillId="0" borderId="0" xfId="0" applyNumberFormat="1" applyFont="1"/>
    <xf numFmtId="0" fontId="3" fillId="0" borderId="6" xfId="0" applyFont="1" applyBorder="1"/>
    <xf numFmtId="10" fontId="6" fillId="0" borderId="6" xfId="1" applyNumberFormat="1" applyFont="1" applyBorder="1"/>
    <xf numFmtId="10" fontId="3" fillId="0" borderId="9" xfId="1" applyNumberFormat="1" applyFont="1" applyBorder="1"/>
    <xf numFmtId="10" fontId="0" fillId="0" borderId="6" xfId="0" applyNumberFormat="1" applyBorder="1"/>
    <xf numFmtId="0" fontId="0" fillId="0" borderId="8" xfId="0" applyBorder="1"/>
    <xf numFmtId="10" fontId="0" fillId="0" borderId="8" xfId="0" applyNumberFormat="1" applyBorder="1"/>
    <xf numFmtId="0" fontId="0" fillId="0" borderId="14" xfId="0" applyBorder="1"/>
    <xf numFmtId="10" fontId="0" fillId="0" borderId="14" xfId="1" applyNumberFormat="1" applyFont="1" applyBorder="1"/>
    <xf numFmtId="174" fontId="2" fillId="2" borderId="0" xfId="0" applyNumberFormat="1" applyFont="1" applyFill="1"/>
    <xf numFmtId="175" fontId="2" fillId="2" borderId="0" xfId="0" applyNumberFormat="1" applyFont="1" applyFill="1"/>
    <xf numFmtId="9" fontId="0" fillId="0" borderId="0" xfId="1" applyFont="1"/>
    <xf numFmtId="0" fontId="0" fillId="9" borderId="0" xfId="0" applyFill="1"/>
    <xf numFmtId="10" fontId="0" fillId="9" borderId="0" xfId="1" applyNumberFormat="1" applyFont="1" applyFill="1"/>
    <xf numFmtId="10" fontId="0" fillId="9" borderId="0" xfId="0" applyNumberFormat="1" applyFill="1"/>
    <xf numFmtId="10" fontId="8" fillId="0" borderId="6" xfId="0" applyNumberFormat="1" applyFont="1" applyBorder="1"/>
    <xf numFmtId="10" fontId="0" fillId="0" borderId="6" xfId="1" applyNumberFormat="1" applyFont="1" applyBorder="1"/>
    <xf numFmtId="166" fontId="0" fillId="4" borderId="6" xfId="0" applyNumberFormat="1" applyFill="1" applyBorder="1"/>
    <xf numFmtId="10" fontId="6" fillId="4" borderId="6" xfId="0" applyNumberFormat="1" applyFont="1" applyFill="1" applyBorder="1"/>
    <xf numFmtId="10" fontId="0" fillId="4" borderId="6" xfId="1" applyNumberFormat="1" applyFont="1" applyFill="1" applyBorder="1"/>
    <xf numFmtId="0" fontId="0" fillId="4" borderId="6" xfId="0" applyFill="1" applyBorder="1"/>
    <xf numFmtId="0" fontId="0" fillId="4" borderId="0" xfId="0" applyFill="1"/>
    <xf numFmtId="0" fontId="0" fillId="4" borderId="9" xfId="0" applyFill="1" applyBorder="1"/>
    <xf numFmtId="176" fontId="0" fillId="0" borderId="6" xfId="0" applyNumberFormat="1" applyBorder="1"/>
    <xf numFmtId="166" fontId="0" fillId="0" borderId="14" xfId="0" applyNumberFormat="1" applyBorder="1"/>
    <xf numFmtId="0" fontId="20" fillId="3" borderId="3" xfId="0" applyFont="1" applyFill="1" applyBorder="1"/>
    <xf numFmtId="0" fontId="8" fillId="3" borderId="3" xfId="0" applyFont="1" applyFill="1" applyBorder="1"/>
    <xf numFmtId="0" fontId="0" fillId="2" borderId="0" xfId="0" applyFill="1"/>
    <xf numFmtId="0" fontId="0" fillId="2" borderId="15" xfId="0" applyFill="1" applyBorder="1"/>
    <xf numFmtId="178" fontId="0" fillId="0" borderId="0" xfId="0" applyNumberFormat="1"/>
    <xf numFmtId="0" fontId="2" fillId="3" borderId="0" xfId="0" applyFont="1" applyFill="1" applyAlignment="1">
      <alignment wrapText="1"/>
    </xf>
    <xf numFmtId="0" fontId="0" fillId="0" borderId="16" xfId="0" applyBorder="1"/>
    <xf numFmtId="166" fontId="0" fillId="0" borderId="16" xfId="0" applyNumberFormat="1" applyBorder="1"/>
    <xf numFmtId="4" fontId="0" fillId="0" borderId="16" xfId="0" applyNumberFormat="1" applyBorder="1"/>
    <xf numFmtId="179" fontId="0" fillId="0" borderId="16" xfId="0" applyNumberFormat="1" applyBorder="1"/>
    <xf numFmtId="0" fontId="0" fillId="7" borderId="0" xfId="0" applyFill="1"/>
    <xf numFmtId="166" fontId="0" fillId="7" borderId="0" xfId="0" applyNumberFormat="1" applyFill="1"/>
    <xf numFmtId="4" fontId="0" fillId="7" borderId="0" xfId="0" applyNumberFormat="1" applyFill="1"/>
    <xf numFmtId="179" fontId="0" fillId="7" borderId="0" xfId="0" applyNumberFormat="1" applyFill="1"/>
    <xf numFmtId="0" fontId="3" fillId="7" borderId="0" xfId="0" applyFont="1" applyFill="1"/>
    <xf numFmtId="0" fontId="2" fillId="2" borderId="0" xfId="0" applyFont="1" applyFill="1" applyAlignment="1">
      <alignment horizontal="right" wrapText="1"/>
    </xf>
    <xf numFmtId="0" fontId="0" fillId="2" borderId="0" xfId="0" applyFill="1" applyAlignment="1">
      <alignment horizontal="right"/>
    </xf>
    <xf numFmtId="0" fontId="0" fillId="7" borderId="6" xfId="0" applyFill="1" applyBorder="1"/>
    <xf numFmtId="179" fontId="0" fillId="7" borderId="6" xfId="0" applyNumberFormat="1" applyFill="1" applyBorder="1"/>
    <xf numFmtId="0" fontId="3" fillId="7" borderId="6" xfId="0" applyFont="1" applyFill="1" applyBorder="1"/>
    <xf numFmtId="179" fontId="3" fillId="7" borderId="6" xfId="0" applyNumberFormat="1" applyFont="1" applyFill="1" applyBorder="1"/>
    <xf numFmtId="165" fontId="3" fillId="7" borderId="0" xfId="0" applyNumberFormat="1" applyFont="1" applyFill="1"/>
    <xf numFmtId="0" fontId="3" fillId="3" borderId="0" xfId="0" applyFont="1" applyFill="1"/>
    <xf numFmtId="165" fontId="3" fillId="3" borderId="0" xfId="0" applyNumberFormat="1" applyFont="1" applyFill="1"/>
    <xf numFmtId="0" fontId="22" fillId="0" borderId="0" xfId="0" applyFont="1" applyAlignment="1">
      <alignment horizontal="right"/>
    </xf>
    <xf numFmtId="0" fontId="2" fillId="3" borderId="0" xfId="0" applyFont="1" applyFill="1" applyAlignment="1">
      <alignment horizontal="left"/>
    </xf>
    <xf numFmtId="10" fontId="3" fillId="0" borderId="0" xfId="1" applyNumberFormat="1" applyFont="1" applyAlignment="1">
      <alignment horizontal="left"/>
    </xf>
    <xf numFmtId="10" fontId="20" fillId="3" borderId="0" xfId="1" applyNumberFormat="1" applyFont="1" applyFill="1" applyAlignment="1">
      <alignment horizontal="left"/>
    </xf>
    <xf numFmtId="10" fontId="3" fillId="0" borderId="0" xfId="1" applyNumberFormat="1" applyFont="1"/>
    <xf numFmtId="166" fontId="21" fillId="0" borderId="0" xfId="0" applyNumberFormat="1" applyFont="1"/>
    <xf numFmtId="10" fontId="0" fillId="3" borderId="0" xfId="0" applyNumberFormat="1" applyFill="1"/>
    <xf numFmtId="166" fontId="0" fillId="0" borderId="17" xfId="0" applyNumberFormat="1" applyBorder="1"/>
    <xf numFmtId="166" fontId="0" fillId="0" borderId="18" xfId="0" applyNumberFormat="1" applyBorder="1"/>
    <xf numFmtId="166" fontId="0" fillId="0" borderId="19" xfId="0" applyNumberFormat="1" applyBorder="1"/>
    <xf numFmtId="166" fontId="0" fillId="0" borderId="20" xfId="0" applyNumberFormat="1" applyBorder="1"/>
    <xf numFmtId="166" fontId="0" fillId="0" borderId="21" xfId="0" applyNumberFormat="1" applyBorder="1"/>
    <xf numFmtId="166" fontId="0" fillId="0" borderId="22" xfId="0" applyNumberFormat="1" applyBorder="1"/>
    <xf numFmtId="166" fontId="0" fillId="7" borderId="21" xfId="0" applyNumberFormat="1" applyFill="1" applyBorder="1"/>
    <xf numFmtId="166" fontId="0" fillId="0" borderId="23" xfId="0" applyNumberFormat="1" applyBorder="1"/>
    <xf numFmtId="166" fontId="0" fillId="3" borderId="24" xfId="0" applyNumberFormat="1" applyFill="1" applyBorder="1"/>
    <xf numFmtId="166" fontId="0" fillId="0" borderId="24" xfId="0" applyNumberFormat="1" applyBorder="1"/>
    <xf numFmtId="166" fontId="0" fillId="0" borderId="25" xfId="0" applyNumberFormat="1" applyBorder="1"/>
    <xf numFmtId="0" fontId="0" fillId="10" borderId="0" xfId="0" applyFill="1"/>
    <xf numFmtId="177" fontId="0" fillId="10" borderId="0" xfId="1" applyNumberFormat="1" applyFont="1" applyFill="1"/>
    <xf numFmtId="0" fontId="3" fillId="9" borderId="0" xfId="0" applyFont="1" applyFill="1"/>
    <xf numFmtId="10" fontId="3" fillId="9" borderId="0" xfId="0" applyNumberFormat="1" applyFont="1" applyFill="1"/>
    <xf numFmtId="0" fontId="23" fillId="0" borderId="0" xfId="0" applyFont="1"/>
    <xf numFmtId="3" fontId="24" fillId="0" borderId="0" xfId="0" applyNumberFormat="1" applyFont="1"/>
    <xf numFmtId="0" fontId="25" fillId="0" borderId="0" xfId="0" applyFont="1"/>
    <xf numFmtId="0" fontId="21" fillId="3" borderId="0" xfId="0" applyFont="1" applyFill="1"/>
    <xf numFmtId="2" fontId="21" fillId="3" borderId="0" xfId="0" applyNumberFormat="1" applyFont="1" applyFill="1"/>
    <xf numFmtId="0" fontId="3" fillId="0" borderId="0" xfId="0" applyFont="1" applyAlignment="1">
      <alignment horizontal="left"/>
    </xf>
    <xf numFmtId="164" fontId="0" fillId="0" borderId="26" xfId="0" applyNumberFormat="1" applyBorder="1"/>
    <xf numFmtId="164" fontId="0" fillId="0" borderId="27" xfId="0" applyNumberFormat="1" applyBorder="1"/>
    <xf numFmtId="164" fontId="0" fillId="0" borderId="28" xfId="0" applyNumberFormat="1" applyBorder="1"/>
    <xf numFmtId="164" fontId="0" fillId="0" borderId="29" xfId="0" applyNumberFormat="1" applyBorder="1"/>
    <xf numFmtId="164" fontId="0" fillId="0" borderId="30" xfId="0" applyNumberFormat="1" applyBorder="1"/>
    <xf numFmtId="164" fontId="0" fillId="0" borderId="31" xfId="0" applyNumberFormat="1" applyBorder="1"/>
    <xf numFmtId="0" fontId="0" fillId="0" borderId="32" xfId="0" applyBorder="1"/>
    <xf numFmtId="0" fontId="8" fillId="3" borderId="0" xfId="0" applyFont="1" applyFill="1"/>
    <xf numFmtId="0" fontId="2" fillId="3" borderId="32" xfId="0" applyFont="1" applyFill="1" applyBorder="1"/>
    <xf numFmtId="0" fontId="3" fillId="0" borderId="33" xfId="0" applyFont="1" applyBorder="1"/>
    <xf numFmtId="164" fontId="0" fillId="0" borderId="34" xfId="0" applyNumberFormat="1" applyBorder="1"/>
    <xf numFmtId="164" fontId="0" fillId="0" borderId="35" xfId="0" applyNumberFormat="1" applyBorder="1"/>
    <xf numFmtId="164" fontId="0" fillId="0" borderId="36" xfId="0" applyNumberFormat="1" applyBorder="1"/>
    <xf numFmtId="0" fontId="11" fillId="0" borderId="0" xfId="0" applyFont="1"/>
    <xf numFmtId="17" fontId="26" fillId="11" borderId="0" xfId="0" applyNumberFormat="1" applyFont="1" applyFill="1" applyAlignment="1">
      <alignment vertical="top" wrapText="1"/>
    </xf>
    <xf numFmtId="2" fontId="26" fillId="11" borderId="0" xfId="0" applyNumberFormat="1" applyFont="1" applyFill="1" applyAlignment="1">
      <alignment vertical="top" wrapText="1"/>
    </xf>
    <xf numFmtId="10" fontId="26" fillId="11" borderId="0" xfId="1" applyNumberFormat="1" applyFont="1" applyFill="1" applyBorder="1" applyAlignment="1">
      <alignment vertical="top" wrapText="1"/>
    </xf>
    <xf numFmtId="0" fontId="27" fillId="2" borderId="0" xfId="0" applyFont="1" applyFill="1" applyAlignment="1">
      <alignment horizontal="center" wrapText="1"/>
    </xf>
    <xf numFmtId="164" fontId="0" fillId="0" borderId="6" xfId="0" applyNumberFormat="1" applyBorder="1"/>
    <xf numFmtId="0" fontId="3" fillId="0" borderId="7" xfId="0" applyFont="1" applyBorder="1" applyAlignment="1">
      <alignment horizontal="right"/>
    </xf>
    <xf numFmtId="10" fontId="0" fillId="0" borderId="37" xfId="1" applyNumberFormat="1" applyFont="1" applyBorder="1"/>
    <xf numFmtId="10" fontId="0" fillId="0" borderId="37" xfId="0" applyNumberFormat="1" applyBorder="1"/>
    <xf numFmtId="164" fontId="0" fillId="0" borderId="37" xfId="0" applyNumberFormat="1" applyBorder="1"/>
    <xf numFmtId="164" fontId="0" fillId="0" borderId="0" xfId="1" applyNumberFormat="1" applyFont="1"/>
    <xf numFmtId="0" fontId="0" fillId="0" borderId="39" xfId="0" applyBorder="1"/>
    <xf numFmtId="10" fontId="0" fillId="0" borderId="39" xfId="0" applyNumberFormat="1" applyBorder="1"/>
    <xf numFmtId="0" fontId="0" fillId="0" borderId="38" xfId="0" applyBorder="1"/>
    <xf numFmtId="0" fontId="3" fillId="0" borderId="38" xfId="0" applyFont="1" applyBorder="1"/>
    <xf numFmtId="10" fontId="3" fillId="0" borderId="37" xfId="1" applyNumberFormat="1" applyFont="1" applyBorder="1"/>
    <xf numFmtId="10" fontId="3" fillId="0" borderId="37" xfId="0" applyNumberFormat="1" applyFont="1" applyBorder="1"/>
    <xf numFmtId="164" fontId="3" fillId="0" borderId="37" xfId="0" applyNumberFormat="1" applyFont="1" applyBorder="1"/>
    <xf numFmtId="10" fontId="3" fillId="0" borderId="6" xfId="1" applyNumberFormat="1" applyFont="1" applyBorder="1"/>
    <xf numFmtId="10" fontId="3" fillId="0" borderId="6" xfId="0" applyNumberFormat="1" applyFont="1" applyBorder="1"/>
    <xf numFmtId="164" fontId="3" fillId="0" borderId="6" xfId="0" applyNumberFormat="1" applyFont="1" applyBorder="1"/>
    <xf numFmtId="0" fontId="11" fillId="0" borderId="40" xfId="0" applyFont="1" applyBorder="1"/>
    <xf numFmtId="0" fontId="0" fillId="0" borderId="40" xfId="0" applyBorder="1"/>
    <xf numFmtId="0" fontId="3" fillId="2" borderId="0" xfId="0" applyFont="1" applyFill="1"/>
    <xf numFmtId="0" fontId="3" fillId="10" borderId="0" xfId="0" applyFont="1" applyFill="1"/>
    <xf numFmtId="10" fontId="3" fillId="10" borderId="0" xfId="1" applyNumberFormat="1" applyFont="1" applyFill="1"/>
    <xf numFmtId="181" fontId="3" fillId="10" borderId="0" xfId="1" applyNumberFormat="1" applyFont="1" applyFill="1"/>
    <xf numFmtId="180" fontId="3" fillId="10" borderId="0" xfId="1" applyNumberFormat="1" applyFont="1" applyFill="1"/>
    <xf numFmtId="0" fontId="28" fillId="0" borderId="0" xfId="0" applyFont="1"/>
    <xf numFmtId="0" fontId="31" fillId="0" borderId="40" xfId="0" applyFont="1" applyBorder="1"/>
    <xf numFmtId="0" fontId="32" fillId="3" borderId="0" xfId="0" applyFont="1" applyFill="1"/>
    <xf numFmtId="10" fontId="3" fillId="3" borderId="0" xfId="1" applyNumberFormat="1" applyFont="1" applyFill="1"/>
    <xf numFmtId="10" fontId="3" fillId="3" borderId="0" xfId="1" applyNumberFormat="1" applyFont="1" applyFill="1" applyBorder="1"/>
    <xf numFmtId="10" fontId="3" fillId="2" borderId="0" xfId="1" applyNumberFormat="1" applyFont="1" applyFill="1" applyBorder="1"/>
    <xf numFmtId="43" fontId="12" fillId="3" borderId="0" xfId="2" applyFont="1" applyFill="1" applyBorder="1"/>
    <xf numFmtId="0" fontId="12" fillId="3" borderId="0" xfId="3" applyFont="1" applyFill="1"/>
    <xf numFmtId="182" fontId="0" fillId="0" borderId="0" xfId="0" applyNumberFormat="1"/>
    <xf numFmtId="178" fontId="33" fillId="0" borderId="0" xfId="0" applyNumberFormat="1" applyFont="1"/>
    <xf numFmtId="178" fontId="0" fillId="3" borderId="0" xfId="0" applyNumberFormat="1" applyFill="1"/>
    <xf numFmtId="181" fontId="3" fillId="3" borderId="0" xfId="1" applyNumberFormat="1" applyFont="1" applyFill="1"/>
    <xf numFmtId="17" fontId="20" fillId="3" borderId="0" xfId="0" applyNumberFormat="1" applyFont="1" applyFill="1" applyAlignment="1">
      <alignment horizontal="right"/>
    </xf>
    <xf numFmtId="167" fontId="3" fillId="2" borderId="0" xfId="0" applyNumberFormat="1" applyFont="1" applyFill="1"/>
    <xf numFmtId="0" fontId="2" fillId="2" borderId="0" xfId="0" applyFont="1" applyFill="1" applyAlignment="1">
      <alignment horizontal="center"/>
    </xf>
    <xf numFmtId="0" fontId="29" fillId="0" borderId="0" xfId="0" applyFont="1" applyAlignment="1">
      <alignment vertical="top" wrapText="1"/>
    </xf>
    <xf numFmtId="0" fontId="2" fillId="3" borderId="0" xfId="0" applyFont="1" applyFill="1" applyAlignment="1">
      <alignment horizontal="center"/>
    </xf>
    <xf numFmtId="0" fontId="2" fillId="2" borderId="0" xfId="0" applyFont="1" applyFill="1" applyAlignment="1">
      <alignment horizontal="left"/>
    </xf>
    <xf numFmtId="0" fontId="2" fillId="2" borderId="15" xfId="0" applyFont="1" applyFill="1" applyBorder="1" applyAlignment="1">
      <alignment horizontal="center"/>
    </xf>
    <xf numFmtId="43" fontId="19" fillId="0" borderId="0" xfId="7" applyNumberFormat="1" applyFont="1" applyBorder="1" applyAlignment="1" applyProtection="1">
      <alignment horizontal="center"/>
    </xf>
    <xf numFmtId="43" fontId="15" fillId="5" borderId="0" xfId="6" applyNumberFormat="1" applyFont="1" applyBorder="1" applyAlignment="1">
      <alignment horizontal="center"/>
    </xf>
  </cellXfs>
  <cellStyles count="8">
    <cellStyle name="Accent6 2" xfId="6" xr:uid="{3FC5F08E-89A7-4C1B-9BFA-A3A60A2EB647}"/>
    <cellStyle name="Comma 2" xfId="2" xr:uid="{E3DD7728-CC7B-46A6-8EDA-0B19371B302D}"/>
    <cellStyle name="Hyperlink 2" xfId="7" xr:uid="{53547C38-D007-405C-8AD4-5FF11D8096C5}"/>
    <cellStyle name="Normal" xfId="0" builtinId="0"/>
    <cellStyle name="Normal 2" xfId="4" xr:uid="{160FE8F1-49B4-4109-AAB8-512FFD2A797E}"/>
    <cellStyle name="Normal 3" xfId="3" xr:uid="{2A8C558C-71EC-4170-BD5F-CB20524435BF}"/>
    <cellStyle name="Percent" xfId="1" builtinId="5"/>
    <cellStyle name="Percent 3" xfId="5" xr:uid="{2591A462-8EEB-40B8-BDCF-C7D8300B07E4}"/>
  </cellStyles>
  <dxfs count="1">
    <dxf>
      <font>
        <b/>
        <i val="0"/>
        <color theme="0"/>
      </font>
      <fill>
        <patternFill>
          <bgColor theme="5"/>
        </patternFill>
      </fill>
    </dxf>
  </dxfs>
  <tableStyles count="0" defaultTableStyle="TableStyleMedium2" defaultPivotStyle="PivotStyleLight16"/>
  <colors>
    <mruColors>
      <color rgb="FF63A0D7"/>
      <color rgb="FF317CC1"/>
      <color rgb="FF00569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300" b="1">
                <a:solidFill>
                  <a:srgbClr val="002060"/>
                </a:solidFill>
              </a:rPr>
              <a:t>Football</a:t>
            </a:r>
            <a:r>
              <a:rPr lang="en-IN" sz="1300" b="1" baseline="0">
                <a:solidFill>
                  <a:srgbClr val="002060"/>
                </a:solidFill>
              </a:rPr>
              <a:t> field Analysis - Valuation Summary (Rs)</a:t>
            </a:r>
            <a:endParaRPr lang="en-IN" sz="1300" b="1">
              <a:solidFill>
                <a:srgbClr val="002060"/>
              </a:solidFill>
            </a:endParaRP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1712270341207349"/>
          <c:y val="0.1660648148148148"/>
          <c:w val="0.85232174103237091"/>
          <c:h val="0.72653579760863229"/>
        </c:manualLayout>
      </c:layout>
      <c:stockChart>
        <c:ser>
          <c:idx val="0"/>
          <c:order val="0"/>
          <c:spPr>
            <a:ln w="19050" cap="rnd">
              <a:noFill/>
              <a:round/>
            </a:ln>
            <a:effectLst/>
          </c:spPr>
          <c:marker>
            <c:symbol val="none"/>
          </c:marker>
          <c:cat>
            <c:strRef>
              <c:f>'Football Field'!$B$26:$B$30</c:f>
              <c:strCache>
                <c:ptCount val="5"/>
                <c:pt idx="0">
                  <c:v>Comps</c:v>
                </c:pt>
                <c:pt idx="1">
                  <c:v>DCF Bear</c:v>
                </c:pt>
                <c:pt idx="2">
                  <c:v>DCF Base</c:v>
                </c:pt>
                <c:pt idx="3">
                  <c:v>DCF Bull </c:v>
                </c:pt>
                <c:pt idx="4">
                  <c:v>52W H/L</c:v>
                </c:pt>
              </c:strCache>
            </c:strRef>
          </c:cat>
          <c:val>
            <c:numRef>
              <c:f>'Football Field'!$C$26:$C$30</c:f>
              <c:numCache>
                <c:formatCode>0.0</c:formatCode>
                <c:ptCount val="5"/>
                <c:pt idx="0">
                  <c:v>1699.0048276870043</c:v>
                </c:pt>
                <c:pt idx="1">
                  <c:v>665.05774131146086</c:v>
                </c:pt>
                <c:pt idx="2">
                  <c:v>742.5941143063427</c:v>
                </c:pt>
                <c:pt idx="3">
                  <c:v>877.30658968953685</c:v>
                </c:pt>
                <c:pt idx="4">
                  <c:v>1926.2</c:v>
                </c:pt>
              </c:numCache>
            </c:numRef>
          </c:val>
          <c:smooth val="0"/>
          <c:extLst>
            <c:ext xmlns:c16="http://schemas.microsoft.com/office/drawing/2014/chart" uri="{C3380CC4-5D6E-409C-BE32-E72D297353CC}">
              <c16:uniqueId val="{00000000-EF91-4DB8-9CF5-3CDEC6EACEDC}"/>
            </c:ext>
          </c:extLst>
        </c:ser>
        <c:ser>
          <c:idx val="1"/>
          <c:order val="1"/>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Field'!$B$26:$B$30</c:f>
              <c:strCache>
                <c:ptCount val="5"/>
                <c:pt idx="0">
                  <c:v>Comps</c:v>
                </c:pt>
                <c:pt idx="1">
                  <c:v>DCF Bear</c:v>
                </c:pt>
                <c:pt idx="2">
                  <c:v>DCF Base</c:v>
                </c:pt>
                <c:pt idx="3">
                  <c:v>DCF Bull </c:v>
                </c:pt>
                <c:pt idx="4">
                  <c:v>52W H/L</c:v>
                </c:pt>
              </c:strCache>
            </c:strRef>
          </c:cat>
          <c:val>
            <c:numRef>
              <c:f>'Football Field'!$D$26:$D$30</c:f>
              <c:numCache>
                <c:formatCode>0.0</c:formatCode>
                <c:ptCount val="5"/>
                <c:pt idx="0">
                  <c:v>1699.0048276870043</c:v>
                </c:pt>
                <c:pt idx="1">
                  <c:v>665.05774131146086</c:v>
                </c:pt>
                <c:pt idx="2">
                  <c:v>742.5941143063427</c:v>
                </c:pt>
                <c:pt idx="3">
                  <c:v>877.30658968953685</c:v>
                </c:pt>
                <c:pt idx="4">
                  <c:v>1926.2</c:v>
                </c:pt>
              </c:numCache>
            </c:numRef>
          </c:val>
          <c:smooth val="0"/>
          <c:extLst>
            <c:ext xmlns:c16="http://schemas.microsoft.com/office/drawing/2014/chart" uri="{C3380CC4-5D6E-409C-BE32-E72D297353CC}">
              <c16:uniqueId val="{00000001-EF91-4DB8-9CF5-3CDEC6EACEDC}"/>
            </c:ext>
          </c:extLst>
        </c:ser>
        <c:ser>
          <c:idx val="2"/>
          <c:order val="2"/>
          <c:spPr>
            <a:ln w="19050" cap="rnd">
              <a:noFill/>
              <a:round/>
            </a:ln>
            <a:effectLst/>
          </c:spPr>
          <c:marker>
            <c:symbol val="none"/>
          </c:marker>
          <c:cat>
            <c:strRef>
              <c:f>'Football Field'!$B$26:$B$30</c:f>
              <c:strCache>
                <c:ptCount val="5"/>
                <c:pt idx="0">
                  <c:v>Comps</c:v>
                </c:pt>
                <c:pt idx="1">
                  <c:v>DCF Bear</c:v>
                </c:pt>
                <c:pt idx="2">
                  <c:v>DCF Base</c:v>
                </c:pt>
                <c:pt idx="3">
                  <c:v>DCF Bull </c:v>
                </c:pt>
                <c:pt idx="4">
                  <c:v>52W H/L</c:v>
                </c:pt>
              </c:strCache>
            </c:strRef>
          </c:cat>
          <c:val>
            <c:numRef>
              <c:f>'Football Field'!$E$26:$E$30</c:f>
              <c:numCache>
                <c:formatCode>0.0</c:formatCode>
                <c:ptCount val="5"/>
                <c:pt idx="0">
                  <c:v>2932.6351922093222</c:v>
                </c:pt>
                <c:pt idx="1">
                  <c:v>1195.6798622566505</c:v>
                </c:pt>
                <c:pt idx="2">
                  <c:v>1704.345205783419</c:v>
                </c:pt>
                <c:pt idx="3">
                  <c:v>4061.0393153606728</c:v>
                </c:pt>
                <c:pt idx="4">
                  <c:v>2667.2</c:v>
                </c:pt>
              </c:numCache>
            </c:numRef>
          </c:val>
          <c:smooth val="0"/>
          <c:extLst>
            <c:ext xmlns:c16="http://schemas.microsoft.com/office/drawing/2014/chart" uri="{C3380CC4-5D6E-409C-BE32-E72D297353CC}">
              <c16:uniqueId val="{00000002-EF91-4DB8-9CF5-3CDEC6EACEDC}"/>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Field'!$B$26:$B$30</c:f>
              <c:strCache>
                <c:ptCount val="5"/>
                <c:pt idx="0">
                  <c:v>Comps</c:v>
                </c:pt>
                <c:pt idx="1">
                  <c:v>DCF Bear</c:v>
                </c:pt>
                <c:pt idx="2">
                  <c:v>DCF Base</c:v>
                </c:pt>
                <c:pt idx="3">
                  <c:v>DCF Bull </c:v>
                </c:pt>
                <c:pt idx="4">
                  <c:v>52W H/L</c:v>
                </c:pt>
              </c:strCache>
            </c:strRef>
          </c:cat>
          <c:val>
            <c:numRef>
              <c:f>'Football Field'!$F$26:$F$30</c:f>
              <c:numCache>
                <c:formatCode>0.0</c:formatCode>
                <c:ptCount val="5"/>
                <c:pt idx="0">
                  <c:v>2932.6351922093222</c:v>
                </c:pt>
                <c:pt idx="1">
                  <c:v>1195.6798622566505</c:v>
                </c:pt>
                <c:pt idx="2">
                  <c:v>1704.345205783419</c:v>
                </c:pt>
                <c:pt idx="3">
                  <c:v>4061.0393153606728</c:v>
                </c:pt>
                <c:pt idx="4">
                  <c:v>2667.2</c:v>
                </c:pt>
              </c:numCache>
            </c:numRef>
          </c:val>
          <c:smooth val="0"/>
          <c:extLst>
            <c:ext xmlns:c16="http://schemas.microsoft.com/office/drawing/2014/chart" uri="{C3380CC4-5D6E-409C-BE32-E72D297353CC}">
              <c16:uniqueId val="{00000003-EF91-4DB8-9CF5-3CDEC6EACED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90162416"/>
        <c:axId val="2137165776"/>
      </c:stockChart>
      <c:catAx>
        <c:axId val="901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65776"/>
        <c:crosses val="autoZero"/>
        <c:auto val="1"/>
        <c:lblAlgn val="ctr"/>
        <c:lblOffset val="100"/>
        <c:noMultiLvlLbl val="0"/>
      </c:catAx>
      <c:valAx>
        <c:axId val="213716577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chemeClr val="accent1">
                <a:lumMod val="75000"/>
              </a:schemeClr>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55A3-48E3-BB08-B0F0C34588CF}"/>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55A3-48E3-BB08-B0F0C34588C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55A3-48E3-BB08-B0F0C34588C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#,##0.0;\(#,##0.0\)</c:formatCode>
                <c:ptCount val="4"/>
                <c:pt idx="0">
                  <c:v>60580</c:v>
                </c:pt>
                <c:pt idx="1">
                  <c:v>61896</c:v>
                </c:pt>
                <c:pt idx="2">
                  <c:v>61328</c:v>
                </c:pt>
                <c:pt idx="3">
                  <c:v>64468</c:v>
                </c:pt>
              </c:numCache>
            </c:numRef>
          </c:val>
          <c:extLst>
            <c:ext xmlns:c16="http://schemas.microsoft.com/office/drawing/2014/chart" uri="{C3380CC4-5D6E-409C-BE32-E72D297353CC}">
              <c16:uniqueId val="{00000000-55A3-48E3-BB08-B0F0C34588CF}"/>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4688-4F5B-853C-0B4D7FF8A884}"/>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4688-4F5B-853C-0B4D7FF8A88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4688-4F5B-853C-0B4D7FF8A884}"/>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8-4688-4F5B-853C-0B4D7FF8A88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Analysis'!$F$58:$I$58</c:f>
              <c:numCache>
                <c:formatCode>mmm\-yy</c:formatCode>
                <c:ptCount val="4"/>
                <c:pt idx="0">
                  <c:v>45016</c:v>
                </c:pt>
                <c:pt idx="1">
                  <c:v>45382</c:v>
                </c:pt>
                <c:pt idx="2">
                  <c:v>45747</c:v>
                </c:pt>
                <c:pt idx="3">
                  <c:v>46112</c:v>
                </c:pt>
              </c:numCache>
            </c:numRef>
          </c:cat>
          <c:val>
            <c:numRef>
              <c:f>'Dupont Analysis'!$F$59:$I$59</c:f>
              <c:numCache>
                <c:formatCode>#,##0.0;\(#,##0.0\)</c:formatCode>
                <c:ptCount val="4"/>
                <c:pt idx="0">
                  <c:v>10120</c:v>
                </c:pt>
                <c:pt idx="1">
                  <c:v>10277</c:v>
                </c:pt>
                <c:pt idx="2">
                  <c:v>10649</c:v>
                </c:pt>
                <c:pt idx="3">
                  <c:v>15040</c:v>
                </c:pt>
              </c:numCache>
            </c:numRef>
          </c:val>
          <c:extLst>
            <c:ext xmlns:c16="http://schemas.microsoft.com/office/drawing/2014/chart" uri="{C3380CC4-5D6E-409C-BE32-E72D297353CC}">
              <c16:uniqueId val="{00000006-4688-4F5B-853C-0B4D7FF8A884}"/>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903A-4981-AB6B-A8B723F420AF}"/>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903A-4981-AB6B-A8B723F420A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903A-4981-AB6B-A8B723F420AF}"/>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903A-4981-AB6B-A8B723F420A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Analysis'!$F$58:$I$58</c:f>
              <c:numCache>
                <c:formatCode>mmm\-yy</c:formatCode>
                <c:ptCount val="4"/>
                <c:pt idx="0">
                  <c:v>45016</c:v>
                </c:pt>
                <c:pt idx="1">
                  <c:v>45382</c:v>
                </c:pt>
                <c:pt idx="2">
                  <c:v>45747</c:v>
                </c:pt>
                <c:pt idx="3">
                  <c:v>46112</c:v>
                </c:pt>
              </c:numCache>
            </c:numRef>
          </c:cat>
          <c:val>
            <c:numRef>
              <c:f>'Dupont Analysis'!$F$71:$I$71</c:f>
              <c:numCache>
                <c:formatCode>#,##0.0;\(#,##0.0\)</c:formatCode>
                <c:ptCount val="4"/>
                <c:pt idx="0">
                  <c:v>71791.5</c:v>
                </c:pt>
                <c:pt idx="1">
                  <c:v>75783</c:v>
                </c:pt>
                <c:pt idx="2">
                  <c:v>79176</c:v>
                </c:pt>
                <c:pt idx="3">
                  <c:v>79800.5</c:v>
                </c:pt>
              </c:numCache>
            </c:numRef>
          </c:val>
          <c:extLst>
            <c:ext xmlns:c16="http://schemas.microsoft.com/office/drawing/2014/chart" uri="{C3380CC4-5D6E-409C-BE32-E72D297353CC}">
              <c16:uniqueId val="{00000006-903A-4981-AB6B-A8B723F420AF}"/>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796B-491C-A421-593941E1B214}"/>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796B-491C-A421-593941E1B21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796B-491C-A421-593941E1B214}"/>
              </c:ext>
            </c:extLst>
          </c:dPt>
          <c:dPt>
            <c:idx val="3"/>
            <c:invertIfNegative val="0"/>
            <c:bubble3D val="0"/>
            <c:spPr>
              <a:solidFill>
                <a:schemeClr val="accent1">
                  <a:lumMod val="75000"/>
                </a:schemeClr>
              </a:solidFill>
              <a:ln>
                <a:solidFill>
                  <a:schemeClr val="tx1">
                    <a:alpha val="97000"/>
                  </a:schemeClr>
                </a:solidFill>
              </a:ln>
              <a:effectLst/>
            </c:spPr>
            <c:extLst>
              <c:ext xmlns:c16="http://schemas.microsoft.com/office/drawing/2014/chart" uri="{C3380CC4-5D6E-409C-BE32-E72D297353CC}">
                <c16:uniqueId val="{00000007-796B-491C-A421-593941E1B2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Analysis'!$F$79:$I$79</c:f>
              <c:numCache>
                <c:formatCode>0.00%</c:formatCode>
                <c:ptCount val="4"/>
                <c:pt idx="0">
                  <c:v>0.20369345342927589</c:v>
                </c:pt>
                <c:pt idx="1">
                  <c:v>0.20245858040621736</c:v>
                </c:pt>
                <c:pt idx="2">
                  <c:v>0.21166766050486979</c:v>
                </c:pt>
                <c:pt idx="3">
                  <c:v>0.30649779399027927</c:v>
                </c:pt>
              </c:numCache>
            </c:numRef>
          </c:val>
          <c:extLst>
            <c:ext xmlns:c16="http://schemas.microsoft.com/office/drawing/2014/chart" uri="{C3380CC4-5D6E-409C-BE32-E72D297353CC}">
              <c16:uniqueId val="{00000006-796B-491C-A421-593941E1B214}"/>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D3D5-418F-8FFB-D36EC395626C}"/>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D3D5-418F-8FFB-D36EC395626C}"/>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D3D5-418F-8FFB-D36EC395626C}"/>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D3D5-418F-8FFB-D36EC39562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Analysis'!$F$82:$I$82</c:f>
              <c:numCache>
                <c:formatCode>mmm\-yy</c:formatCode>
                <c:ptCount val="4"/>
                <c:pt idx="0">
                  <c:v>45016</c:v>
                </c:pt>
                <c:pt idx="1">
                  <c:v>45382</c:v>
                </c:pt>
                <c:pt idx="2">
                  <c:v>45747</c:v>
                </c:pt>
                <c:pt idx="3">
                  <c:v>46112</c:v>
                </c:pt>
              </c:numCache>
            </c:numRef>
          </c:cat>
          <c:val>
            <c:numRef>
              <c:f>'Dupont Analysis'!$F$97:$I$97</c:f>
              <c:numCache>
                <c:formatCode>0.00%</c:formatCode>
                <c:ptCount val="4"/>
                <c:pt idx="0">
                  <c:v>0.14096376311958936</c:v>
                </c:pt>
                <c:pt idx="1">
                  <c:v>0.1356108889856564</c:v>
                </c:pt>
                <c:pt idx="2">
                  <c:v>0.13449782762453269</c:v>
                </c:pt>
                <c:pt idx="3">
                  <c:v>0.1884699970551563</c:v>
                </c:pt>
              </c:numCache>
            </c:numRef>
          </c:val>
          <c:extLst>
            <c:ext xmlns:c16="http://schemas.microsoft.com/office/drawing/2014/chart" uri="{C3380CC4-5D6E-409C-BE32-E72D297353CC}">
              <c16:uniqueId val="{00000008-D3D5-418F-8FFB-D36EC395626C}"/>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76C6-4E60-97A4-D6D9DAA7B503}"/>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76C6-4E60-97A4-D6D9DAA7B50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76C6-4E60-97A4-D6D9DAA7B503}"/>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76C6-4E60-97A4-D6D9DAA7B5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Analysis'!$F$58:$I$58</c:f>
              <c:numCache>
                <c:formatCode>mmm\-yy</c:formatCode>
                <c:ptCount val="4"/>
                <c:pt idx="0">
                  <c:v>45016</c:v>
                </c:pt>
                <c:pt idx="1">
                  <c:v>45382</c:v>
                </c:pt>
                <c:pt idx="2">
                  <c:v>45747</c:v>
                </c:pt>
                <c:pt idx="3">
                  <c:v>46112</c:v>
                </c:pt>
              </c:numCache>
            </c:numRef>
          </c:cat>
          <c:val>
            <c:numRef>
              <c:f>'Dupont Analysis'!$F$76:$I$76</c:f>
              <c:numCache>
                <c:formatCode>0.00\ \x</c:formatCode>
                <c:ptCount val="4"/>
                <c:pt idx="0">
                  <c:v>1.4450057867458361</c:v>
                </c:pt>
                <c:pt idx="1">
                  <c:v>1.4929374913811784</c:v>
                </c:pt>
                <c:pt idx="2">
                  <c:v>1.57376267143709</c:v>
                </c:pt>
                <c:pt idx="3">
                  <c:v>1.6262418357261492</c:v>
                </c:pt>
              </c:numCache>
            </c:numRef>
          </c:val>
          <c:extLst>
            <c:ext xmlns:c16="http://schemas.microsoft.com/office/drawing/2014/chart" uri="{C3380CC4-5D6E-409C-BE32-E72D297353CC}">
              <c16:uniqueId val="{00000008-76C6-4E60-97A4-D6D9DAA7B503}"/>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 \x"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Score'!$C$26:$I$26</c:f>
              <c:numCache>
                <c:formatCode>mmm\-yy</c:formatCode>
                <c:ptCount val="7"/>
                <c:pt idx="0">
                  <c:v>43921</c:v>
                </c:pt>
                <c:pt idx="1">
                  <c:v>44286</c:v>
                </c:pt>
                <c:pt idx="2">
                  <c:v>44651</c:v>
                </c:pt>
                <c:pt idx="3">
                  <c:v>45016</c:v>
                </c:pt>
                <c:pt idx="4">
                  <c:v>45382</c:v>
                </c:pt>
                <c:pt idx="5">
                  <c:v>45747</c:v>
                </c:pt>
                <c:pt idx="6">
                  <c:v>46112</c:v>
                </c:pt>
              </c:numCache>
            </c:numRef>
          </c:cat>
          <c:val>
            <c:numRef>
              <c:f>'Altman Z Score'!$C$29:$I$29</c:f>
              <c:numCache>
                <c:formatCode>0.00%</c:formatCode>
                <c:ptCount val="7"/>
                <c:pt idx="0">
                  <c:v>4.4559122711258871E-2</c:v>
                </c:pt>
                <c:pt idx="1">
                  <c:v>-0.1050771021239453</c:v>
                </c:pt>
                <c:pt idx="2">
                  <c:v>-8.7978328085553004E-2</c:v>
                </c:pt>
                <c:pt idx="3">
                  <c:v>-7.0733609754094998E-2</c:v>
                </c:pt>
                <c:pt idx="4">
                  <c:v>-8.5260354954197398E-2</c:v>
                </c:pt>
                <c:pt idx="5">
                  <c:v>-0.10147377383769705</c:v>
                </c:pt>
                <c:pt idx="6">
                  <c:v>-0.1561363465349018</c:v>
                </c:pt>
              </c:numCache>
            </c:numRef>
          </c:val>
          <c:extLst>
            <c:ext xmlns:c16="http://schemas.microsoft.com/office/drawing/2014/chart" uri="{C3380CC4-5D6E-409C-BE32-E72D297353CC}">
              <c16:uniqueId val="{00000000-E02F-44AB-8A3C-8D6DBD326F4D}"/>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Score'!$C$33:$I$33</c:f>
              <c:numCache>
                <c:formatCode>mmm\-yy</c:formatCode>
                <c:ptCount val="7"/>
                <c:pt idx="0">
                  <c:v>43921</c:v>
                </c:pt>
                <c:pt idx="1">
                  <c:v>44286</c:v>
                </c:pt>
                <c:pt idx="2">
                  <c:v>44651</c:v>
                </c:pt>
                <c:pt idx="3">
                  <c:v>45016</c:v>
                </c:pt>
                <c:pt idx="4">
                  <c:v>45382</c:v>
                </c:pt>
                <c:pt idx="5">
                  <c:v>45747</c:v>
                </c:pt>
                <c:pt idx="6">
                  <c:v>46112</c:v>
                </c:pt>
              </c:numCache>
            </c:numRef>
          </c:cat>
          <c:val>
            <c:numRef>
              <c:f>'Altman Z Score'!$C$36:$I$36</c:f>
              <c:numCache>
                <c:formatCode>0.00%</c:formatCode>
                <c:ptCount val="7"/>
                <c:pt idx="0">
                  <c:v>0.39760829653153379</c:v>
                </c:pt>
                <c:pt idx="1">
                  <c:v>0.69012219959266807</c:v>
                </c:pt>
                <c:pt idx="2">
                  <c:v>0.69250843899809944</c:v>
                </c:pt>
                <c:pt idx="3">
                  <c:v>0.68515401562735201</c:v>
                </c:pt>
                <c:pt idx="4">
                  <c:v>0.64955598873727527</c:v>
                </c:pt>
                <c:pt idx="5">
                  <c:v>0.6156417865594831</c:v>
                </c:pt>
                <c:pt idx="6">
                  <c:v>0.60829215681356441</c:v>
                </c:pt>
              </c:numCache>
            </c:numRef>
          </c:val>
          <c:extLst>
            <c:ext xmlns:c16="http://schemas.microsoft.com/office/drawing/2014/chart" uri="{C3380CC4-5D6E-409C-BE32-E72D297353CC}">
              <c16:uniqueId val="{00000000-1BC5-41D7-9710-11865DA7BDCD}"/>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Score'!$C$39:$I$39</c:f>
              <c:numCache>
                <c:formatCode>mmm\-yy</c:formatCode>
                <c:ptCount val="7"/>
                <c:pt idx="0">
                  <c:v>43921</c:v>
                </c:pt>
                <c:pt idx="1">
                  <c:v>44286</c:v>
                </c:pt>
                <c:pt idx="2">
                  <c:v>44651</c:v>
                </c:pt>
                <c:pt idx="3">
                  <c:v>45016</c:v>
                </c:pt>
                <c:pt idx="4">
                  <c:v>45382</c:v>
                </c:pt>
                <c:pt idx="5">
                  <c:v>45747</c:v>
                </c:pt>
                <c:pt idx="6">
                  <c:v>46112</c:v>
                </c:pt>
              </c:numCache>
            </c:numRef>
          </c:cat>
          <c:val>
            <c:numRef>
              <c:f>'Altman Z Score'!$C$42:$I$42</c:f>
              <c:numCache>
                <c:formatCode>0.00\ \x</c:formatCode>
                <c:ptCount val="7"/>
                <c:pt idx="0">
                  <c:v>0.43958715823946809</c:v>
                </c:pt>
                <c:pt idx="1">
                  <c:v>0.15350596450392784</c:v>
                </c:pt>
                <c:pt idx="2">
                  <c:v>0.16687941451791338</c:v>
                </c:pt>
                <c:pt idx="3">
                  <c:v>0.17803139154590364</c:v>
                </c:pt>
                <c:pt idx="4">
                  <c:v>0.171272407598517</c:v>
                </c:pt>
                <c:pt idx="5">
                  <c:v>0.16835080074627801</c:v>
                </c:pt>
                <c:pt idx="6">
                  <c:v>0.17188793298051117</c:v>
                </c:pt>
              </c:numCache>
            </c:numRef>
          </c:val>
          <c:extLst>
            <c:ext xmlns:c16="http://schemas.microsoft.com/office/drawing/2014/chart" uri="{C3380CC4-5D6E-409C-BE32-E72D297353CC}">
              <c16:uniqueId val="{00000000-5949-4E9E-BA86-EFCE3B188DDB}"/>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 \x"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overflow" horzOverflow="overflow" vert="horz" wrap="square" lIns="0" tIns="36000" rIns="0" bIns="19050" numCol="1" spcCol="54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'Altman Z Score'!$C$45:$I$45</c:f>
              <c:numCache>
                <c:formatCode>mmm\-yy</c:formatCode>
                <c:ptCount val="7"/>
                <c:pt idx="0">
                  <c:v>43921</c:v>
                </c:pt>
                <c:pt idx="1">
                  <c:v>44286</c:v>
                </c:pt>
                <c:pt idx="2">
                  <c:v>44651</c:v>
                </c:pt>
                <c:pt idx="3">
                  <c:v>45016</c:v>
                </c:pt>
                <c:pt idx="4">
                  <c:v>45382</c:v>
                </c:pt>
                <c:pt idx="5">
                  <c:v>45747</c:v>
                </c:pt>
                <c:pt idx="6">
                  <c:v>46112</c:v>
                </c:pt>
              </c:numCache>
            </c:numRef>
          </c:cat>
          <c:val>
            <c:numRef>
              <c:f>'Altman Z Score'!$C$48:$I$48</c:f>
              <c:numCache>
                <c:formatCode>0.0%</c:formatCode>
                <c:ptCount val="7"/>
                <c:pt idx="0">
                  <c:v>23.577793876842154</c:v>
                </c:pt>
                <c:pt idx="1">
                  <c:v>7.9556764620308398</c:v>
                </c:pt>
                <c:pt idx="2">
                  <c:v>6.5351104870507477</c:v>
                </c:pt>
                <c:pt idx="3">
                  <c:v>7.8800908630622502</c:v>
                </c:pt>
                <c:pt idx="4">
                  <c:v>6.4885257806826431</c:v>
                </c:pt>
                <c:pt idx="5">
                  <c:v>6.3614164256288896</c:v>
                </c:pt>
                <c:pt idx="6">
                  <c:v>6.056986631217236</c:v>
                </c:pt>
              </c:numCache>
            </c:numRef>
          </c:val>
          <c:extLst>
            <c:ext xmlns:c16="http://schemas.microsoft.com/office/drawing/2014/chart" uri="{C3380CC4-5D6E-409C-BE32-E72D297353CC}">
              <c16:uniqueId val="{00000000-6395-452A-AB8E-54FE3F3E13E1}"/>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Score'!$C$51:$I$51</c:f>
              <c:numCache>
                <c:formatCode>mmm\-yy</c:formatCode>
                <c:ptCount val="7"/>
                <c:pt idx="0">
                  <c:v>43921</c:v>
                </c:pt>
                <c:pt idx="1">
                  <c:v>44286</c:v>
                </c:pt>
                <c:pt idx="2">
                  <c:v>44651</c:v>
                </c:pt>
                <c:pt idx="3">
                  <c:v>45016</c:v>
                </c:pt>
                <c:pt idx="4">
                  <c:v>45382</c:v>
                </c:pt>
                <c:pt idx="5">
                  <c:v>45747</c:v>
                </c:pt>
                <c:pt idx="6">
                  <c:v>46112</c:v>
                </c:pt>
              </c:numCache>
            </c:numRef>
          </c:cat>
          <c:val>
            <c:numRef>
              <c:f>'Altman Z Score'!$C$54:$I$54</c:f>
              <c:numCache>
                <c:formatCode>0.0%</c:formatCode>
                <c:ptCount val="7"/>
                <c:pt idx="0">
                  <c:v>1.974048528755024</c:v>
                </c:pt>
                <c:pt idx="1">
                  <c:v>0.68414314809426824</c:v>
                </c:pt>
                <c:pt idx="2">
                  <c:v>0.74385158709897026</c:v>
                </c:pt>
                <c:pt idx="3">
                  <c:v>0.82898860106463046</c:v>
                </c:pt>
                <c:pt idx="4">
                  <c:v>0.78859458013224781</c:v>
                </c:pt>
                <c:pt idx="5">
                  <c:v>0.76791505453088416</c:v>
                </c:pt>
                <c:pt idx="6">
                  <c:v>0.80849783039454215</c:v>
                </c:pt>
              </c:numCache>
            </c:numRef>
          </c:val>
          <c:extLst>
            <c:ext xmlns:c16="http://schemas.microsoft.com/office/drawing/2014/chart" uri="{C3380CC4-5D6E-409C-BE32-E72D297353CC}">
              <c16:uniqueId val="{00000000-2776-410B-B20F-45FF6C4B04BA}"/>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4.6296296296296294E-2"/>
          <c:w val="0.93888888888888888"/>
          <c:h val="0.841674686497521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Score'!$C$57:$I$57</c:f>
              <c:numCache>
                <c:formatCode>mmm\-yy</c:formatCode>
                <c:ptCount val="7"/>
                <c:pt idx="0">
                  <c:v>43921</c:v>
                </c:pt>
                <c:pt idx="1">
                  <c:v>44286</c:v>
                </c:pt>
                <c:pt idx="2">
                  <c:v>44651</c:v>
                </c:pt>
                <c:pt idx="3">
                  <c:v>45016</c:v>
                </c:pt>
                <c:pt idx="4">
                  <c:v>45382</c:v>
                </c:pt>
                <c:pt idx="5">
                  <c:v>45747</c:v>
                </c:pt>
                <c:pt idx="6">
                  <c:v>46112</c:v>
                </c:pt>
              </c:numCache>
            </c:numRef>
          </c:cat>
          <c:val>
            <c:numRef>
              <c:f>'Altman Z Score'!$C$58:$I$58</c:f>
              <c:numCache>
                <c:formatCode>#,##0.0;\(#,##0.0\)</c:formatCode>
                <c:ptCount val="7"/>
                <c:pt idx="0">
                  <c:v>18.181485039448216</c:v>
                </c:pt>
                <c:pt idx="1">
                  <c:v>6.8041972650567342</c:v>
                </c:pt>
                <c:pt idx="2">
                  <c:v>6.0795577681332089</c:v>
                </c:pt>
                <c:pt idx="3">
                  <c:v>7.0188820011768414</c:v>
                </c:pt>
                <c:pt idx="4">
                  <c:v>6.0539749519040882</c:v>
                </c:pt>
                <c:pt idx="5">
                  <c:v>5.880452524948975</c:v>
                </c:pt>
                <c:pt idx="6">
                  <c:v>5.6741653916576791</c:v>
                </c:pt>
              </c:numCache>
            </c:numRef>
          </c:val>
          <c:extLst>
            <c:ext xmlns:c16="http://schemas.microsoft.com/office/drawing/2014/chart" uri="{C3380CC4-5D6E-409C-BE32-E72D297353CC}">
              <c16:uniqueId val="{00000000-8870-4ECC-B611-12A5347CFD5D}"/>
            </c:ext>
          </c:extLst>
        </c:ser>
        <c:dLbls>
          <c:showLegendKey val="0"/>
          <c:showVal val="0"/>
          <c:showCatName val="0"/>
          <c:showSerName val="0"/>
          <c:showPercent val="0"/>
          <c:showBubbleSize val="0"/>
        </c:dLbls>
        <c:gapWidth val="219"/>
        <c:overlap val="-27"/>
        <c:axId val="1082014767"/>
        <c:axId val="1043389519"/>
      </c:barChart>
      <c:catAx>
        <c:axId val="108201476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9519"/>
        <c:crosses val="autoZero"/>
        <c:auto val="0"/>
        <c:lblAlgn val="ctr"/>
        <c:lblOffset val="100"/>
        <c:noMultiLvlLbl val="0"/>
      </c:catAx>
      <c:valAx>
        <c:axId val="1043389519"/>
        <c:scaling>
          <c:orientation val="minMax"/>
        </c:scaling>
        <c:delete val="1"/>
        <c:axPos val="l"/>
        <c:numFmt formatCode="#,##0.0;\(#,##0.0\)" sourceLinked="1"/>
        <c:majorTickMark val="none"/>
        <c:minorTickMark val="none"/>
        <c:tickLblPos val="nextTo"/>
        <c:crossAx val="1082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Returns Distributions</a:t>
          </a:r>
        </a:p>
      </cx:txPr>
    </cx:title>
    <cx:plotArea>
      <cx:plotAreaRegion>
        <cx:series layoutId="clusteredColumn" uniqueId="{00000000-A43F-46CC-A791-756C3EB896A8}">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microsoft.com/office/2014/relationships/chartEx" Target="../charts/chartEx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2.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2.jpe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9</xdr:col>
      <xdr:colOff>694266</xdr:colOff>
      <xdr:row>1</xdr:row>
      <xdr:rowOff>8465</xdr:rowOff>
    </xdr:from>
    <xdr:to>
      <xdr:col>12</xdr:col>
      <xdr:colOff>795866</xdr:colOff>
      <xdr:row>6</xdr:row>
      <xdr:rowOff>160867</xdr:rowOff>
    </xdr:to>
    <xdr:pic>
      <xdr:nvPicPr>
        <xdr:cNvPr id="3" name="Picture 2">
          <a:extLst>
            <a:ext uri="{FF2B5EF4-FFF2-40B4-BE49-F238E27FC236}">
              <a16:creationId xmlns:a16="http://schemas.microsoft.com/office/drawing/2014/main" id="{8F1762A3-EB70-B086-F718-94B506FC1C8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8906933" y="194732"/>
          <a:ext cx="2565400" cy="1413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31750</xdr:colOff>
      <xdr:row>1</xdr:row>
      <xdr:rowOff>19050</xdr:rowOff>
    </xdr:from>
    <xdr:to>
      <xdr:col>15</xdr:col>
      <xdr:colOff>6350</xdr:colOff>
      <xdr:row>6</xdr:row>
      <xdr:rowOff>43</xdr:rowOff>
    </xdr:to>
    <xdr:pic>
      <xdr:nvPicPr>
        <xdr:cNvPr id="2" name="Picture 1">
          <a:extLst>
            <a:ext uri="{FF2B5EF4-FFF2-40B4-BE49-F238E27FC236}">
              <a16:creationId xmlns:a16="http://schemas.microsoft.com/office/drawing/2014/main" id="{EFCA55E3-B3B3-4685-88B7-4DBB4D40E8B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7359650" y="203200"/>
          <a:ext cx="2235200" cy="12319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1</xdr:row>
      <xdr:rowOff>6349</xdr:rowOff>
    </xdr:from>
    <xdr:to>
      <xdr:col>15</xdr:col>
      <xdr:colOff>12700</xdr:colOff>
      <xdr:row>6</xdr:row>
      <xdr:rowOff>190</xdr:rowOff>
    </xdr:to>
    <xdr:pic>
      <xdr:nvPicPr>
        <xdr:cNvPr id="2" name="Picture 1">
          <a:extLst>
            <a:ext uri="{FF2B5EF4-FFF2-40B4-BE49-F238E27FC236}">
              <a16:creationId xmlns:a16="http://schemas.microsoft.com/office/drawing/2014/main" id="{9B4EDD3D-3B1F-4DCD-8CFF-7F9DD5DF074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8699500" y="190499"/>
          <a:ext cx="2476500" cy="12955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247650</xdr:colOff>
      <xdr:row>1</xdr:row>
      <xdr:rowOff>38100</xdr:rowOff>
    </xdr:from>
    <xdr:to>
      <xdr:col>11</xdr:col>
      <xdr:colOff>546100</xdr:colOff>
      <xdr:row>5</xdr:row>
      <xdr:rowOff>150097</xdr:rowOff>
    </xdr:to>
    <xdr:pic>
      <xdr:nvPicPr>
        <xdr:cNvPr id="2" name="Picture 1">
          <a:extLst>
            <a:ext uri="{FF2B5EF4-FFF2-40B4-BE49-F238E27FC236}">
              <a16:creationId xmlns:a16="http://schemas.microsoft.com/office/drawing/2014/main" id="{B369F56E-76C9-4A4E-A873-5665328C6F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5956300" y="222250"/>
          <a:ext cx="2127250" cy="11787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31750</xdr:colOff>
      <xdr:row>1</xdr:row>
      <xdr:rowOff>31750</xdr:rowOff>
    </xdr:from>
    <xdr:to>
      <xdr:col>11</xdr:col>
      <xdr:colOff>603250</xdr:colOff>
      <xdr:row>5</xdr:row>
      <xdr:rowOff>161895</xdr:rowOff>
    </xdr:to>
    <xdr:pic>
      <xdr:nvPicPr>
        <xdr:cNvPr id="2" name="Picture 1">
          <a:extLst>
            <a:ext uri="{FF2B5EF4-FFF2-40B4-BE49-F238E27FC236}">
              <a16:creationId xmlns:a16="http://schemas.microsoft.com/office/drawing/2014/main" id="{57A4DD5D-F4A8-49A9-BE8E-43CDA1C0DF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8318500" y="215900"/>
          <a:ext cx="2171700" cy="11969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949091</xdr:colOff>
      <xdr:row>1</xdr:row>
      <xdr:rowOff>40459</xdr:rowOff>
    </xdr:from>
    <xdr:to>
      <xdr:col>16</xdr:col>
      <xdr:colOff>884917</xdr:colOff>
      <xdr:row>5</xdr:row>
      <xdr:rowOff>186317</xdr:rowOff>
    </xdr:to>
    <xdr:pic>
      <xdr:nvPicPr>
        <xdr:cNvPr id="2" name="Picture 1">
          <a:extLst>
            <a:ext uri="{FF2B5EF4-FFF2-40B4-BE49-F238E27FC236}">
              <a16:creationId xmlns:a16="http://schemas.microsoft.com/office/drawing/2014/main" id="{7A6515A1-5DA2-4DDD-BD2A-E32E0334B9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12153499" y="224275"/>
          <a:ext cx="2208457" cy="12153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1</xdr:row>
      <xdr:rowOff>19244</xdr:rowOff>
    </xdr:from>
    <xdr:to>
      <xdr:col>10</xdr:col>
      <xdr:colOff>602930</xdr:colOff>
      <xdr:row>5</xdr:row>
      <xdr:rowOff>175606</xdr:rowOff>
    </xdr:to>
    <xdr:pic>
      <xdr:nvPicPr>
        <xdr:cNvPr id="2" name="Picture 1">
          <a:extLst>
            <a:ext uri="{FF2B5EF4-FFF2-40B4-BE49-F238E27FC236}">
              <a16:creationId xmlns:a16="http://schemas.microsoft.com/office/drawing/2014/main" id="{CC25DB1E-B89D-4210-9C62-7067771844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6664293" y="205254"/>
          <a:ext cx="2167980" cy="1227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663863</xdr:colOff>
      <xdr:row>1</xdr:row>
      <xdr:rowOff>9621</xdr:rowOff>
    </xdr:from>
    <xdr:to>
      <xdr:col>9</xdr:col>
      <xdr:colOff>860328</xdr:colOff>
      <xdr:row>5</xdr:row>
      <xdr:rowOff>153940</xdr:rowOff>
    </xdr:to>
    <xdr:pic>
      <xdr:nvPicPr>
        <xdr:cNvPr id="2" name="Picture 1">
          <a:extLst>
            <a:ext uri="{FF2B5EF4-FFF2-40B4-BE49-F238E27FC236}">
              <a16:creationId xmlns:a16="http://schemas.microsoft.com/office/drawing/2014/main" id="{C7337C1D-E8FB-40AD-B091-05BD963BFF2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22024"/>
        <a:stretch>
          <a:fillRect/>
        </a:stretch>
      </xdr:blipFill>
      <xdr:spPr>
        <a:xfrm>
          <a:off x="6725227" y="192424"/>
          <a:ext cx="2005253" cy="12026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132292</xdr:colOff>
      <xdr:row>1</xdr:row>
      <xdr:rowOff>26459</xdr:rowOff>
    </xdr:from>
    <xdr:to>
      <xdr:col>16</xdr:col>
      <xdr:colOff>991306</xdr:colOff>
      <xdr:row>7</xdr:row>
      <xdr:rowOff>141110</xdr:rowOff>
    </xdr:to>
    <xdr:pic>
      <xdr:nvPicPr>
        <xdr:cNvPr id="2" name="Picture 1">
          <a:extLst>
            <a:ext uri="{FF2B5EF4-FFF2-40B4-BE49-F238E27FC236}">
              <a16:creationId xmlns:a16="http://schemas.microsoft.com/office/drawing/2014/main" id="{91A3361F-C03F-46D4-9687-A0A1596793B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206" t="25595" r="8254" b="22024"/>
        <a:stretch>
          <a:fillRect/>
        </a:stretch>
      </xdr:blipFill>
      <xdr:spPr>
        <a:xfrm>
          <a:off x="10309931" y="211667"/>
          <a:ext cx="2076097" cy="155222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5</xdr:row>
      <xdr:rowOff>95250</xdr:rowOff>
    </xdr:from>
    <xdr:to>
      <xdr:col>8</xdr:col>
      <xdr:colOff>352425</xdr:colOff>
      <xdr:row>20</xdr:row>
      <xdr:rowOff>76200</xdr:rowOff>
    </xdr:to>
    <xdr:graphicFrame macro="">
      <xdr:nvGraphicFramePr>
        <xdr:cNvPr id="2" name="Chart 1">
          <a:extLst>
            <a:ext uri="{FF2B5EF4-FFF2-40B4-BE49-F238E27FC236}">
              <a16:creationId xmlns:a16="http://schemas.microsoft.com/office/drawing/2014/main" id="{3230C0D5-15A5-CD41-DE70-4B73E449A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711200</xdr:colOff>
      <xdr:row>14</xdr:row>
      <xdr:rowOff>25400</xdr:rowOff>
    </xdr:from>
    <xdr:to>
      <xdr:col>8</xdr:col>
      <xdr:colOff>114300</xdr:colOff>
      <xdr:row>14</xdr:row>
      <xdr:rowOff>25400</xdr:rowOff>
    </xdr:to>
    <xdr:cxnSp macro="">
      <xdr:nvCxnSpPr>
        <xdr:cNvPr id="6" name="Straight Connector 5">
          <a:extLst>
            <a:ext uri="{FF2B5EF4-FFF2-40B4-BE49-F238E27FC236}">
              <a16:creationId xmlns:a16="http://schemas.microsoft.com/office/drawing/2014/main" id="{9FA9B144-507F-3DA4-C91F-8C08C80747FD}"/>
            </a:ext>
          </a:extLst>
        </xdr:cNvPr>
        <xdr:cNvCxnSpPr/>
      </xdr:nvCxnSpPr>
      <xdr:spPr>
        <a:xfrm>
          <a:off x="838200" y="2933700"/>
          <a:ext cx="3721100"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6350</xdr:colOff>
      <xdr:row>1</xdr:row>
      <xdr:rowOff>25400</xdr:rowOff>
    </xdr:from>
    <xdr:to>
      <xdr:col>8</xdr:col>
      <xdr:colOff>317501</xdr:colOff>
      <xdr:row>5</xdr:row>
      <xdr:rowOff>38100</xdr:rowOff>
    </xdr:to>
    <xdr:pic>
      <xdr:nvPicPr>
        <xdr:cNvPr id="14" name="Picture 13">
          <a:extLst>
            <a:ext uri="{FF2B5EF4-FFF2-40B4-BE49-F238E27FC236}">
              <a16:creationId xmlns:a16="http://schemas.microsoft.com/office/drawing/2014/main" id="{836C5FDA-4589-45DA-9117-080383156AF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206" t="25595" r="8254" b="30153"/>
        <a:stretch>
          <a:fillRect/>
        </a:stretch>
      </xdr:blipFill>
      <xdr:spPr>
        <a:xfrm>
          <a:off x="3232150" y="209550"/>
          <a:ext cx="1530351" cy="1079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82550</xdr:colOff>
      <xdr:row>1</xdr:row>
      <xdr:rowOff>38100</xdr:rowOff>
    </xdr:from>
    <xdr:to>
      <xdr:col>10</xdr:col>
      <xdr:colOff>603250</xdr:colOff>
      <xdr:row>6</xdr:row>
      <xdr:rowOff>158750</xdr:rowOff>
    </xdr:to>
    <xdr:pic>
      <xdr:nvPicPr>
        <xdr:cNvPr id="2" name="Picture 1">
          <a:extLst>
            <a:ext uri="{FF2B5EF4-FFF2-40B4-BE49-F238E27FC236}">
              <a16:creationId xmlns:a16="http://schemas.microsoft.com/office/drawing/2014/main" id="{60F8ADB7-26A5-4F75-BEFA-F2B7DB081E6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30153"/>
        <a:stretch>
          <a:fillRect/>
        </a:stretch>
      </xdr:blipFill>
      <xdr:spPr>
        <a:xfrm>
          <a:off x="4622800" y="222250"/>
          <a:ext cx="1905000" cy="1371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21405</xdr:colOff>
      <xdr:row>27</xdr:row>
      <xdr:rowOff>66069</xdr:rowOff>
    </xdr:from>
    <xdr:to>
      <xdr:col>13</xdr:col>
      <xdr:colOff>64213</xdr:colOff>
      <xdr:row>39</xdr:row>
      <xdr:rowOff>7135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1ACAD68-C602-43BB-D91E-64291D14DC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04505" y="5679469"/>
              <a:ext cx="3357508" cy="21508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171236</xdr:colOff>
      <xdr:row>1</xdr:row>
      <xdr:rowOff>21404</xdr:rowOff>
    </xdr:from>
    <xdr:to>
      <xdr:col>12</xdr:col>
      <xdr:colOff>570787</xdr:colOff>
      <xdr:row>5</xdr:row>
      <xdr:rowOff>92752</xdr:rowOff>
    </xdr:to>
    <xdr:pic>
      <xdr:nvPicPr>
        <xdr:cNvPr id="3" name="Picture 2">
          <a:extLst>
            <a:ext uri="{FF2B5EF4-FFF2-40B4-BE49-F238E27FC236}">
              <a16:creationId xmlns:a16="http://schemas.microsoft.com/office/drawing/2014/main" id="{D37C2430-CB56-41DA-952A-EEE51931916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206" t="25595" r="8254" b="30153"/>
        <a:stretch>
          <a:fillRect/>
        </a:stretch>
      </xdr:blipFill>
      <xdr:spPr>
        <a:xfrm>
          <a:off x="5971854" y="206910"/>
          <a:ext cx="1783708" cy="113443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139700</xdr:colOff>
      <xdr:row>1</xdr:row>
      <xdr:rowOff>44450</xdr:rowOff>
    </xdr:from>
    <xdr:to>
      <xdr:col>8</xdr:col>
      <xdr:colOff>473383</xdr:colOff>
      <xdr:row>5</xdr:row>
      <xdr:rowOff>133350</xdr:rowOff>
    </xdr:to>
    <xdr:pic>
      <xdr:nvPicPr>
        <xdr:cNvPr id="2" name="Picture 1">
          <a:extLst>
            <a:ext uri="{FF2B5EF4-FFF2-40B4-BE49-F238E27FC236}">
              <a16:creationId xmlns:a16="http://schemas.microsoft.com/office/drawing/2014/main" id="{E8C50D20-360B-4CD9-89A7-91618B1A1BC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206" t="25595" r="8254" b="30153"/>
        <a:stretch>
          <a:fillRect/>
        </a:stretch>
      </xdr:blipFill>
      <xdr:spPr>
        <a:xfrm>
          <a:off x="3314700" y="228600"/>
          <a:ext cx="1708150" cy="1155700"/>
        </a:xfrm>
        <a:prstGeom prst="rect">
          <a:avLst/>
        </a:prstGeom>
      </xdr:spPr>
    </xdr:pic>
    <xdr:clientData/>
  </xdr:twoCellAnchor>
  <xdr:twoCellAnchor>
    <xdr:from>
      <xdr:col>0</xdr:col>
      <xdr:colOff>14270</xdr:colOff>
      <xdr:row>15</xdr:row>
      <xdr:rowOff>178370</xdr:rowOff>
    </xdr:from>
    <xdr:to>
      <xdr:col>1</xdr:col>
      <xdr:colOff>2604214</xdr:colOff>
      <xdr:row>26</xdr:row>
      <xdr:rowOff>78483</xdr:rowOff>
    </xdr:to>
    <xdr:grpSp>
      <xdr:nvGrpSpPr>
        <xdr:cNvPr id="10" name="Group 9">
          <a:extLst>
            <a:ext uri="{FF2B5EF4-FFF2-40B4-BE49-F238E27FC236}">
              <a16:creationId xmlns:a16="http://schemas.microsoft.com/office/drawing/2014/main" id="{811E81CC-C3A6-6118-B179-5F5C6758FB96}"/>
            </a:ext>
          </a:extLst>
        </xdr:cNvPr>
        <xdr:cNvGrpSpPr/>
      </xdr:nvGrpSpPr>
      <xdr:grpSpPr>
        <a:xfrm>
          <a:off x="14270" y="3058851"/>
          <a:ext cx="2716944" cy="1894013"/>
          <a:chOff x="0" y="3496067"/>
          <a:chExt cx="2321673" cy="1940674"/>
        </a:xfrm>
      </xdr:grpSpPr>
      <xdr:graphicFrame macro="">
        <xdr:nvGraphicFramePr>
          <xdr:cNvPr id="3" name="Chart 2">
            <a:extLst>
              <a:ext uri="{FF2B5EF4-FFF2-40B4-BE49-F238E27FC236}">
                <a16:creationId xmlns:a16="http://schemas.microsoft.com/office/drawing/2014/main" id="{EE2E5C79-E225-7952-C07F-EA41F63F77B5}"/>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C2EAA389-27C6-634D-5E99-5949E72EC7C3}"/>
              </a:ext>
            </a:extLst>
          </xdr:cNvPr>
          <xdr:cNvSpPr txBox="1"/>
        </xdr:nvSpPr>
        <xdr:spPr>
          <a:xfrm>
            <a:off x="371013" y="3553147"/>
            <a:ext cx="1476908"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002060"/>
                </a:solidFill>
                <a:latin typeface="+mn-lt"/>
              </a:rPr>
              <a:t>Revenues</a:t>
            </a:r>
            <a:r>
              <a:rPr lang="en-IN" sz="1050" b="1" baseline="0">
                <a:solidFill>
                  <a:srgbClr val="002060"/>
                </a:solidFill>
                <a:latin typeface="+mn-lt"/>
              </a:rPr>
              <a:t> </a:t>
            </a:r>
            <a:r>
              <a:rPr lang="en-IN" sz="1050" b="1">
                <a:solidFill>
                  <a:srgbClr val="002060"/>
                </a:solidFill>
                <a:latin typeface="+mn-lt"/>
              </a:rPr>
              <a:t>(INR Cr.)</a:t>
            </a:r>
          </a:p>
        </xdr:txBody>
      </xdr:sp>
      <xdr:cxnSp macro="">
        <xdr:nvCxnSpPr>
          <xdr:cNvPr id="8" name="Straight Connector 7">
            <a:extLst>
              <a:ext uri="{FF2B5EF4-FFF2-40B4-BE49-F238E27FC236}">
                <a16:creationId xmlns:a16="http://schemas.microsoft.com/office/drawing/2014/main" id="{1C36EB12-6CF3-5665-ADFF-086448D8E77E}"/>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2554269</xdr:colOff>
      <xdr:row>16</xdr:row>
      <xdr:rowOff>707</xdr:rowOff>
    </xdr:from>
    <xdr:to>
      <xdr:col>5</xdr:col>
      <xdr:colOff>263988</xdr:colOff>
      <xdr:row>26</xdr:row>
      <xdr:rowOff>78484</xdr:rowOff>
    </xdr:to>
    <xdr:grpSp>
      <xdr:nvGrpSpPr>
        <xdr:cNvPr id="15" name="Group 14">
          <a:extLst>
            <a:ext uri="{FF2B5EF4-FFF2-40B4-BE49-F238E27FC236}">
              <a16:creationId xmlns:a16="http://schemas.microsoft.com/office/drawing/2014/main" id="{09CE2528-597F-4B05-84DC-353CB8167412}"/>
            </a:ext>
          </a:extLst>
        </xdr:cNvPr>
        <xdr:cNvGrpSpPr/>
      </xdr:nvGrpSpPr>
      <xdr:grpSpPr>
        <a:xfrm>
          <a:off x="2681269" y="3060802"/>
          <a:ext cx="2795767" cy="1892063"/>
          <a:chOff x="0" y="3496067"/>
          <a:chExt cx="2321673" cy="1940674"/>
        </a:xfrm>
      </xdr:grpSpPr>
      <xdr:graphicFrame macro="">
        <xdr:nvGraphicFramePr>
          <xdr:cNvPr id="16" name="Chart 15">
            <a:extLst>
              <a:ext uri="{FF2B5EF4-FFF2-40B4-BE49-F238E27FC236}">
                <a16:creationId xmlns:a16="http://schemas.microsoft.com/office/drawing/2014/main" id="{B1A7941F-DE58-C1E8-79CF-5EA7F4A6CC95}"/>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TextBox 16">
            <a:extLst>
              <a:ext uri="{FF2B5EF4-FFF2-40B4-BE49-F238E27FC236}">
                <a16:creationId xmlns:a16="http://schemas.microsoft.com/office/drawing/2014/main" id="{CF61029A-EA08-0589-3DFA-0E33E6B0A968}"/>
              </a:ext>
            </a:extLst>
          </xdr:cNvPr>
          <xdr:cNvSpPr txBox="1"/>
        </xdr:nvSpPr>
        <xdr:spPr>
          <a:xfrm>
            <a:off x="592085" y="3546250"/>
            <a:ext cx="1476908" cy="2612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Net Profit </a:t>
            </a:r>
            <a:r>
              <a:rPr lang="en-IN" sz="1050" b="1">
                <a:solidFill>
                  <a:srgbClr val="002060"/>
                </a:solidFill>
                <a:latin typeface="+mn-lt"/>
              </a:rPr>
              <a:t>(INR Cr.)</a:t>
            </a:r>
          </a:p>
        </xdr:txBody>
      </xdr:sp>
      <xdr:cxnSp macro="">
        <xdr:nvCxnSpPr>
          <xdr:cNvPr id="18" name="Straight Connector 17">
            <a:extLst>
              <a:ext uri="{FF2B5EF4-FFF2-40B4-BE49-F238E27FC236}">
                <a16:creationId xmlns:a16="http://schemas.microsoft.com/office/drawing/2014/main" id="{16773020-94FC-7949-2798-A0B2049B3D1D}"/>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206909</xdr:colOff>
      <xdr:row>15</xdr:row>
      <xdr:rowOff>178370</xdr:rowOff>
    </xdr:from>
    <xdr:to>
      <xdr:col>9</xdr:col>
      <xdr:colOff>271123</xdr:colOff>
      <xdr:row>26</xdr:row>
      <xdr:rowOff>78483</xdr:rowOff>
    </xdr:to>
    <xdr:grpSp>
      <xdr:nvGrpSpPr>
        <xdr:cNvPr id="19" name="Group 18">
          <a:extLst>
            <a:ext uri="{FF2B5EF4-FFF2-40B4-BE49-F238E27FC236}">
              <a16:creationId xmlns:a16="http://schemas.microsoft.com/office/drawing/2014/main" id="{9A24C485-0593-407A-9F5C-AEF2EAAB3E84}"/>
            </a:ext>
          </a:extLst>
        </xdr:cNvPr>
        <xdr:cNvGrpSpPr/>
      </xdr:nvGrpSpPr>
      <xdr:grpSpPr>
        <a:xfrm>
          <a:off x="5419957" y="3058851"/>
          <a:ext cx="2821928" cy="1894013"/>
          <a:chOff x="0" y="3496067"/>
          <a:chExt cx="2321673" cy="1940674"/>
        </a:xfrm>
      </xdr:grpSpPr>
      <xdr:graphicFrame macro="">
        <xdr:nvGraphicFramePr>
          <xdr:cNvPr id="20" name="Chart 19">
            <a:extLst>
              <a:ext uri="{FF2B5EF4-FFF2-40B4-BE49-F238E27FC236}">
                <a16:creationId xmlns:a16="http://schemas.microsoft.com/office/drawing/2014/main" id="{638D82C4-BB8A-1961-655F-CC15D8C0EBD6}"/>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TextBox 20">
            <a:extLst>
              <a:ext uri="{FF2B5EF4-FFF2-40B4-BE49-F238E27FC236}">
                <a16:creationId xmlns:a16="http://schemas.microsoft.com/office/drawing/2014/main" id="{9517A23F-C017-9B13-C04D-1A2460F5CCBC}"/>
              </a:ext>
            </a:extLst>
          </xdr:cNvPr>
          <xdr:cNvSpPr txBox="1"/>
        </xdr:nvSpPr>
        <xdr:spPr>
          <a:xfrm>
            <a:off x="352812" y="3560573"/>
            <a:ext cx="1607208" cy="2612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AverageTotal Assets </a:t>
            </a:r>
            <a:r>
              <a:rPr lang="en-IN" sz="1050" b="1">
                <a:solidFill>
                  <a:srgbClr val="002060"/>
                </a:solidFill>
                <a:latin typeface="+mn-lt"/>
              </a:rPr>
              <a:t>(INR Cr.)</a:t>
            </a:r>
          </a:p>
        </xdr:txBody>
      </xdr:sp>
      <xdr:cxnSp macro="">
        <xdr:nvCxnSpPr>
          <xdr:cNvPr id="22" name="Straight Connector 21">
            <a:extLst>
              <a:ext uri="{FF2B5EF4-FFF2-40B4-BE49-F238E27FC236}">
                <a16:creationId xmlns:a16="http://schemas.microsoft.com/office/drawing/2014/main" id="{D62ADFA7-7CB9-125E-4BCA-C94659D0B66B}"/>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14104</xdr:colOff>
      <xdr:row>28</xdr:row>
      <xdr:rowOff>0</xdr:rowOff>
    </xdr:from>
    <xdr:to>
      <xdr:col>1</xdr:col>
      <xdr:colOff>2604048</xdr:colOff>
      <xdr:row>39</xdr:row>
      <xdr:rowOff>83558</xdr:rowOff>
    </xdr:to>
    <xdr:grpSp>
      <xdr:nvGrpSpPr>
        <xdr:cNvPr id="35" name="Group 34">
          <a:extLst>
            <a:ext uri="{FF2B5EF4-FFF2-40B4-BE49-F238E27FC236}">
              <a16:creationId xmlns:a16="http://schemas.microsoft.com/office/drawing/2014/main" id="{A5C6A953-20DD-4307-8A64-CBA0643BB557}"/>
            </a:ext>
          </a:extLst>
        </xdr:cNvPr>
        <xdr:cNvGrpSpPr/>
      </xdr:nvGrpSpPr>
      <xdr:grpSpPr>
        <a:xfrm>
          <a:off x="14104" y="5237238"/>
          <a:ext cx="2716944" cy="2079272"/>
          <a:chOff x="0" y="3496067"/>
          <a:chExt cx="2321673" cy="1940674"/>
        </a:xfrm>
      </xdr:grpSpPr>
      <xdr:graphicFrame macro="">
        <xdr:nvGraphicFramePr>
          <xdr:cNvPr id="36" name="Chart 35">
            <a:extLst>
              <a:ext uri="{FF2B5EF4-FFF2-40B4-BE49-F238E27FC236}">
                <a16:creationId xmlns:a16="http://schemas.microsoft.com/office/drawing/2014/main" id="{AFFC17A0-3488-ACB6-B15D-1706EEA0EA23}"/>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7" name="TextBox 36">
            <a:extLst>
              <a:ext uri="{FF2B5EF4-FFF2-40B4-BE49-F238E27FC236}">
                <a16:creationId xmlns:a16="http://schemas.microsoft.com/office/drawing/2014/main" id="{96655103-C995-0DD3-64FE-A2A1C3621216}"/>
              </a:ext>
            </a:extLst>
          </xdr:cNvPr>
          <xdr:cNvSpPr txBox="1"/>
        </xdr:nvSpPr>
        <xdr:spPr>
          <a:xfrm>
            <a:off x="473508" y="3560285"/>
            <a:ext cx="1476908" cy="25977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Return on Equity </a:t>
            </a:r>
            <a:r>
              <a:rPr lang="en-IN" sz="1050" b="1">
                <a:solidFill>
                  <a:srgbClr val="002060"/>
                </a:solidFill>
                <a:latin typeface="+mn-lt"/>
              </a:rPr>
              <a:t>(%)</a:t>
            </a:r>
          </a:p>
        </xdr:txBody>
      </xdr:sp>
      <xdr:cxnSp macro="">
        <xdr:nvCxnSpPr>
          <xdr:cNvPr id="38" name="Straight Connector 37">
            <a:extLst>
              <a:ext uri="{FF2B5EF4-FFF2-40B4-BE49-F238E27FC236}">
                <a16:creationId xmlns:a16="http://schemas.microsoft.com/office/drawing/2014/main" id="{D72818EA-5914-354E-BC21-92E7E19C6E98}"/>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2547056</xdr:colOff>
      <xdr:row>28</xdr:row>
      <xdr:rowOff>0</xdr:rowOff>
    </xdr:from>
    <xdr:to>
      <xdr:col>5</xdr:col>
      <xdr:colOff>256775</xdr:colOff>
      <xdr:row>39</xdr:row>
      <xdr:rowOff>83558</xdr:rowOff>
    </xdr:to>
    <xdr:grpSp>
      <xdr:nvGrpSpPr>
        <xdr:cNvPr id="39" name="Group 38">
          <a:extLst>
            <a:ext uri="{FF2B5EF4-FFF2-40B4-BE49-F238E27FC236}">
              <a16:creationId xmlns:a16="http://schemas.microsoft.com/office/drawing/2014/main" id="{2EB3EC52-A0F8-4067-8296-1DBC1527C232}"/>
            </a:ext>
          </a:extLst>
        </xdr:cNvPr>
        <xdr:cNvGrpSpPr/>
      </xdr:nvGrpSpPr>
      <xdr:grpSpPr>
        <a:xfrm>
          <a:off x="2674056" y="5237238"/>
          <a:ext cx="2795767" cy="2079272"/>
          <a:chOff x="0" y="3496067"/>
          <a:chExt cx="2321673" cy="1940674"/>
        </a:xfrm>
      </xdr:grpSpPr>
      <xdr:graphicFrame macro="">
        <xdr:nvGraphicFramePr>
          <xdr:cNvPr id="40" name="Chart 39">
            <a:extLst>
              <a:ext uri="{FF2B5EF4-FFF2-40B4-BE49-F238E27FC236}">
                <a16:creationId xmlns:a16="http://schemas.microsoft.com/office/drawing/2014/main" id="{D016C281-27BC-190B-A5CE-A54A82293351}"/>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1" name="TextBox 40">
            <a:extLst>
              <a:ext uri="{FF2B5EF4-FFF2-40B4-BE49-F238E27FC236}">
                <a16:creationId xmlns:a16="http://schemas.microsoft.com/office/drawing/2014/main" id="{2EAA883A-6E4D-766A-7427-39B1262FC91B}"/>
              </a:ext>
            </a:extLst>
          </xdr:cNvPr>
          <xdr:cNvSpPr txBox="1"/>
        </xdr:nvSpPr>
        <xdr:spPr>
          <a:xfrm>
            <a:off x="568236" y="3562314"/>
            <a:ext cx="1476908" cy="2612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Return on Assets </a:t>
            </a:r>
            <a:r>
              <a:rPr lang="en-IN" sz="1050" b="1">
                <a:solidFill>
                  <a:srgbClr val="002060"/>
                </a:solidFill>
                <a:latin typeface="+mn-lt"/>
              </a:rPr>
              <a:t>(%)</a:t>
            </a:r>
          </a:p>
        </xdr:txBody>
      </xdr:sp>
      <xdr:cxnSp macro="">
        <xdr:nvCxnSpPr>
          <xdr:cNvPr id="42" name="Straight Connector 41">
            <a:extLst>
              <a:ext uri="{FF2B5EF4-FFF2-40B4-BE49-F238E27FC236}">
                <a16:creationId xmlns:a16="http://schemas.microsoft.com/office/drawing/2014/main" id="{A9281C04-74E9-C0B1-0875-07AF6A318FE0}"/>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190491</xdr:colOff>
      <xdr:row>28</xdr:row>
      <xdr:rowOff>0</xdr:rowOff>
    </xdr:from>
    <xdr:to>
      <xdr:col>9</xdr:col>
      <xdr:colOff>254705</xdr:colOff>
      <xdr:row>39</xdr:row>
      <xdr:rowOff>83558</xdr:rowOff>
    </xdr:to>
    <xdr:grpSp>
      <xdr:nvGrpSpPr>
        <xdr:cNvPr id="43" name="Group 42">
          <a:extLst>
            <a:ext uri="{FF2B5EF4-FFF2-40B4-BE49-F238E27FC236}">
              <a16:creationId xmlns:a16="http://schemas.microsoft.com/office/drawing/2014/main" id="{AB2D3587-F8AE-4C04-B851-359FCE364FC3}"/>
            </a:ext>
          </a:extLst>
        </xdr:cNvPr>
        <xdr:cNvGrpSpPr/>
      </xdr:nvGrpSpPr>
      <xdr:grpSpPr>
        <a:xfrm>
          <a:off x="5403539" y="5237238"/>
          <a:ext cx="2821928" cy="2079272"/>
          <a:chOff x="0" y="3496067"/>
          <a:chExt cx="2321673" cy="1940674"/>
        </a:xfrm>
      </xdr:grpSpPr>
      <xdr:graphicFrame macro="">
        <xdr:nvGraphicFramePr>
          <xdr:cNvPr id="44" name="Chart 43">
            <a:extLst>
              <a:ext uri="{FF2B5EF4-FFF2-40B4-BE49-F238E27FC236}">
                <a16:creationId xmlns:a16="http://schemas.microsoft.com/office/drawing/2014/main" id="{60D11EF0-7CF7-45FB-CFEA-1BA514F8538D}"/>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5" name="TextBox 44">
            <a:extLst>
              <a:ext uri="{FF2B5EF4-FFF2-40B4-BE49-F238E27FC236}">
                <a16:creationId xmlns:a16="http://schemas.microsoft.com/office/drawing/2014/main" id="{FF859206-EA66-B06D-097F-F7F3CC53ADC8}"/>
              </a:ext>
            </a:extLst>
          </xdr:cNvPr>
          <xdr:cNvSpPr txBox="1"/>
        </xdr:nvSpPr>
        <xdr:spPr>
          <a:xfrm>
            <a:off x="621316" y="3553433"/>
            <a:ext cx="1607208" cy="2612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002060"/>
                </a:solidFill>
                <a:latin typeface="+mn-lt"/>
              </a:rPr>
              <a:t>Financial</a:t>
            </a:r>
            <a:r>
              <a:rPr lang="en-IN" sz="1050" b="1" baseline="0">
                <a:solidFill>
                  <a:srgbClr val="002060"/>
                </a:solidFill>
                <a:latin typeface="+mn-lt"/>
              </a:rPr>
              <a:t> Leverage</a:t>
            </a:r>
            <a:endParaRPr lang="en-IN" sz="1050" b="1">
              <a:solidFill>
                <a:srgbClr val="002060"/>
              </a:solidFill>
              <a:latin typeface="+mn-lt"/>
            </a:endParaRPr>
          </a:p>
        </xdr:txBody>
      </xdr:sp>
      <xdr:cxnSp macro="">
        <xdr:nvCxnSpPr>
          <xdr:cNvPr id="46" name="Straight Connector 45">
            <a:extLst>
              <a:ext uri="{FF2B5EF4-FFF2-40B4-BE49-F238E27FC236}">
                <a16:creationId xmlns:a16="http://schemas.microsoft.com/office/drawing/2014/main" id="{9F9ABF86-0926-8D38-3C71-9137C41D7E6C}"/>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97014</xdr:colOff>
      <xdr:row>40</xdr:row>
      <xdr:rowOff>149931</xdr:rowOff>
    </xdr:from>
    <xdr:to>
      <xdr:col>9</xdr:col>
      <xdr:colOff>123472</xdr:colOff>
      <xdr:row>49</xdr:row>
      <xdr:rowOff>35278</xdr:rowOff>
    </xdr:to>
    <xdr:sp macro="" textlink="">
      <xdr:nvSpPr>
        <xdr:cNvPr id="55" name="TextBox 54">
          <a:extLst>
            <a:ext uri="{FF2B5EF4-FFF2-40B4-BE49-F238E27FC236}">
              <a16:creationId xmlns:a16="http://schemas.microsoft.com/office/drawing/2014/main" id="{795078D1-0F66-29C8-3CBB-A51056376633}"/>
            </a:ext>
          </a:extLst>
        </xdr:cNvPr>
        <xdr:cNvSpPr txBox="1"/>
      </xdr:nvSpPr>
      <xdr:spPr>
        <a:xfrm>
          <a:off x="97014" y="7664098"/>
          <a:ext cx="7858125" cy="1552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Arial" panose="020B0604020202020204" pitchFamily="34" charset="0"/>
            <a:buNone/>
          </a:pPr>
          <a:r>
            <a:rPr lang="en-IN" sz="1100" b="1" i="0">
              <a:solidFill>
                <a:srgbClr val="002060"/>
              </a:solidFill>
              <a:effectLst/>
              <a:latin typeface="+mn-lt"/>
              <a:ea typeface="+mn-ea"/>
              <a:cs typeface="+mn-cs"/>
            </a:rPr>
            <a:t>Recent Updates</a:t>
          </a:r>
        </a:p>
        <a:p>
          <a:pPr marL="171450" indent="-171450">
            <a:buFont typeface="Arial" panose="020B0604020202020204" pitchFamily="34" charset="0"/>
            <a:buChar char="•"/>
          </a:pPr>
          <a:r>
            <a:rPr lang="en-IN"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Hindustan Unilever (HUL)  reported a 3% year-on-year (YoY) decline</a:t>
          </a:r>
          <a:r>
            <a:rPr lang="en-IN"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in consolidated net profit to Rs 2,673 crore for the</a:t>
          </a:r>
          <a:r>
            <a:rPr lang="en-IN"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first quarter of</a:t>
          </a:r>
          <a:r>
            <a:rPr lang="en-IN"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FY27</a:t>
          </a:r>
        </a:p>
        <a:p>
          <a:pPr marL="171450" indent="-171450">
            <a:buFont typeface="Arial" panose="020B0604020202020204" pitchFamily="34" charset="0"/>
            <a:buChar char="•"/>
          </a:pPr>
          <a:r>
            <a:rPr lang="en-IN" sz="1100">
              <a:latin typeface="Calibri" panose="020F0502020204030204" pitchFamily="34" charset="0"/>
              <a:ea typeface="Calibri" panose="020F0502020204030204" pitchFamily="34" charset="0"/>
              <a:cs typeface="Calibri" panose="020F0502020204030204" pitchFamily="34" charset="0"/>
            </a:rPr>
            <a:t>Revenue from operations, however, rose 10% YoY to Rs 17,341 crore in Q1 FY27</a:t>
          </a:r>
          <a:r>
            <a:rPr lang="en-IN" sz="1100" baseline="0">
              <a:latin typeface="Calibri" panose="020F0502020204030204" pitchFamily="34" charset="0"/>
              <a:ea typeface="Calibri" panose="020F0502020204030204" pitchFamily="34" charset="0"/>
              <a:cs typeface="Calibri" panose="020F0502020204030204" pitchFamily="34" charset="0"/>
            </a:rPr>
            <a:t> </a:t>
          </a:r>
          <a:r>
            <a:rPr lang="en-IN" sz="1100">
              <a:latin typeface="Calibri" panose="020F0502020204030204" pitchFamily="34" charset="0"/>
              <a:ea typeface="Calibri" panose="020F0502020204030204" pitchFamily="34" charset="0"/>
              <a:cs typeface="Calibri" panose="020F0502020204030204" pitchFamily="34" charset="0"/>
            </a:rPr>
            <a:t>from Rs 15,757 crore</a:t>
          </a:r>
        </a:p>
        <a:p>
          <a:pPr marL="171450" indent="-171450">
            <a:buFont typeface="Arial" panose="020B0604020202020204" pitchFamily="34" charset="0"/>
            <a:buChar char="•"/>
          </a:pPr>
          <a:r>
            <a:rPr lang="en-IN" sz="1100">
              <a:latin typeface="Calibri" panose="020F0502020204030204" pitchFamily="34" charset="0"/>
              <a:ea typeface="Calibri" panose="020F0502020204030204" pitchFamily="34" charset="0"/>
              <a:cs typeface="Calibri" panose="020F0502020204030204" pitchFamily="34" charset="0"/>
            </a:rPr>
            <a:t>HUL reported underlying sales growth (USG) of 10%, driven equally by volume</a:t>
          </a:r>
          <a:r>
            <a:rPr lang="en-IN" sz="1100" baseline="0">
              <a:latin typeface="Calibri" panose="020F0502020204030204" pitchFamily="34" charset="0"/>
              <a:ea typeface="Calibri" panose="020F0502020204030204" pitchFamily="34" charset="0"/>
              <a:cs typeface="Calibri" panose="020F0502020204030204" pitchFamily="34" charset="0"/>
            </a:rPr>
            <a:t> </a:t>
          </a:r>
          <a:r>
            <a:rPr lang="en-IN" sz="1100">
              <a:latin typeface="Calibri" panose="020F0502020204030204" pitchFamily="34" charset="0"/>
              <a:ea typeface="Calibri" panose="020F0502020204030204" pitchFamily="34" charset="0"/>
              <a:cs typeface="Calibri" panose="020F0502020204030204" pitchFamily="34" charset="0"/>
            </a:rPr>
            <a:t>and price, marking the company's strongest growth in 13 quarters.</a:t>
          </a:r>
        </a:p>
        <a:p>
          <a:pPr marL="171450" indent="-171450">
            <a:buFont typeface="Arial" panose="020B0604020202020204" pitchFamily="34" charset="0"/>
            <a:buChar char="•"/>
          </a:pPr>
          <a:r>
            <a:rPr lang="en-IN" sz="1100">
              <a:latin typeface="Calibri" panose="020F0502020204030204" pitchFamily="34" charset="0"/>
              <a:ea typeface="Calibri" panose="020F0502020204030204" pitchFamily="34" charset="0"/>
              <a:cs typeface="Calibri" panose="020F0502020204030204" pitchFamily="34" charset="0"/>
            </a:rPr>
            <a:t>EBITDA for the quarter rose 8% year-on-year to Rs 3,947 crore from Rs 3,640</a:t>
          </a:r>
          <a:r>
            <a:rPr lang="en-IN" sz="1100" baseline="0">
              <a:latin typeface="Calibri" panose="020F0502020204030204" pitchFamily="34" charset="0"/>
              <a:ea typeface="Calibri" panose="020F0502020204030204" pitchFamily="34" charset="0"/>
              <a:cs typeface="Calibri" panose="020F0502020204030204" pitchFamily="34" charset="0"/>
            </a:rPr>
            <a:t> </a:t>
          </a:r>
          <a:r>
            <a:rPr lang="en-IN" sz="1100">
              <a:latin typeface="Calibri" panose="020F0502020204030204" pitchFamily="34" charset="0"/>
              <a:ea typeface="Calibri" panose="020F0502020204030204" pitchFamily="34" charset="0"/>
              <a:cs typeface="Calibri" panose="020F0502020204030204" pitchFamily="34" charset="0"/>
            </a:rPr>
            <a:t>crore in the corresponding quarter last year</a:t>
          </a:r>
          <a:br>
            <a:rPr lang="en-IN"/>
          </a:br>
          <a:endParaRPr lang="en-IN"/>
        </a:p>
      </xdr:txBody>
    </xdr:sp>
    <xdr:clientData/>
  </xdr:twoCellAnchor>
  <xdr:twoCellAnchor>
    <xdr:from>
      <xdr:col>1</xdr:col>
      <xdr:colOff>1</xdr:colOff>
      <xdr:row>97</xdr:row>
      <xdr:rowOff>2</xdr:rowOff>
    </xdr:from>
    <xdr:to>
      <xdr:col>8</xdr:col>
      <xdr:colOff>635001</xdr:colOff>
      <xdr:row>108</xdr:row>
      <xdr:rowOff>129731</xdr:rowOff>
    </xdr:to>
    <xdr:sp macro="" textlink="">
      <xdr:nvSpPr>
        <xdr:cNvPr id="56" name="TextBox 55">
          <a:extLst>
            <a:ext uri="{FF2B5EF4-FFF2-40B4-BE49-F238E27FC236}">
              <a16:creationId xmlns:a16="http://schemas.microsoft.com/office/drawing/2014/main" id="{C78905E6-A141-4745-A2D9-A45B8A8D5206}"/>
            </a:ext>
          </a:extLst>
        </xdr:cNvPr>
        <xdr:cNvSpPr txBox="1"/>
      </xdr:nvSpPr>
      <xdr:spPr>
        <a:xfrm>
          <a:off x="129732" y="17868765"/>
          <a:ext cx="7667796" cy="2157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Arial" panose="020B0604020202020204" pitchFamily="34" charset="0"/>
            <a:buNone/>
          </a:pPr>
          <a:r>
            <a:rPr lang="en-IN" sz="1100" b="1" i="0">
              <a:solidFill>
                <a:srgbClr val="002060"/>
              </a:solidFill>
              <a:effectLst/>
              <a:latin typeface="+mn-lt"/>
              <a:ea typeface="+mn-ea"/>
              <a:cs typeface="+mn-cs"/>
            </a:rPr>
            <a:t>Dupont</a:t>
          </a:r>
          <a:r>
            <a:rPr lang="en-IN" sz="1100" b="1" i="0" baseline="0">
              <a:solidFill>
                <a:srgbClr val="002060"/>
              </a:solidFill>
              <a:effectLst/>
              <a:latin typeface="+mn-lt"/>
              <a:ea typeface="+mn-ea"/>
              <a:cs typeface="+mn-cs"/>
            </a:rPr>
            <a:t> Summary</a:t>
          </a:r>
          <a:endParaRPr lang="en-IN" sz="1100" b="1" i="0">
            <a:solidFill>
              <a:srgbClr val="002060"/>
            </a:solidFill>
            <a:effectLst/>
            <a:latin typeface="+mn-lt"/>
            <a:ea typeface="+mn-ea"/>
            <a:cs typeface="+mn-cs"/>
          </a:endParaRPr>
        </a:p>
        <a:p>
          <a:pPr marL="171450" lvl="0" indent="-171450">
            <a:buFont typeface="Arial" panose="020B0604020202020204" pitchFamily="34" charset="0"/>
            <a:buChar char="•"/>
          </a:pPr>
          <a:r>
            <a:rPr lang="en-IN">
              <a:latin typeface="Calibri" panose="020F0502020204030204" pitchFamily="34" charset="0"/>
              <a:ea typeface="Calibri" panose="020F0502020204030204" pitchFamily="34" charset="0"/>
              <a:cs typeface="Calibri" panose="020F0502020204030204" pitchFamily="34" charset="0"/>
            </a:rPr>
            <a:t>ROE of HUL has decreased from 83.85% in FY2020 to a low of 18.36% in FY2022, consistent with the balance sheet expansion from the GSK Consumer merger. It then held in the 20-21% range during FY2023-FY2025 and has risen to 30.65% as of 31 March 2026.</a:t>
          </a:r>
        </a:p>
        <a:p>
          <a:pPr marL="171450" lvl="0" indent="-171450">
            <a:buFont typeface="Arial" panose="020B0604020202020204" pitchFamily="34" charset="0"/>
            <a:buChar char="•"/>
          </a:pPr>
          <a:r>
            <a:rPr lang="en-IN">
              <a:latin typeface="Calibri" panose="020F0502020204030204" pitchFamily="34" charset="0"/>
              <a:ea typeface="Calibri" panose="020F0502020204030204" pitchFamily="34" charset="0"/>
              <a:cs typeface="Calibri" panose="020F0502020204030204" pitchFamily="34" charset="0"/>
            </a:rPr>
            <a:t>ROE has decreased significantly over the past 6 years, from 83.85% in FY2020 to 30.65% in FY2026. The company kept net margins stable at around 17% until FY2025, then increased them to 23.33% in FY2026. Asset efficiency has fallen from 2.05x in FY2020 to 0.81x in FY2026, and financial leverage has reduced from 2.41x to 1.63x. The fall in ROE is therefore driven by lower asset turnover and reduced leverage, not by any weakness in profitability.</a:t>
          </a:r>
        </a:p>
        <a:p>
          <a:pPr marL="171450" lvl="0" indent="-171450">
            <a:buFont typeface="Arial" panose="020B0604020202020204" pitchFamily="34" charset="0"/>
            <a:buChar char="•"/>
          </a:pPr>
          <a:r>
            <a:rPr lang="en-IN">
              <a:latin typeface="Calibri" panose="020F0502020204030204" pitchFamily="34" charset="0"/>
              <a:ea typeface="Calibri" panose="020F0502020204030204" pitchFamily="34" charset="0"/>
              <a:cs typeface="Calibri" panose="020F0502020204030204" pitchFamily="34" charset="0"/>
            </a:rPr>
            <a:t>ROA of HUL has decreased from 34.80% in FY2020 to 18.85% in FY2026, with a low of 12.75% in FY2022. While asset efficiency has stayed at 0.75-0.84x since the merger, the rise in ROA from 13.45% in FY2025 to 18.85% in FY2026 is due to the increased net margin. A jump of 597 bps in one year may include exceptional gains, so check the exceptional items before treating it as sustainable.</a:t>
          </a:r>
          <a:br>
            <a:rPr lang="en-IN"/>
          </a:br>
          <a:endParaRPr lang="en-IN"/>
        </a:p>
      </xdr:txBody>
    </xdr:sp>
    <xdr:clientData/>
  </xdr:twoCellAnchor>
  <xdr:twoCellAnchor>
    <xdr:from>
      <xdr:col>1</xdr:col>
      <xdr:colOff>116076</xdr:colOff>
      <xdr:row>108</xdr:row>
      <xdr:rowOff>68279</xdr:rowOff>
    </xdr:from>
    <xdr:to>
      <xdr:col>8</xdr:col>
      <xdr:colOff>671286</xdr:colOff>
      <xdr:row>111</xdr:row>
      <xdr:rowOff>4302</xdr:rowOff>
    </xdr:to>
    <xdr:sp macro="" textlink="">
      <xdr:nvSpPr>
        <xdr:cNvPr id="57" name="TextBox 56">
          <a:extLst>
            <a:ext uri="{FF2B5EF4-FFF2-40B4-BE49-F238E27FC236}">
              <a16:creationId xmlns:a16="http://schemas.microsoft.com/office/drawing/2014/main" id="{413198D4-DADD-0F3B-7FC2-B2A9E235A1BB}"/>
            </a:ext>
          </a:extLst>
        </xdr:cNvPr>
        <xdr:cNvSpPr txBox="1"/>
      </xdr:nvSpPr>
      <xdr:spPr>
        <a:xfrm>
          <a:off x="243076" y="19710946"/>
          <a:ext cx="7709543" cy="389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1">
              <a:solidFill>
                <a:srgbClr val="002060"/>
              </a:solidFill>
            </a:rPr>
            <a:t>Disclaimer :</a:t>
          </a:r>
          <a:r>
            <a:rPr lang="en-IN" sz="900" i="1">
              <a:solidFill>
                <a:srgbClr val="002060"/>
              </a:solidFill>
            </a:rPr>
            <a:t> </a:t>
          </a:r>
          <a:r>
            <a:rPr lang="en-IN" sz="900" i="1"/>
            <a:t>This report is made as part of educational assignment and is meant for educational purpose only. The author of the report is not liable for any losses due to actions taken basis this report. It is advisable to consult SEBI registered reasearch analyst before making any investments </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166</xdr:colOff>
      <xdr:row>10</xdr:row>
      <xdr:rowOff>27314</xdr:rowOff>
    </xdr:from>
    <xdr:to>
      <xdr:col>1</xdr:col>
      <xdr:colOff>2730500</xdr:colOff>
      <xdr:row>15</xdr:row>
      <xdr:rowOff>309929</xdr:rowOff>
    </xdr:to>
    <xdr:grpSp>
      <xdr:nvGrpSpPr>
        <xdr:cNvPr id="27" name="Group 26">
          <a:extLst>
            <a:ext uri="{FF2B5EF4-FFF2-40B4-BE49-F238E27FC236}">
              <a16:creationId xmlns:a16="http://schemas.microsoft.com/office/drawing/2014/main" id="{834F5C94-27F3-445F-B6A2-3BECACBE6BC0}"/>
            </a:ext>
          </a:extLst>
        </xdr:cNvPr>
        <xdr:cNvGrpSpPr/>
      </xdr:nvGrpSpPr>
      <xdr:grpSpPr>
        <a:xfrm>
          <a:off x="125598" y="2473240"/>
          <a:ext cx="2730334" cy="1928911"/>
          <a:chOff x="0" y="3496067"/>
          <a:chExt cx="2321673" cy="1940674"/>
        </a:xfrm>
      </xdr:grpSpPr>
      <xdr:graphicFrame macro="">
        <xdr:nvGraphicFramePr>
          <xdr:cNvPr id="28" name="Chart 27">
            <a:extLst>
              <a:ext uri="{FF2B5EF4-FFF2-40B4-BE49-F238E27FC236}">
                <a16:creationId xmlns:a16="http://schemas.microsoft.com/office/drawing/2014/main" id="{185B68DF-FB35-631F-1E2E-6A66131F2AAA}"/>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9" name="TextBox 28">
            <a:extLst>
              <a:ext uri="{FF2B5EF4-FFF2-40B4-BE49-F238E27FC236}">
                <a16:creationId xmlns:a16="http://schemas.microsoft.com/office/drawing/2014/main" id="{E0E9A59B-2010-BC2B-F80E-2119F4ED882D}"/>
              </a:ext>
            </a:extLst>
          </xdr:cNvPr>
          <xdr:cNvSpPr txBox="1"/>
        </xdr:nvSpPr>
        <xdr:spPr>
          <a:xfrm>
            <a:off x="343755" y="3504871"/>
            <a:ext cx="1579940" cy="2593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002060"/>
                </a:solidFill>
                <a:latin typeface="+mn-lt"/>
              </a:rPr>
              <a:t>Working Capital/ Total Assets</a:t>
            </a:r>
          </a:p>
        </xdr:txBody>
      </xdr:sp>
      <xdr:cxnSp macro="">
        <xdr:nvCxnSpPr>
          <xdr:cNvPr id="30" name="Straight Connector 29">
            <a:extLst>
              <a:ext uri="{FF2B5EF4-FFF2-40B4-BE49-F238E27FC236}">
                <a16:creationId xmlns:a16="http://schemas.microsoft.com/office/drawing/2014/main" id="{F91DB8BE-AFB9-BA47-66DC-7E434CC4CEEA}"/>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2863850</xdr:colOff>
      <xdr:row>10</xdr:row>
      <xdr:rowOff>27315</xdr:rowOff>
    </xdr:from>
    <xdr:to>
      <xdr:col>4</xdr:col>
      <xdr:colOff>565150</xdr:colOff>
      <xdr:row>15</xdr:row>
      <xdr:rowOff>309930</xdr:rowOff>
    </xdr:to>
    <xdr:grpSp>
      <xdr:nvGrpSpPr>
        <xdr:cNvPr id="31" name="Group 30">
          <a:extLst>
            <a:ext uri="{FF2B5EF4-FFF2-40B4-BE49-F238E27FC236}">
              <a16:creationId xmlns:a16="http://schemas.microsoft.com/office/drawing/2014/main" id="{5C6E7394-21B5-4B6F-9C0D-752F4EE8945C}"/>
            </a:ext>
          </a:extLst>
        </xdr:cNvPr>
        <xdr:cNvGrpSpPr/>
      </xdr:nvGrpSpPr>
      <xdr:grpSpPr>
        <a:xfrm>
          <a:off x="2989282" y="2473241"/>
          <a:ext cx="3071362" cy="1928911"/>
          <a:chOff x="0" y="3496067"/>
          <a:chExt cx="2321673" cy="1940674"/>
        </a:xfrm>
      </xdr:grpSpPr>
      <xdr:graphicFrame macro="">
        <xdr:nvGraphicFramePr>
          <xdr:cNvPr id="32" name="Chart 31">
            <a:extLst>
              <a:ext uri="{FF2B5EF4-FFF2-40B4-BE49-F238E27FC236}">
                <a16:creationId xmlns:a16="http://schemas.microsoft.com/office/drawing/2014/main" id="{592B7270-F602-C486-C581-BC14CF156E9E}"/>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3" name="TextBox 32">
            <a:extLst>
              <a:ext uri="{FF2B5EF4-FFF2-40B4-BE49-F238E27FC236}">
                <a16:creationId xmlns:a16="http://schemas.microsoft.com/office/drawing/2014/main" id="{1673AFA1-2086-EE5C-080E-21E67F346A59}"/>
              </a:ext>
            </a:extLst>
          </xdr:cNvPr>
          <xdr:cNvSpPr txBox="1"/>
        </xdr:nvSpPr>
        <xdr:spPr>
          <a:xfrm>
            <a:off x="345642" y="3504871"/>
            <a:ext cx="1666545" cy="2593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Retained Earnings / Total Assets</a:t>
            </a:r>
            <a:endParaRPr lang="en-IN" sz="1050" b="1">
              <a:solidFill>
                <a:srgbClr val="002060"/>
              </a:solidFill>
              <a:latin typeface="+mn-lt"/>
            </a:endParaRPr>
          </a:p>
        </xdr:txBody>
      </xdr:sp>
      <xdr:cxnSp macro="">
        <xdr:nvCxnSpPr>
          <xdr:cNvPr id="34" name="Straight Connector 33">
            <a:extLst>
              <a:ext uri="{FF2B5EF4-FFF2-40B4-BE49-F238E27FC236}">
                <a16:creationId xmlns:a16="http://schemas.microsoft.com/office/drawing/2014/main" id="{C5EA485B-282C-1FD0-1355-B5430FBAE144}"/>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590550</xdr:colOff>
      <xdr:row>10</xdr:row>
      <xdr:rowOff>35154</xdr:rowOff>
    </xdr:from>
    <xdr:to>
      <xdr:col>9</xdr:col>
      <xdr:colOff>107950</xdr:colOff>
      <xdr:row>15</xdr:row>
      <xdr:rowOff>317769</xdr:rowOff>
    </xdr:to>
    <xdr:grpSp>
      <xdr:nvGrpSpPr>
        <xdr:cNvPr id="35" name="Group 34">
          <a:extLst>
            <a:ext uri="{FF2B5EF4-FFF2-40B4-BE49-F238E27FC236}">
              <a16:creationId xmlns:a16="http://schemas.microsoft.com/office/drawing/2014/main" id="{9E06DE6D-5983-46D3-B958-F6E6E34962A5}"/>
            </a:ext>
          </a:extLst>
        </xdr:cNvPr>
        <xdr:cNvGrpSpPr/>
      </xdr:nvGrpSpPr>
      <xdr:grpSpPr>
        <a:xfrm>
          <a:off x="6086044" y="2481080"/>
          <a:ext cx="2770795" cy="1928911"/>
          <a:chOff x="0" y="3496067"/>
          <a:chExt cx="2321673" cy="1940674"/>
        </a:xfrm>
      </xdr:grpSpPr>
      <xdr:graphicFrame macro="">
        <xdr:nvGraphicFramePr>
          <xdr:cNvPr id="36" name="Chart 35">
            <a:extLst>
              <a:ext uri="{FF2B5EF4-FFF2-40B4-BE49-F238E27FC236}">
                <a16:creationId xmlns:a16="http://schemas.microsoft.com/office/drawing/2014/main" id="{FA013B43-93C3-4204-DEB9-7D1BEFDCFC8B}"/>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7" name="TextBox 36">
            <a:extLst>
              <a:ext uri="{FF2B5EF4-FFF2-40B4-BE49-F238E27FC236}">
                <a16:creationId xmlns:a16="http://schemas.microsoft.com/office/drawing/2014/main" id="{B6B6FD80-3DE3-3704-35FC-AC9F9BDD23B2}"/>
              </a:ext>
            </a:extLst>
          </xdr:cNvPr>
          <xdr:cNvSpPr txBox="1"/>
        </xdr:nvSpPr>
        <xdr:spPr>
          <a:xfrm>
            <a:off x="667308" y="3498503"/>
            <a:ext cx="1607208" cy="2612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EBIT/ Total Assets</a:t>
            </a:r>
            <a:endParaRPr lang="en-IN" sz="1050" b="1">
              <a:solidFill>
                <a:srgbClr val="002060"/>
              </a:solidFill>
              <a:latin typeface="+mn-lt"/>
            </a:endParaRPr>
          </a:p>
        </xdr:txBody>
      </xdr:sp>
      <xdr:cxnSp macro="">
        <xdr:nvCxnSpPr>
          <xdr:cNvPr id="38" name="Straight Connector 37">
            <a:extLst>
              <a:ext uri="{FF2B5EF4-FFF2-40B4-BE49-F238E27FC236}">
                <a16:creationId xmlns:a16="http://schemas.microsoft.com/office/drawing/2014/main" id="{4C5848E6-3946-3C0A-9C09-E8C4BDB4A548}"/>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16</xdr:row>
      <xdr:rowOff>272414</xdr:rowOff>
    </xdr:from>
    <xdr:to>
      <xdr:col>1</xdr:col>
      <xdr:colOff>2692400</xdr:colOff>
      <xdr:row>23</xdr:row>
      <xdr:rowOff>89682</xdr:rowOff>
    </xdr:to>
    <xdr:grpSp>
      <xdr:nvGrpSpPr>
        <xdr:cNvPr id="39" name="Group 38">
          <a:extLst>
            <a:ext uri="{FF2B5EF4-FFF2-40B4-BE49-F238E27FC236}">
              <a16:creationId xmlns:a16="http://schemas.microsoft.com/office/drawing/2014/main" id="{5A26F730-0999-4AAA-ABD6-BF2D60A921D8}"/>
            </a:ext>
          </a:extLst>
        </xdr:cNvPr>
        <xdr:cNvGrpSpPr/>
      </xdr:nvGrpSpPr>
      <xdr:grpSpPr>
        <a:xfrm>
          <a:off x="125432" y="4693895"/>
          <a:ext cx="2692400" cy="2122083"/>
          <a:chOff x="0" y="3496067"/>
          <a:chExt cx="2321673" cy="1940674"/>
        </a:xfrm>
      </xdr:grpSpPr>
      <xdr:graphicFrame macro="">
        <xdr:nvGraphicFramePr>
          <xdr:cNvPr id="40" name="Chart 39">
            <a:extLst>
              <a:ext uri="{FF2B5EF4-FFF2-40B4-BE49-F238E27FC236}">
                <a16:creationId xmlns:a16="http://schemas.microsoft.com/office/drawing/2014/main" id="{5C0E587B-3BFC-23F0-B239-111C73952DDA}"/>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1" name="TextBox 40">
            <a:extLst>
              <a:ext uri="{FF2B5EF4-FFF2-40B4-BE49-F238E27FC236}">
                <a16:creationId xmlns:a16="http://schemas.microsoft.com/office/drawing/2014/main" id="{2B213F23-CF39-69A9-E583-F2051412FEEE}"/>
              </a:ext>
            </a:extLst>
          </xdr:cNvPr>
          <xdr:cNvSpPr txBox="1"/>
        </xdr:nvSpPr>
        <xdr:spPr>
          <a:xfrm>
            <a:off x="244807" y="3503804"/>
            <a:ext cx="1888512" cy="2359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Market Cap / Long Term Liabilities</a:t>
            </a:r>
            <a:endParaRPr lang="en-IN" sz="1050" b="1">
              <a:solidFill>
                <a:srgbClr val="002060"/>
              </a:solidFill>
              <a:latin typeface="+mn-lt"/>
            </a:endParaRPr>
          </a:p>
        </xdr:txBody>
      </xdr:sp>
      <xdr:cxnSp macro="">
        <xdr:nvCxnSpPr>
          <xdr:cNvPr id="42" name="Straight Connector 41">
            <a:extLst>
              <a:ext uri="{FF2B5EF4-FFF2-40B4-BE49-F238E27FC236}">
                <a16:creationId xmlns:a16="http://schemas.microsoft.com/office/drawing/2014/main" id="{C91C2801-70F1-39C5-4D39-1AD930467000}"/>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2635250</xdr:colOff>
      <xdr:row>16</xdr:row>
      <xdr:rowOff>280254</xdr:rowOff>
    </xdr:from>
    <xdr:to>
      <xdr:col>4</xdr:col>
      <xdr:colOff>552450</xdr:colOff>
      <xdr:row>23</xdr:row>
      <xdr:rowOff>97522</xdr:rowOff>
    </xdr:to>
    <xdr:grpSp>
      <xdr:nvGrpSpPr>
        <xdr:cNvPr id="43" name="Group 42">
          <a:extLst>
            <a:ext uri="{FF2B5EF4-FFF2-40B4-BE49-F238E27FC236}">
              <a16:creationId xmlns:a16="http://schemas.microsoft.com/office/drawing/2014/main" id="{5903E71C-0EE0-462B-A8F2-0B08A1ADDEE8}"/>
            </a:ext>
          </a:extLst>
        </xdr:cNvPr>
        <xdr:cNvGrpSpPr/>
      </xdr:nvGrpSpPr>
      <xdr:grpSpPr>
        <a:xfrm>
          <a:off x="2760682" y="4701735"/>
          <a:ext cx="3287262" cy="2122083"/>
          <a:chOff x="0" y="3496067"/>
          <a:chExt cx="2321673" cy="1940674"/>
        </a:xfrm>
      </xdr:grpSpPr>
      <xdr:graphicFrame macro="">
        <xdr:nvGraphicFramePr>
          <xdr:cNvPr id="44" name="Chart 43">
            <a:extLst>
              <a:ext uri="{FF2B5EF4-FFF2-40B4-BE49-F238E27FC236}">
                <a16:creationId xmlns:a16="http://schemas.microsoft.com/office/drawing/2014/main" id="{8B034198-D0A2-8EDE-B8D0-C2713582F1E0}"/>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5" name="TextBox 44">
            <a:extLst>
              <a:ext uri="{FF2B5EF4-FFF2-40B4-BE49-F238E27FC236}">
                <a16:creationId xmlns:a16="http://schemas.microsoft.com/office/drawing/2014/main" id="{F31B020E-BC3F-7D15-14E3-E178940AA462}"/>
              </a:ext>
            </a:extLst>
          </xdr:cNvPr>
          <xdr:cNvSpPr txBox="1"/>
        </xdr:nvSpPr>
        <xdr:spPr>
          <a:xfrm>
            <a:off x="783640" y="3499558"/>
            <a:ext cx="1476908" cy="2359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002060"/>
                </a:solidFill>
                <a:latin typeface="+mn-lt"/>
              </a:rPr>
              <a:t>Sales / Total Assets</a:t>
            </a:r>
            <a:endParaRPr lang="en-IN" sz="1050" b="1">
              <a:solidFill>
                <a:srgbClr val="002060"/>
              </a:solidFill>
              <a:latin typeface="+mn-lt"/>
            </a:endParaRPr>
          </a:p>
        </xdr:txBody>
      </xdr:sp>
      <xdr:cxnSp macro="">
        <xdr:nvCxnSpPr>
          <xdr:cNvPr id="46" name="Straight Connector 45">
            <a:extLst>
              <a:ext uri="{FF2B5EF4-FFF2-40B4-BE49-F238E27FC236}">
                <a16:creationId xmlns:a16="http://schemas.microsoft.com/office/drawing/2014/main" id="{58EE8D3E-2F19-B915-3EAC-A0DF33B99EFF}"/>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622300</xdr:colOff>
      <xdr:row>16</xdr:row>
      <xdr:rowOff>280254</xdr:rowOff>
    </xdr:from>
    <xdr:to>
      <xdr:col>9</xdr:col>
      <xdr:colOff>266700</xdr:colOff>
      <xdr:row>23</xdr:row>
      <xdr:rowOff>97522</xdr:rowOff>
    </xdr:to>
    <xdr:grpSp>
      <xdr:nvGrpSpPr>
        <xdr:cNvPr id="47" name="Group 46">
          <a:extLst>
            <a:ext uri="{FF2B5EF4-FFF2-40B4-BE49-F238E27FC236}">
              <a16:creationId xmlns:a16="http://schemas.microsoft.com/office/drawing/2014/main" id="{F6701F73-8241-495B-BABE-8B226DCF951D}"/>
            </a:ext>
          </a:extLst>
        </xdr:cNvPr>
        <xdr:cNvGrpSpPr/>
      </xdr:nvGrpSpPr>
      <xdr:grpSpPr>
        <a:xfrm>
          <a:off x="6117794" y="4701735"/>
          <a:ext cx="2897795" cy="2122083"/>
          <a:chOff x="0" y="3496067"/>
          <a:chExt cx="2321673" cy="1940674"/>
        </a:xfrm>
      </xdr:grpSpPr>
      <xdr:graphicFrame macro="">
        <xdr:nvGraphicFramePr>
          <xdr:cNvPr id="48" name="Chart 47">
            <a:extLst>
              <a:ext uri="{FF2B5EF4-FFF2-40B4-BE49-F238E27FC236}">
                <a16:creationId xmlns:a16="http://schemas.microsoft.com/office/drawing/2014/main" id="{0F658921-A6CD-BCA3-D23F-D086C7E44158}"/>
              </a:ext>
            </a:extLst>
          </xdr:cNvPr>
          <xdr:cNvGraphicFramePr/>
        </xdr:nvGraphicFramePr>
        <xdr:xfrm>
          <a:off x="0" y="3647753"/>
          <a:ext cx="2321673" cy="17889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9" name="TextBox 48">
            <a:extLst>
              <a:ext uri="{FF2B5EF4-FFF2-40B4-BE49-F238E27FC236}">
                <a16:creationId xmlns:a16="http://schemas.microsoft.com/office/drawing/2014/main" id="{17E6398D-1193-387A-A847-39B2A358F727}"/>
              </a:ext>
            </a:extLst>
          </xdr:cNvPr>
          <xdr:cNvSpPr txBox="1"/>
        </xdr:nvSpPr>
        <xdr:spPr>
          <a:xfrm>
            <a:off x="671860" y="3496952"/>
            <a:ext cx="1607208" cy="2359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002060"/>
                </a:solidFill>
                <a:latin typeface="+mn-lt"/>
              </a:rPr>
              <a:t>Altman's Z Score</a:t>
            </a:r>
          </a:p>
        </xdr:txBody>
      </xdr:sp>
      <xdr:cxnSp macro="">
        <xdr:nvCxnSpPr>
          <xdr:cNvPr id="50" name="Straight Connector 49">
            <a:extLst>
              <a:ext uri="{FF2B5EF4-FFF2-40B4-BE49-F238E27FC236}">
                <a16:creationId xmlns:a16="http://schemas.microsoft.com/office/drawing/2014/main" id="{B4E4AEA0-95DC-6285-91A3-22A1C2A01E3A}"/>
              </a:ext>
            </a:extLst>
          </xdr:cNvPr>
          <xdr:cNvCxnSpPr/>
        </xdr:nvCxnSpPr>
        <xdr:spPr>
          <a:xfrm>
            <a:off x="135562" y="3496067"/>
            <a:ext cx="2012022"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60</xdr:row>
      <xdr:rowOff>0</xdr:rowOff>
    </xdr:from>
    <xdr:to>
      <xdr:col>9</xdr:col>
      <xdr:colOff>6048</xdr:colOff>
      <xdr:row>62</xdr:row>
      <xdr:rowOff>26737</xdr:rowOff>
    </xdr:to>
    <xdr:sp macro="" textlink="">
      <xdr:nvSpPr>
        <xdr:cNvPr id="51" name="TextBox 50">
          <a:extLst>
            <a:ext uri="{FF2B5EF4-FFF2-40B4-BE49-F238E27FC236}">
              <a16:creationId xmlns:a16="http://schemas.microsoft.com/office/drawing/2014/main" id="{13ED34E9-29DC-497B-8FBB-770A103200F1}"/>
            </a:ext>
          </a:extLst>
        </xdr:cNvPr>
        <xdr:cNvSpPr txBox="1"/>
      </xdr:nvSpPr>
      <xdr:spPr>
        <a:xfrm>
          <a:off x="127000" y="31026100"/>
          <a:ext cx="7867348" cy="3950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1">
              <a:solidFill>
                <a:srgbClr val="002060"/>
              </a:solidFill>
            </a:rPr>
            <a:t>Disclaimer :</a:t>
          </a:r>
          <a:r>
            <a:rPr lang="en-IN" sz="900" i="1">
              <a:solidFill>
                <a:srgbClr val="002060"/>
              </a:solidFill>
            </a:rPr>
            <a:t> </a:t>
          </a:r>
          <a:r>
            <a:rPr lang="en-IN" sz="900" i="1"/>
            <a:t>This report is made as part of educational assignment and is meant for educational purpose only. The author of the report is not liable for any losses due to actions taken basis this report. It is advisable to consult SEBI registered reasearch analyst before making any investments </a:t>
          </a:r>
        </a:p>
      </xdr:txBody>
    </xdr:sp>
    <xdr:clientData/>
  </xdr:twoCellAnchor>
  <xdr:twoCellAnchor editAs="oneCell">
    <xdr:from>
      <xdr:col>6</xdr:col>
      <xdr:colOff>47038</xdr:colOff>
      <xdr:row>1</xdr:row>
      <xdr:rowOff>44450</xdr:rowOff>
    </xdr:from>
    <xdr:to>
      <xdr:col>9</xdr:col>
      <xdr:colOff>1</xdr:colOff>
      <xdr:row>6</xdr:row>
      <xdr:rowOff>164630</xdr:rowOff>
    </xdr:to>
    <xdr:pic>
      <xdr:nvPicPr>
        <xdr:cNvPr id="52" name="Picture 51">
          <a:extLst>
            <a:ext uri="{FF2B5EF4-FFF2-40B4-BE49-F238E27FC236}">
              <a16:creationId xmlns:a16="http://schemas.microsoft.com/office/drawing/2014/main" id="{B45E02A9-1A97-47FF-A0DB-952023F2A4FA}"/>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9206" t="25595" r="8254" b="30153"/>
        <a:stretch>
          <a:fillRect/>
        </a:stretch>
      </xdr:blipFill>
      <xdr:spPr>
        <a:xfrm>
          <a:off x="6843890" y="224759"/>
          <a:ext cx="1905000" cy="13666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D4C0-72DC-4C4F-84DA-19AD841F86E4}">
  <sheetPr>
    <tabColor theme="4"/>
  </sheetPr>
  <dimension ref="A1"/>
  <sheetViews>
    <sheetView topLeftCell="V1" workbookViewId="0">
      <selection activeCell="I22" sqref="I22"/>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7F6C-38F1-475E-BB44-A5F2EA4F294E}">
  <sheetPr>
    <pageSetUpPr fitToPage="1"/>
  </sheetPr>
  <dimension ref="A1:Q122"/>
  <sheetViews>
    <sheetView showGridLines="0" topLeftCell="A3" zoomScale="75" zoomScaleNormal="75" workbookViewId="0">
      <selection activeCell="I38" sqref="I38"/>
    </sheetView>
  </sheetViews>
  <sheetFormatPr defaultRowHeight="14.5" outlineLevelRow="1" x14ac:dyDescent="0.35"/>
  <cols>
    <col min="1" max="1" width="1.81640625" customWidth="1"/>
    <col min="2" max="2" width="33.453125" customWidth="1"/>
    <col min="3" max="13" width="11.7265625" bestFit="1" customWidth="1"/>
    <col min="17" max="17" width="9.08984375" bestFit="1" customWidth="1"/>
  </cols>
  <sheetData>
    <row r="1" spans="1:13" x14ac:dyDescent="0.35">
      <c r="A1" s="44"/>
      <c r="B1" s="247"/>
      <c r="C1" s="247"/>
      <c r="D1" s="247"/>
      <c r="E1" s="247"/>
      <c r="F1" s="247"/>
      <c r="G1" s="247"/>
      <c r="H1" s="247"/>
      <c r="I1" s="247"/>
      <c r="J1" s="247"/>
      <c r="K1" s="247"/>
      <c r="L1" s="247"/>
      <c r="M1" s="247"/>
    </row>
    <row r="2" spans="1:13" ht="26" x14ac:dyDescent="0.6">
      <c r="B2" s="186" t="s">
        <v>289</v>
      </c>
    </row>
    <row r="3" spans="1:13" ht="18.5" x14ac:dyDescent="0.45">
      <c r="B3" s="188" t="s">
        <v>388</v>
      </c>
    </row>
    <row r="4" spans="1:13" ht="21" x14ac:dyDescent="0.5">
      <c r="B4" s="187" t="s">
        <v>389</v>
      </c>
    </row>
    <row r="5" spans="1:13" ht="18.5" x14ac:dyDescent="0.45">
      <c r="B5" s="188" t="s">
        <v>390</v>
      </c>
    </row>
    <row r="8" spans="1:13" x14ac:dyDescent="0.35">
      <c r="B8" s="247" t="str">
        <f>"Historical Financial Statements -"&amp;'Data Sheet'!B1</f>
        <v>Historical Financial Statements -HINDUSTAN UNILEVER LTD</v>
      </c>
      <c r="C8" s="247"/>
      <c r="D8" s="247"/>
      <c r="E8" s="247"/>
      <c r="F8" s="247"/>
      <c r="G8" s="247"/>
      <c r="H8" s="247"/>
      <c r="I8" s="247"/>
      <c r="J8" s="247"/>
      <c r="K8" s="247"/>
      <c r="L8" s="247"/>
      <c r="M8" s="247"/>
    </row>
    <row r="9" spans="1:13" x14ac:dyDescent="0.35">
      <c r="B9" s="47" t="s">
        <v>92</v>
      </c>
      <c r="C9" s="48">
        <f>'Data Sheet'!B16</f>
        <v>42825</v>
      </c>
      <c r="D9" s="48">
        <f>'Data Sheet'!C16</f>
        <v>43190</v>
      </c>
      <c r="E9" s="48">
        <f>'Data Sheet'!D16</f>
        <v>43555</v>
      </c>
      <c r="F9" s="48">
        <f>'Data Sheet'!E16</f>
        <v>43921</v>
      </c>
      <c r="G9" s="48">
        <f>'Data Sheet'!F16</f>
        <v>44286</v>
      </c>
      <c r="H9" s="48">
        <f>'Data Sheet'!G16</f>
        <v>44651</v>
      </c>
      <c r="I9" s="48">
        <f>'Data Sheet'!H16</f>
        <v>45016</v>
      </c>
      <c r="J9" s="48">
        <f>'Data Sheet'!I16</f>
        <v>45382</v>
      </c>
      <c r="K9" s="48">
        <f>'Data Sheet'!J16</f>
        <v>45747</v>
      </c>
      <c r="L9" s="48">
        <f>'Data Sheet'!K16</f>
        <v>46112</v>
      </c>
      <c r="M9" s="71" t="s">
        <v>196</v>
      </c>
    </row>
    <row r="10" spans="1:13" x14ac:dyDescent="0.35">
      <c r="A10" t="s">
        <v>147</v>
      </c>
      <c r="B10" s="64" t="s">
        <v>195</v>
      </c>
      <c r="C10" s="63"/>
      <c r="D10" s="63" t="s">
        <v>56</v>
      </c>
      <c r="E10" s="63"/>
      <c r="F10" s="63"/>
      <c r="G10" s="63"/>
      <c r="H10" s="63"/>
      <c r="I10" s="63"/>
      <c r="J10" s="63"/>
      <c r="K10" s="63"/>
      <c r="L10" s="63"/>
      <c r="M10" s="63"/>
    </row>
    <row r="11" spans="1:13" outlineLevel="1" x14ac:dyDescent="0.35">
      <c r="B11" t="s">
        <v>194</v>
      </c>
      <c r="C11" s="61">
        <f>IFERROR('Data Sheet'!B17,0)</f>
        <v>33162</v>
      </c>
      <c r="D11" s="61">
        <f>IFERROR('Data Sheet'!C17,0)</f>
        <v>35545</v>
      </c>
      <c r="E11" s="61">
        <f>IFERROR('Data Sheet'!D17,0)</f>
        <v>39310</v>
      </c>
      <c r="F11" s="61">
        <f>IFERROR('Data Sheet'!E17,0)</f>
        <v>39783</v>
      </c>
      <c r="G11" s="61">
        <f>IFERROR('Data Sheet'!F17,0)</f>
        <v>47028</v>
      </c>
      <c r="H11" s="61">
        <f>IFERROR('Data Sheet'!G17,0)</f>
        <v>52446</v>
      </c>
      <c r="I11" s="61">
        <f>IFERROR('Data Sheet'!H17,0)</f>
        <v>60580</v>
      </c>
      <c r="J11" s="61">
        <f>IFERROR('Data Sheet'!I17,0)</f>
        <v>61896</v>
      </c>
      <c r="K11" s="61">
        <f>IFERROR('Data Sheet'!J17,0)</f>
        <v>61328</v>
      </c>
      <c r="L11" s="61">
        <f>IFERROR('Data Sheet'!K17,0)</f>
        <v>64468</v>
      </c>
      <c r="M11" s="61">
        <f>IFERROR(SUM('Data Sheet'!H42:K42),0)</f>
        <v>66052</v>
      </c>
    </row>
    <row r="12" spans="1:13" outlineLevel="1" x14ac:dyDescent="0.35">
      <c r="B12" s="68" t="s">
        <v>193</v>
      </c>
      <c r="C12" s="70" t="s">
        <v>192</v>
      </c>
      <c r="D12" s="67">
        <f t="shared" ref="D12:M12" si="0">D11/C11-1</f>
        <v>7.1859357095470644E-2</v>
      </c>
      <c r="E12" s="67">
        <f t="shared" si="0"/>
        <v>0.1059220706147137</v>
      </c>
      <c r="F12" s="67">
        <f t="shared" si="0"/>
        <v>1.2032561689137689E-2</v>
      </c>
      <c r="G12" s="67">
        <f t="shared" si="0"/>
        <v>0.18211296282331646</v>
      </c>
      <c r="H12" s="67">
        <f t="shared" si="0"/>
        <v>0.11520796121459553</v>
      </c>
      <c r="I12" s="67">
        <f t="shared" si="0"/>
        <v>0.15509285741524614</v>
      </c>
      <c r="J12" s="67">
        <f t="shared" si="0"/>
        <v>2.1723341036645749E-2</v>
      </c>
      <c r="K12" s="67">
        <f t="shared" si="0"/>
        <v>-9.1766834690448773E-3</v>
      </c>
      <c r="L12" s="67">
        <f t="shared" si="0"/>
        <v>5.1200104356900589E-2</v>
      </c>
      <c r="M12" s="67">
        <f t="shared" si="0"/>
        <v>2.4570329465781526E-2</v>
      </c>
    </row>
    <row r="13" spans="1:13" outlineLevel="1" x14ac:dyDescent="0.35"/>
    <row r="14" spans="1:13" outlineLevel="1" x14ac:dyDescent="0.35">
      <c r="B14" t="s">
        <v>191</v>
      </c>
      <c r="C14" s="61">
        <f>IFERROR(SUM('Data Sheet'!B18,'Data Sheet'!B20:B22)-1*'Data Sheet'!B19,0)</f>
        <v>18675</v>
      </c>
      <c r="D14" s="61">
        <f>IFERROR(SUM('Data Sheet'!C18,'Data Sheet'!C20:C22)-1*'Data Sheet'!C19,0)</f>
        <v>19314</v>
      </c>
      <c r="E14" s="61">
        <f>IFERROR(SUM('Data Sheet'!D18,'Data Sheet'!D20:D22)-1*'Data Sheet'!D19,0)</f>
        <v>21081</v>
      </c>
      <c r="F14" s="61">
        <f>IFERROR(SUM('Data Sheet'!E18,'Data Sheet'!E20:E22)-1*'Data Sheet'!E19,0)</f>
        <v>20614</v>
      </c>
      <c r="G14" s="61">
        <f>IFERROR(SUM('Data Sheet'!F18,'Data Sheet'!F20:F22)-1*'Data Sheet'!F19,0)</f>
        <v>25301</v>
      </c>
      <c r="H14" s="61">
        <f>IFERROR(SUM('Data Sheet'!G18,'Data Sheet'!G20:G22)-1*'Data Sheet'!G19,0)</f>
        <v>29066</v>
      </c>
      <c r="I14" s="61">
        <f>IFERROR(SUM('Data Sheet'!H18,'Data Sheet'!H20:H22)-1*'Data Sheet'!H19,0)</f>
        <v>35381</v>
      </c>
      <c r="J14" s="61">
        <f>IFERROR(SUM('Data Sheet'!I18,'Data Sheet'!I20:I22)-1*'Data Sheet'!I19,0)</f>
        <v>33651</v>
      </c>
      <c r="K14" s="61">
        <f>IFERROR(SUM('Data Sheet'!J18,'Data Sheet'!J20:J22)-1*'Data Sheet'!J19,0)</f>
        <v>33519</v>
      </c>
      <c r="L14" s="61">
        <f>IFERROR(SUM('Data Sheet'!K18,'Data Sheet'!K20:K22)-1*'Data Sheet'!K19,0)</f>
        <v>35634</v>
      </c>
      <c r="M14" s="61">
        <f>IFERROR(SUM('Data Sheet'!H43:K43),0)</f>
        <v>50705</v>
      </c>
    </row>
    <row r="15" spans="1:13" outlineLevel="1" x14ac:dyDescent="0.35">
      <c r="B15" s="68" t="s">
        <v>190</v>
      </c>
      <c r="C15" s="67">
        <f t="shared" ref="C15:M15" si="1">C14/C11</f>
        <v>0.5631445630540981</v>
      </c>
      <c r="D15" s="67">
        <f t="shared" si="1"/>
        <v>0.54336756224504146</v>
      </c>
      <c r="E15" s="67">
        <f t="shared" si="1"/>
        <v>0.53627575680488426</v>
      </c>
      <c r="F15" s="67">
        <f t="shared" si="1"/>
        <v>0.51816102355277383</v>
      </c>
      <c r="G15" s="67">
        <f t="shared" si="1"/>
        <v>0.53799863910861612</v>
      </c>
      <c r="H15" s="67">
        <f t="shared" si="1"/>
        <v>0.55420813789421497</v>
      </c>
      <c r="I15" s="67">
        <f t="shared" si="1"/>
        <v>0.58403763618355897</v>
      </c>
      <c r="J15" s="67">
        <f t="shared" si="1"/>
        <v>0.54367002714230317</v>
      </c>
      <c r="K15" s="67">
        <f t="shared" si="1"/>
        <v>0.54655296112705454</v>
      </c>
      <c r="L15" s="67">
        <f t="shared" si="1"/>
        <v>0.55273934355028853</v>
      </c>
      <c r="M15" s="67">
        <f t="shared" si="1"/>
        <v>0.76765275843274994</v>
      </c>
    </row>
    <row r="16" spans="1:13" outlineLevel="1" x14ac:dyDescent="0.35"/>
    <row r="17" spans="2:17" outlineLevel="1" x14ac:dyDescent="0.35">
      <c r="B17" s="66" t="s">
        <v>189</v>
      </c>
      <c r="C17" s="65">
        <f t="shared" ref="C17:M17" si="2">C11-C14</f>
        <v>14487</v>
      </c>
      <c r="D17" s="65">
        <f t="shared" si="2"/>
        <v>16231</v>
      </c>
      <c r="E17" s="65">
        <f t="shared" si="2"/>
        <v>18229</v>
      </c>
      <c r="F17" s="65">
        <f t="shared" si="2"/>
        <v>19169</v>
      </c>
      <c r="G17" s="65">
        <f t="shared" si="2"/>
        <v>21727</v>
      </c>
      <c r="H17" s="65">
        <f t="shared" si="2"/>
        <v>23380</v>
      </c>
      <c r="I17" s="65">
        <f t="shared" si="2"/>
        <v>25199</v>
      </c>
      <c r="J17" s="65">
        <f t="shared" si="2"/>
        <v>28245</v>
      </c>
      <c r="K17" s="65">
        <f t="shared" si="2"/>
        <v>27809</v>
      </c>
      <c r="L17" s="65">
        <f t="shared" si="2"/>
        <v>28834</v>
      </c>
      <c r="M17" s="65">
        <f t="shared" si="2"/>
        <v>15347</v>
      </c>
    </row>
    <row r="18" spans="2:17" outlineLevel="1" x14ac:dyDescent="0.35">
      <c r="B18" s="68" t="s">
        <v>188</v>
      </c>
      <c r="C18" s="67">
        <f t="shared" ref="C18:M18" si="3">C17/C11</f>
        <v>0.43685543694590195</v>
      </c>
      <c r="D18" s="67">
        <f t="shared" si="3"/>
        <v>0.45663243775495849</v>
      </c>
      <c r="E18" s="67">
        <f t="shared" si="3"/>
        <v>0.46372424319511574</v>
      </c>
      <c r="F18" s="67">
        <f t="shared" si="3"/>
        <v>0.48183897644722617</v>
      </c>
      <c r="G18" s="67">
        <f t="shared" si="3"/>
        <v>0.46200136089138388</v>
      </c>
      <c r="H18" s="67">
        <f t="shared" si="3"/>
        <v>0.44579186210578498</v>
      </c>
      <c r="I18" s="67">
        <f t="shared" si="3"/>
        <v>0.41596236381644108</v>
      </c>
      <c r="J18" s="67">
        <f t="shared" si="3"/>
        <v>0.45632997285769678</v>
      </c>
      <c r="K18" s="67">
        <f t="shared" si="3"/>
        <v>0.45344703887294546</v>
      </c>
      <c r="L18" s="67">
        <f t="shared" si="3"/>
        <v>0.44726065644971147</v>
      </c>
      <c r="M18" s="67">
        <f t="shared" si="3"/>
        <v>0.23234724156725003</v>
      </c>
    </row>
    <row r="19" spans="2:17" outlineLevel="1" x14ac:dyDescent="0.35"/>
    <row r="20" spans="2:17" outlineLevel="1" x14ac:dyDescent="0.35">
      <c r="B20" t="s">
        <v>187</v>
      </c>
      <c r="C20" s="61">
        <f>IFERROR(SUM('Data Sheet'!B23:B24),0)</f>
        <v>8159</v>
      </c>
      <c r="D20" s="61">
        <f>IFERROR(SUM('Data Sheet'!C23:C24),0)</f>
        <v>8732</v>
      </c>
      <c r="E20" s="61">
        <f>IFERROR(SUM('Data Sheet'!D23:D24),0)</f>
        <v>9349</v>
      </c>
      <c r="F20" s="61">
        <f>IFERROR(SUM('Data Sheet'!E23:E24),0)</f>
        <v>9308</v>
      </c>
      <c r="G20" s="61">
        <f>IFERROR(SUM('Data Sheet'!F23:F24),0)</f>
        <v>10101</v>
      </c>
      <c r="H20" s="61">
        <f>IFERROR(SUM('Data Sheet'!G23:G24),0)</f>
        <v>10523</v>
      </c>
      <c r="I20" s="61">
        <f>IFERROR(SUM('Data Sheet'!H23:H24),0)</f>
        <v>11052</v>
      </c>
      <c r="J20" s="61">
        <f>IFERROR(SUM('Data Sheet'!I23:I24),0)</f>
        <v>13586</v>
      </c>
      <c r="K20" s="61">
        <f>IFERROR(SUM('Data Sheet'!J23:J24),0)</f>
        <v>13111</v>
      </c>
      <c r="L20" s="61">
        <f>IFERROR(SUM('Data Sheet'!K23:K24),0)</f>
        <v>13795</v>
      </c>
      <c r="M20" s="69"/>
    </row>
    <row r="21" spans="2:17" outlineLevel="1" x14ac:dyDescent="0.35">
      <c r="B21" s="68" t="s">
        <v>186</v>
      </c>
      <c r="C21" s="67">
        <f t="shared" ref="C21:M21" si="4">C20/C11</f>
        <v>0.24603461793619202</v>
      </c>
      <c r="D21" s="67">
        <f t="shared" si="4"/>
        <v>0.24566043044028696</v>
      </c>
      <c r="E21" s="67">
        <f t="shared" si="4"/>
        <v>0.23782752480284916</v>
      </c>
      <c r="F21" s="67">
        <f t="shared" si="4"/>
        <v>0.23396928336224015</v>
      </c>
      <c r="G21" s="67">
        <f t="shared" si="4"/>
        <v>0.21478693544271499</v>
      </c>
      <c r="H21" s="67">
        <f t="shared" si="4"/>
        <v>0.20064447240971667</v>
      </c>
      <c r="I21" s="67">
        <f t="shared" si="4"/>
        <v>0.18243644767249917</v>
      </c>
      <c r="J21" s="67">
        <f t="shared" si="4"/>
        <v>0.21949722114514669</v>
      </c>
      <c r="K21" s="67">
        <f t="shared" si="4"/>
        <v>0.21378489433863815</v>
      </c>
      <c r="L21" s="67">
        <f t="shared" si="4"/>
        <v>0.21398213066947944</v>
      </c>
      <c r="M21" s="67">
        <f t="shared" si="4"/>
        <v>0</v>
      </c>
    </row>
    <row r="22" spans="2:17" outlineLevel="1" x14ac:dyDescent="0.35">
      <c r="Q22" s="241"/>
    </row>
    <row r="23" spans="2:17" outlineLevel="1" x14ac:dyDescent="0.35">
      <c r="B23" s="66" t="s">
        <v>185</v>
      </c>
      <c r="C23" s="65">
        <f t="shared" ref="C23:L23" si="5">C17-C20</f>
        <v>6328</v>
      </c>
      <c r="D23" s="65">
        <f t="shared" si="5"/>
        <v>7499</v>
      </c>
      <c r="E23" s="65">
        <f t="shared" si="5"/>
        <v>8880</v>
      </c>
      <c r="F23" s="65">
        <f t="shared" si="5"/>
        <v>9861</v>
      </c>
      <c r="G23" s="65">
        <f t="shared" si="5"/>
        <v>11626</v>
      </c>
      <c r="H23" s="65">
        <f t="shared" si="5"/>
        <v>12857</v>
      </c>
      <c r="I23" s="65">
        <f t="shared" si="5"/>
        <v>14147</v>
      </c>
      <c r="J23" s="65">
        <f t="shared" si="5"/>
        <v>14659</v>
      </c>
      <c r="K23" s="65">
        <f t="shared" si="5"/>
        <v>14698</v>
      </c>
      <c r="L23" s="65">
        <f>L17-L20</f>
        <v>15039</v>
      </c>
      <c r="M23" s="65">
        <f>IFERROR(SUM('Data Sheet'!H51:K51),0)</f>
        <v>20266</v>
      </c>
    </row>
    <row r="24" spans="2:17" outlineLevel="1" x14ac:dyDescent="0.35">
      <c r="B24" s="68" t="s">
        <v>184</v>
      </c>
      <c r="C24" s="67">
        <f t="shared" ref="C24:M24" si="6">C23/C11</f>
        <v>0.1908208190097099</v>
      </c>
      <c r="D24" s="67">
        <f t="shared" si="6"/>
        <v>0.21097200731467156</v>
      </c>
      <c r="E24" s="67">
        <f t="shared" si="6"/>
        <v>0.2258967183922666</v>
      </c>
      <c r="F24" s="67">
        <f t="shared" si="6"/>
        <v>0.24786969308498605</v>
      </c>
      <c r="G24" s="67">
        <f t="shared" si="6"/>
        <v>0.24721442544866887</v>
      </c>
      <c r="H24" s="67">
        <f t="shared" si="6"/>
        <v>0.24514738969606834</v>
      </c>
      <c r="I24" s="67">
        <f t="shared" si="6"/>
        <v>0.23352591614394189</v>
      </c>
      <c r="J24" s="67">
        <f t="shared" si="6"/>
        <v>0.23683275171255008</v>
      </c>
      <c r="K24" s="67">
        <f t="shared" si="6"/>
        <v>0.23966214453430734</v>
      </c>
      <c r="L24" s="67">
        <f t="shared" si="6"/>
        <v>0.23327852578023206</v>
      </c>
      <c r="M24" s="67">
        <f t="shared" si="6"/>
        <v>0.30681886998122693</v>
      </c>
    </row>
    <row r="25" spans="2:17" outlineLevel="1" x14ac:dyDescent="0.35"/>
    <row r="26" spans="2:17" outlineLevel="1" x14ac:dyDescent="0.35">
      <c r="B26" t="s">
        <v>183</v>
      </c>
      <c r="C26" s="61">
        <f>IFERROR('Data Sheet'!B27,0)</f>
        <v>35</v>
      </c>
      <c r="D26" s="61">
        <f>IFERROR('Data Sheet'!C27,0)</f>
        <v>26</v>
      </c>
      <c r="E26" s="61">
        <f>IFERROR('Data Sheet'!D27,0)</f>
        <v>33</v>
      </c>
      <c r="F26" s="61">
        <f>IFERROR('Data Sheet'!E27,0)</f>
        <v>118</v>
      </c>
      <c r="G26" s="61">
        <f>IFERROR('Data Sheet'!F27,0)</f>
        <v>117</v>
      </c>
      <c r="H26" s="61">
        <f>IFERROR('Data Sheet'!G27,0)</f>
        <v>106</v>
      </c>
      <c r="I26" s="61">
        <f>IFERROR('Data Sheet'!H27,0)</f>
        <v>114</v>
      </c>
      <c r="J26" s="61">
        <f>IFERROR('Data Sheet'!I27,0)</f>
        <v>334</v>
      </c>
      <c r="K26" s="61">
        <f>IFERROR('Data Sheet'!J27,0)</f>
        <v>381</v>
      </c>
      <c r="L26" s="61">
        <f>IFERROR('Data Sheet'!K27,0)</f>
        <v>410</v>
      </c>
      <c r="M26" s="61">
        <f>IFERROR(SUM('Data Sheet'!H46:K46),0)</f>
        <v>363</v>
      </c>
    </row>
    <row r="27" spans="2:17" outlineLevel="1" x14ac:dyDescent="0.35">
      <c r="B27" s="68" t="s">
        <v>182</v>
      </c>
      <c r="C27" s="67">
        <f t="shared" ref="C27:M27" si="7">C26/C11</f>
        <v>1.0554248839032628E-3</v>
      </c>
      <c r="D27" s="67">
        <f t="shared" si="7"/>
        <v>7.3146715431143621E-4</v>
      </c>
      <c r="E27" s="67">
        <f t="shared" si="7"/>
        <v>8.3948104807936915E-4</v>
      </c>
      <c r="F27" s="67">
        <f t="shared" si="7"/>
        <v>2.9660910439132291E-3</v>
      </c>
      <c r="G27" s="67">
        <f t="shared" si="7"/>
        <v>2.4878795611125285E-3</v>
      </c>
      <c r="H27" s="67">
        <f t="shared" si="7"/>
        <v>2.0211264920108303E-3</v>
      </c>
      <c r="I27" s="67">
        <f t="shared" si="7"/>
        <v>1.881809177946517E-3</v>
      </c>
      <c r="J27" s="67">
        <f t="shared" si="7"/>
        <v>5.3961483779242604E-3</v>
      </c>
      <c r="K27" s="67">
        <f t="shared" si="7"/>
        <v>6.2124967388468566E-3</v>
      </c>
      <c r="L27" s="67">
        <f t="shared" si="7"/>
        <v>6.3597443692994977E-3</v>
      </c>
      <c r="M27" s="67">
        <f t="shared" si="7"/>
        <v>5.4956700781202692E-3</v>
      </c>
    </row>
    <row r="28" spans="2:17" outlineLevel="1" x14ac:dyDescent="0.35"/>
    <row r="29" spans="2:17" outlineLevel="1" x14ac:dyDescent="0.35">
      <c r="B29" t="s">
        <v>181</v>
      </c>
      <c r="C29" s="61">
        <f>IFERROR('Data Sheet'!B26,0)</f>
        <v>432</v>
      </c>
      <c r="D29" s="61">
        <f>IFERROR('Data Sheet'!C26,0)</f>
        <v>520</v>
      </c>
      <c r="E29" s="61">
        <f>IFERROR('Data Sheet'!D26,0)</f>
        <v>565</v>
      </c>
      <c r="F29" s="61">
        <f>IFERROR('Data Sheet'!E26,0)</f>
        <v>1002</v>
      </c>
      <c r="G29" s="61">
        <f>IFERROR('Data Sheet'!F26,0)</f>
        <v>1074</v>
      </c>
      <c r="H29" s="61">
        <f>IFERROR('Data Sheet'!G26,0)</f>
        <v>1091</v>
      </c>
      <c r="I29" s="61">
        <f>IFERROR('Data Sheet'!H26,0)</f>
        <v>1137</v>
      </c>
      <c r="J29" s="61">
        <f>IFERROR('Data Sheet'!I26,0)</f>
        <v>1216</v>
      </c>
      <c r="K29" s="61">
        <f>IFERROR('Data Sheet'!J26,0)</f>
        <v>1253</v>
      </c>
      <c r="L29" s="61">
        <f>IFERROR('Data Sheet'!K26,0)</f>
        <v>1333</v>
      </c>
      <c r="M29" s="61">
        <f>IFERROR(SUM('Data Sheet'!H45:K45),0)</f>
        <v>1360</v>
      </c>
    </row>
    <row r="30" spans="2:17" outlineLevel="1" x14ac:dyDescent="0.35">
      <c r="B30" s="68" t="s">
        <v>180</v>
      </c>
      <c r="C30" s="67">
        <f t="shared" ref="C30:M30" si="8">C29/C11</f>
        <v>1.3026958567034558E-2</v>
      </c>
      <c r="D30" s="67">
        <f t="shared" si="8"/>
        <v>1.4629343086228723E-2</v>
      </c>
      <c r="E30" s="67">
        <f t="shared" si="8"/>
        <v>1.437293309590435E-2</v>
      </c>
      <c r="F30" s="67">
        <f t="shared" si="8"/>
        <v>2.5186637508483524E-2</v>
      </c>
      <c r="G30" s="67">
        <f t="shared" si="8"/>
        <v>2.2837458535340648E-2</v>
      </c>
      <c r="H30" s="67">
        <f t="shared" si="8"/>
        <v>2.0802349082866187E-2</v>
      </c>
      <c r="I30" s="67">
        <f t="shared" si="8"/>
        <v>1.8768570485308684E-2</v>
      </c>
      <c r="J30" s="67">
        <f t="shared" si="8"/>
        <v>1.9645857567532635E-2</v>
      </c>
      <c r="K30" s="67">
        <f t="shared" si="8"/>
        <v>2.0431124445603965E-2</v>
      </c>
      <c r="L30" s="67">
        <f t="shared" si="8"/>
        <v>2.0676924986039586E-2</v>
      </c>
      <c r="M30" s="67">
        <f t="shared" si="8"/>
        <v>2.0589838309210923E-2</v>
      </c>
    </row>
    <row r="31" spans="2:17" outlineLevel="1" x14ac:dyDescent="0.35"/>
    <row r="32" spans="2:17" outlineLevel="1" x14ac:dyDescent="0.35">
      <c r="B32" s="66" t="s">
        <v>179</v>
      </c>
      <c r="C32" s="65">
        <f t="shared" ref="C32:M32" si="9">C23-SUM(C26,C29)</f>
        <v>5861</v>
      </c>
      <c r="D32" s="65">
        <f t="shared" si="9"/>
        <v>6953</v>
      </c>
      <c r="E32" s="65">
        <f t="shared" si="9"/>
        <v>8282</v>
      </c>
      <c r="F32" s="65">
        <f t="shared" si="9"/>
        <v>8741</v>
      </c>
      <c r="G32" s="65">
        <f t="shared" si="9"/>
        <v>10435</v>
      </c>
      <c r="H32" s="65">
        <f t="shared" si="9"/>
        <v>11660</v>
      </c>
      <c r="I32" s="65">
        <f t="shared" si="9"/>
        <v>12896</v>
      </c>
      <c r="J32" s="65">
        <f t="shared" si="9"/>
        <v>13109</v>
      </c>
      <c r="K32" s="65">
        <f t="shared" si="9"/>
        <v>13064</v>
      </c>
      <c r="L32" s="65">
        <f t="shared" si="9"/>
        <v>13296</v>
      </c>
      <c r="M32" s="65">
        <f t="shared" si="9"/>
        <v>18543</v>
      </c>
    </row>
    <row r="33" spans="2:13" outlineLevel="1" x14ac:dyDescent="0.35">
      <c r="B33" s="68" t="s">
        <v>178</v>
      </c>
      <c r="C33" s="67">
        <f t="shared" ref="C33:M33" si="10">C32/C11</f>
        <v>0.17673843555877208</v>
      </c>
      <c r="D33" s="67">
        <f t="shared" si="10"/>
        <v>0.19561119707413138</v>
      </c>
      <c r="E33" s="67">
        <f t="shared" si="10"/>
        <v>0.21068430424828288</v>
      </c>
      <c r="F33" s="67">
        <f t="shared" si="10"/>
        <v>0.21971696453258929</v>
      </c>
      <c r="G33" s="67">
        <f t="shared" si="10"/>
        <v>0.22188908735221571</v>
      </c>
      <c r="H33" s="67">
        <f t="shared" si="10"/>
        <v>0.22232391412119132</v>
      </c>
      <c r="I33" s="67">
        <f t="shared" si="10"/>
        <v>0.21287553648068669</v>
      </c>
      <c r="J33" s="67">
        <f t="shared" si="10"/>
        <v>0.2117907457670932</v>
      </c>
      <c r="K33" s="67">
        <f t="shared" si="10"/>
        <v>0.21301852334985652</v>
      </c>
      <c r="L33" s="67">
        <f t="shared" si="10"/>
        <v>0.20624185642489298</v>
      </c>
      <c r="M33" s="67">
        <f t="shared" si="10"/>
        <v>0.28073336159389572</v>
      </c>
    </row>
    <row r="34" spans="2:13" outlineLevel="1" x14ac:dyDescent="0.35"/>
    <row r="35" spans="2:13" outlineLevel="1" x14ac:dyDescent="0.35">
      <c r="B35" t="s">
        <v>177</v>
      </c>
      <c r="C35" s="61">
        <f>IFERROR('Data Sheet'!B29,0)</f>
        <v>1977</v>
      </c>
      <c r="D35" s="61">
        <f>IFERROR('Data Sheet'!C29,0)</f>
        <v>2079</v>
      </c>
      <c r="E35" s="61">
        <f>IFERROR('Data Sheet'!D29,0)</f>
        <v>2544</v>
      </c>
      <c r="F35" s="61">
        <f>IFERROR('Data Sheet'!E29,0)</f>
        <v>2409</v>
      </c>
      <c r="G35" s="61">
        <f>IFERROR('Data Sheet'!F29,0)</f>
        <v>2606</v>
      </c>
      <c r="H35" s="61">
        <f>IFERROR('Data Sheet'!G29,0)</f>
        <v>2987</v>
      </c>
      <c r="I35" s="61">
        <f>IFERROR('Data Sheet'!H29,0)</f>
        <v>3201</v>
      </c>
      <c r="J35" s="61">
        <f>IFERROR('Data Sheet'!I29,0)</f>
        <v>3644</v>
      </c>
      <c r="K35" s="61">
        <f>IFERROR('Data Sheet'!J29,0)</f>
        <v>3748</v>
      </c>
      <c r="L35" s="61">
        <f>IFERROR('Data Sheet'!K29,0)</f>
        <v>3160</v>
      </c>
      <c r="M35" s="61">
        <f>IFERROR(SUM('Data Sheet'!H48:K48),0)</f>
        <v>3586</v>
      </c>
    </row>
    <row r="36" spans="2:13" outlineLevel="1" x14ac:dyDescent="0.35">
      <c r="B36" s="68" t="s">
        <v>176</v>
      </c>
      <c r="C36" s="67">
        <f t="shared" ref="C36:M36" si="11">C35/C32</f>
        <v>0.33731445145879541</v>
      </c>
      <c r="D36" s="67">
        <f t="shared" si="11"/>
        <v>0.29900762260894576</v>
      </c>
      <c r="E36" s="67">
        <f t="shared" si="11"/>
        <v>0.30717218063269741</v>
      </c>
      <c r="F36" s="67">
        <f t="shared" si="11"/>
        <v>0.27559775769362771</v>
      </c>
      <c r="G36" s="67">
        <f t="shared" si="11"/>
        <v>0.24973646382367035</v>
      </c>
      <c r="H36" s="67">
        <f t="shared" si="11"/>
        <v>0.25617495711835336</v>
      </c>
      <c r="I36" s="67">
        <f t="shared" si="11"/>
        <v>0.24821650124069478</v>
      </c>
      <c r="J36" s="67">
        <f t="shared" si="11"/>
        <v>0.27797696239224962</v>
      </c>
      <c r="K36" s="67">
        <f t="shared" si="11"/>
        <v>0.28689528475199022</v>
      </c>
      <c r="L36" s="67">
        <f t="shared" si="11"/>
        <v>0.23766546329723226</v>
      </c>
      <c r="M36" s="67">
        <f t="shared" si="11"/>
        <v>0.19338834061370869</v>
      </c>
    </row>
    <row r="37" spans="2:13" outlineLevel="1" x14ac:dyDescent="0.35"/>
    <row r="38" spans="2:13" outlineLevel="1" x14ac:dyDescent="0.35">
      <c r="B38" s="66" t="s">
        <v>175</v>
      </c>
      <c r="C38" s="65">
        <f t="shared" ref="C38:M38" si="12">C32-C35</f>
        <v>3884</v>
      </c>
      <c r="D38" s="65">
        <f t="shared" si="12"/>
        <v>4874</v>
      </c>
      <c r="E38" s="65">
        <f t="shared" si="12"/>
        <v>5738</v>
      </c>
      <c r="F38" s="65">
        <f t="shared" si="12"/>
        <v>6332</v>
      </c>
      <c r="G38" s="65">
        <f t="shared" si="12"/>
        <v>7829</v>
      </c>
      <c r="H38" s="65">
        <f t="shared" si="12"/>
        <v>8673</v>
      </c>
      <c r="I38" s="65">
        <f t="shared" si="12"/>
        <v>9695</v>
      </c>
      <c r="J38" s="65">
        <f t="shared" si="12"/>
        <v>9465</v>
      </c>
      <c r="K38" s="65">
        <f t="shared" si="12"/>
        <v>9316</v>
      </c>
      <c r="L38" s="65">
        <f>L32-L35</f>
        <v>10136</v>
      </c>
      <c r="M38" s="65">
        <f>M32-M35</f>
        <v>14957</v>
      </c>
    </row>
    <row r="39" spans="2:13" outlineLevel="1" x14ac:dyDescent="0.35">
      <c r="B39" s="68" t="s">
        <v>174</v>
      </c>
      <c r="C39" s="67">
        <f t="shared" ref="C39:M39" si="13">C38/C11</f>
        <v>0.11712200711657922</v>
      </c>
      <c r="D39" s="67">
        <f t="shared" si="13"/>
        <v>0.1371219580813054</v>
      </c>
      <c r="E39" s="67">
        <f t="shared" si="13"/>
        <v>0.14596794708725516</v>
      </c>
      <c r="F39" s="67">
        <f t="shared" si="13"/>
        <v>0.15916346178015736</v>
      </c>
      <c r="G39" s="67">
        <f t="shared" si="13"/>
        <v>0.16647529131581185</v>
      </c>
      <c r="H39" s="67">
        <f t="shared" si="13"/>
        <v>0.16537009495481067</v>
      </c>
      <c r="I39" s="67">
        <f t="shared" si="13"/>
        <v>0.16003631561571477</v>
      </c>
      <c r="J39" s="67">
        <f t="shared" si="13"/>
        <v>0.15291779759596744</v>
      </c>
      <c r="K39" s="67">
        <f t="shared" si="13"/>
        <v>0.15190451343595096</v>
      </c>
      <c r="L39" s="67">
        <f t="shared" si="13"/>
        <v>0.15722529006638952</v>
      </c>
      <c r="M39" s="67">
        <f t="shared" si="13"/>
        <v>0.22644280264034397</v>
      </c>
    </row>
    <row r="40" spans="2:13" outlineLevel="1" x14ac:dyDescent="0.35"/>
    <row r="41" spans="2:13" outlineLevel="1" x14ac:dyDescent="0.35">
      <c r="B41" t="s">
        <v>173</v>
      </c>
      <c r="C41" s="36">
        <f>IFERROR('Data Sheet'!B93,0)</f>
        <v>216.43</v>
      </c>
      <c r="D41" s="36">
        <f>IFERROR('Data Sheet'!C93,0)</f>
        <v>216.45</v>
      </c>
      <c r="E41" s="36">
        <f>IFERROR('Data Sheet'!D93,0)</f>
        <v>216.47</v>
      </c>
      <c r="F41" s="36">
        <f>IFERROR('Data Sheet'!E93,0)</f>
        <v>216.48</v>
      </c>
      <c r="G41" s="36">
        <f>IFERROR('Data Sheet'!F93,0)</f>
        <v>234.96</v>
      </c>
      <c r="H41" s="36">
        <f>IFERROR('Data Sheet'!G93,0)</f>
        <v>234.96</v>
      </c>
      <c r="I41" s="36">
        <f>IFERROR('Data Sheet'!H93,0)</f>
        <v>234.96</v>
      </c>
      <c r="J41" s="36">
        <f>IFERROR('Data Sheet'!I93,0)</f>
        <v>234.96</v>
      </c>
      <c r="K41" s="36">
        <f>IFERROR('Data Sheet'!J93,0)</f>
        <v>234.96</v>
      </c>
      <c r="L41" s="36">
        <f>IFERROR('Data Sheet'!K93,0)</f>
        <v>234.96</v>
      </c>
      <c r="M41" s="61">
        <f>IFERROR('Data Sheet'!L93,0)</f>
        <v>0</v>
      </c>
    </row>
    <row r="42" spans="2:13" outlineLevel="1" x14ac:dyDescent="0.35">
      <c r="C42" s="61"/>
      <c r="D42" s="61"/>
      <c r="E42" s="61"/>
      <c r="F42" s="61"/>
      <c r="G42" s="61"/>
      <c r="H42" s="61"/>
      <c r="I42" s="61"/>
      <c r="J42" s="61"/>
      <c r="K42" s="61"/>
      <c r="L42" s="61"/>
      <c r="M42" s="61"/>
    </row>
    <row r="43" spans="2:13" outlineLevel="1" x14ac:dyDescent="0.35">
      <c r="B43" t="s">
        <v>172</v>
      </c>
      <c r="C43" s="61">
        <f t="shared" ref="C43:M43" si="14">IFERROR(C38/C41,0)</f>
        <v>17.945756133622879</v>
      </c>
      <c r="D43" s="61">
        <f t="shared" si="14"/>
        <v>22.51790251790252</v>
      </c>
      <c r="E43" s="61">
        <f t="shared" si="14"/>
        <v>26.507137247655564</v>
      </c>
      <c r="F43" s="61">
        <f t="shared" si="14"/>
        <v>29.249815225424982</v>
      </c>
      <c r="G43" s="61">
        <f t="shared" si="14"/>
        <v>33.320565202587673</v>
      </c>
      <c r="H43" s="61">
        <f t="shared" si="14"/>
        <v>36.912665985699689</v>
      </c>
      <c r="I43" s="61">
        <f t="shared" si="14"/>
        <v>41.262342526387471</v>
      </c>
      <c r="J43" s="61">
        <f t="shared" si="14"/>
        <v>40.283452502553622</v>
      </c>
      <c r="K43" s="61">
        <f t="shared" si="14"/>
        <v>39.649302008852572</v>
      </c>
      <c r="L43" s="61">
        <f t="shared" si="14"/>
        <v>43.139257745999316</v>
      </c>
      <c r="M43" s="61">
        <f t="shared" si="14"/>
        <v>0</v>
      </c>
    </row>
    <row r="44" spans="2:13" outlineLevel="1" x14ac:dyDescent="0.35">
      <c r="B44" t="s">
        <v>171</v>
      </c>
      <c r="C44" s="67"/>
      <c r="D44" s="67">
        <f t="shared" ref="D44:M44" si="15">IFERROR(D43/C43-1,0)</f>
        <v>0.25477591193348159</v>
      </c>
      <c r="E44" s="67">
        <f t="shared" si="15"/>
        <v>0.17715836217789205</v>
      </c>
      <c r="F44" s="67">
        <f t="shared" si="15"/>
        <v>0.10346941475213423</v>
      </c>
      <c r="G44" s="67">
        <f t="shared" si="15"/>
        <v>0.1391718185496178</v>
      </c>
      <c r="H44" s="67">
        <f t="shared" si="15"/>
        <v>0.10780431728190054</v>
      </c>
      <c r="I44" s="67">
        <f t="shared" si="15"/>
        <v>0.11783696529459253</v>
      </c>
      <c r="J44" s="67">
        <f t="shared" si="15"/>
        <v>-2.3723568849922771E-2</v>
      </c>
      <c r="K44" s="67">
        <f t="shared" si="15"/>
        <v>-1.574220813523497E-2</v>
      </c>
      <c r="L44" s="67">
        <f t="shared" si="15"/>
        <v>8.8020609703735486E-2</v>
      </c>
      <c r="M44" s="67">
        <f t="shared" si="15"/>
        <v>-1</v>
      </c>
    </row>
    <row r="45" spans="2:13" outlineLevel="1" x14ac:dyDescent="0.35"/>
    <row r="46" spans="2:13" outlineLevel="1" x14ac:dyDescent="0.35">
      <c r="B46" t="s">
        <v>170</v>
      </c>
      <c r="C46" s="61">
        <f>IFERROR('Data Sheet'!B31/HistoricalFS!C41,0)</f>
        <v>16.966224645381878</v>
      </c>
      <c r="D46" s="61">
        <f>IFERROR('Data Sheet'!C31/HistoricalFS!D41,0)</f>
        <v>19.95841995841996</v>
      </c>
      <c r="E46" s="61">
        <f>IFERROR('Data Sheet'!D31/HistoricalFS!E41,0)</f>
        <v>21.95223356585208</v>
      </c>
      <c r="F46" s="61">
        <f>IFERROR('Data Sheet'!E31/HistoricalFS!F41,0)</f>
        <v>24.944567627494457</v>
      </c>
      <c r="G46" s="61">
        <f>IFERROR('Data Sheet'!F31/HistoricalFS!G41,0)</f>
        <v>40.506894790602651</v>
      </c>
      <c r="H46" s="61">
        <f>IFERROR('Data Sheet'!G31/HistoricalFS!H41,0)</f>
        <v>34.005788219271366</v>
      </c>
      <c r="I46" s="61">
        <f>IFERROR('Data Sheet'!H31/HistoricalFS!I41,0)</f>
        <v>39.006639427987743</v>
      </c>
      <c r="J46" s="61">
        <f>IFERROR('Data Sheet'!I31/HistoricalFS!J41,0)</f>
        <v>42.007150153217566</v>
      </c>
      <c r="K46" s="61">
        <f>IFERROR('Data Sheet'!J31/HistoricalFS!K41,0)</f>
        <v>53.009022812393596</v>
      </c>
      <c r="L46" s="61">
        <f>IFERROR('Data Sheet'!K31/HistoricalFS!L41,0)</f>
        <v>41.006979911474289</v>
      </c>
      <c r="M46" s="61">
        <f>IFERROR('Data Sheet'!L31/HistoricalFS!M41,0)</f>
        <v>0</v>
      </c>
    </row>
    <row r="47" spans="2:13" outlineLevel="1" x14ac:dyDescent="0.35">
      <c r="B47" t="s">
        <v>169</v>
      </c>
      <c r="C47" s="67">
        <f t="shared" ref="C47:M47" si="16">IFERROR(C46/C43,0)</f>
        <v>0.94541709577754895</v>
      </c>
      <c r="D47" s="67">
        <f t="shared" si="16"/>
        <v>0.88633565859663521</v>
      </c>
      <c r="E47" s="67">
        <f t="shared" si="16"/>
        <v>0.82816312303938655</v>
      </c>
      <c r="F47" s="67">
        <f t="shared" si="16"/>
        <v>0.85281111813013266</v>
      </c>
      <c r="G47" s="67">
        <f t="shared" si="16"/>
        <v>1.2156724996806743</v>
      </c>
      <c r="H47" s="67">
        <f t="shared" si="16"/>
        <v>0.92124985587455333</v>
      </c>
      <c r="I47" s="67">
        <f t="shared" si="16"/>
        <v>0.94533264569365649</v>
      </c>
      <c r="J47" s="67">
        <f t="shared" si="16"/>
        <v>1.0427892234548337</v>
      </c>
      <c r="K47" s="67">
        <f t="shared" si="16"/>
        <v>1.3369471876341776</v>
      </c>
      <c r="L47" s="67">
        <f t="shared" si="16"/>
        <v>0.95057221783741119</v>
      </c>
      <c r="M47" s="67">
        <f t="shared" si="16"/>
        <v>0</v>
      </c>
    </row>
    <row r="48" spans="2:13" outlineLevel="1" x14ac:dyDescent="0.35"/>
    <row r="49" spans="1:13" outlineLevel="1" x14ac:dyDescent="0.35">
      <c r="B49" t="s">
        <v>168</v>
      </c>
      <c r="C49" s="67">
        <f t="shared" ref="C49:M49" si="17">IFERROR(IF(C43&gt;C46,1-C47,0),0)</f>
        <v>5.4582904222451045E-2</v>
      </c>
      <c r="D49" s="67">
        <f t="shared" si="17"/>
        <v>0.11366434140336479</v>
      </c>
      <c r="E49" s="67">
        <f t="shared" si="17"/>
        <v>0.17183687696061345</v>
      </c>
      <c r="F49" s="67">
        <f>IFERROR(IF(F43&gt;F46,1-F47,0),0)</f>
        <v>0.14718888186986734</v>
      </c>
      <c r="G49" s="67">
        <f t="shared" si="17"/>
        <v>0</v>
      </c>
      <c r="H49" s="67">
        <f t="shared" si="17"/>
        <v>7.8750144125446675E-2</v>
      </c>
      <c r="I49" s="67">
        <f t="shared" si="17"/>
        <v>5.4667354306343507E-2</v>
      </c>
      <c r="J49" s="67">
        <f t="shared" si="17"/>
        <v>0</v>
      </c>
      <c r="K49" s="67">
        <f t="shared" si="17"/>
        <v>0</v>
      </c>
      <c r="L49" s="67">
        <f t="shared" si="17"/>
        <v>4.9427782162588807E-2</v>
      </c>
      <c r="M49" s="67">
        <f t="shared" si="17"/>
        <v>0</v>
      </c>
    </row>
    <row r="53" spans="1:13" x14ac:dyDescent="0.35">
      <c r="A53" t="s">
        <v>147</v>
      </c>
      <c r="B53" s="64" t="s">
        <v>167</v>
      </c>
      <c r="C53" s="63"/>
      <c r="D53" s="63"/>
      <c r="E53" s="63"/>
      <c r="F53" s="63"/>
      <c r="G53" s="63"/>
      <c r="H53" s="63"/>
      <c r="I53" s="63"/>
      <c r="J53" s="63"/>
      <c r="K53" s="63"/>
      <c r="L53" s="63"/>
      <c r="M53" s="63"/>
    </row>
    <row r="54" spans="1:13" outlineLevel="1" x14ac:dyDescent="0.35">
      <c r="B54" t="s">
        <v>166</v>
      </c>
      <c r="C54" s="61">
        <f>IFERROR('Data Sheet'!B57,0)</f>
        <v>216</v>
      </c>
      <c r="D54" s="61">
        <f>IFERROR('Data Sheet'!C57,0)</f>
        <v>216</v>
      </c>
      <c r="E54" s="61">
        <f>IFERROR('Data Sheet'!D57,0)</f>
        <v>216</v>
      </c>
      <c r="F54" s="61">
        <f>IFERROR('Data Sheet'!E57,0)</f>
        <v>216</v>
      </c>
      <c r="G54" s="61">
        <f>IFERROR('Data Sheet'!F57,0)</f>
        <v>235</v>
      </c>
      <c r="H54" s="61">
        <f>IFERROR('Data Sheet'!G57,0)</f>
        <v>235</v>
      </c>
      <c r="I54" s="61">
        <f>IFERROR('Data Sheet'!H57,0)</f>
        <v>235</v>
      </c>
      <c r="J54" s="61">
        <f>IFERROR('Data Sheet'!I57,0)</f>
        <v>235</v>
      </c>
      <c r="K54" s="61">
        <f>IFERROR('Data Sheet'!J57,0)</f>
        <v>235</v>
      </c>
      <c r="L54" s="61">
        <f>IFERROR('Data Sheet'!K57,0)</f>
        <v>235</v>
      </c>
    </row>
    <row r="55" spans="1:13" outlineLevel="1" x14ac:dyDescent="0.35">
      <c r="B55" t="s">
        <v>104</v>
      </c>
      <c r="C55" s="61">
        <f>IFERROR('Data Sheet'!B58,0)</f>
        <v>6528</v>
      </c>
      <c r="D55" s="61">
        <f>IFERROR('Data Sheet'!C58,0)</f>
        <v>7065</v>
      </c>
      <c r="E55" s="61">
        <f>IFERROR('Data Sheet'!D58,0)</f>
        <v>7651</v>
      </c>
      <c r="F55" s="61">
        <f>IFERROR('Data Sheet'!E58,0)</f>
        <v>8013</v>
      </c>
      <c r="G55" s="61">
        <f>IFERROR('Data Sheet'!F58,0)</f>
        <v>47439</v>
      </c>
      <c r="H55" s="61">
        <f>IFERROR('Data Sheet'!G58,0)</f>
        <v>48826</v>
      </c>
      <c r="I55" s="61">
        <f>IFERROR('Data Sheet'!H58,0)</f>
        <v>50069</v>
      </c>
      <c r="J55" s="61">
        <f>IFERROR('Data Sheet'!I58,0)</f>
        <v>50983</v>
      </c>
      <c r="K55" s="61">
        <f>IFERROR('Data Sheet'!J58,0)</f>
        <v>49167</v>
      </c>
      <c r="L55" s="61">
        <f>IFERROR('Data Sheet'!K58,0)</f>
        <v>48504</v>
      </c>
    </row>
    <row r="56" spans="1:13" outlineLevel="1" x14ac:dyDescent="0.35">
      <c r="B56" t="s">
        <v>165</v>
      </c>
      <c r="C56" s="61">
        <f>IFERROR('Data Sheet'!B59,0)</f>
        <v>277</v>
      </c>
      <c r="D56" s="61">
        <f>IFERROR('Data Sheet'!C59,0)</f>
        <v>0</v>
      </c>
      <c r="E56" s="61">
        <f>IFERROR('Data Sheet'!D59,0)</f>
        <v>99</v>
      </c>
      <c r="F56" s="61">
        <f>IFERROR('Data Sheet'!E59,0)</f>
        <v>0</v>
      </c>
      <c r="G56" s="61">
        <f>IFERROR('Data Sheet'!F59,0)</f>
        <v>0</v>
      </c>
      <c r="H56" s="61">
        <f>IFERROR('Data Sheet'!G59,0)</f>
        <v>1043</v>
      </c>
      <c r="I56" s="61">
        <f>IFERROR('Data Sheet'!H59,0)</f>
        <v>1219</v>
      </c>
      <c r="J56" s="61">
        <f>IFERROR('Data Sheet'!I59,0)</f>
        <v>1484</v>
      </c>
      <c r="K56" s="61">
        <f>IFERROR('Data Sheet'!J59,0)</f>
        <v>1648</v>
      </c>
      <c r="L56" s="61">
        <f>IFERROR('Data Sheet'!K59,0)</f>
        <v>1478</v>
      </c>
    </row>
    <row r="57" spans="1:13" outlineLevel="1" x14ac:dyDescent="0.35">
      <c r="B57" t="s">
        <v>164</v>
      </c>
      <c r="C57" s="61">
        <f>IFERROR('Data Sheet'!B60,0)</f>
        <v>8685</v>
      </c>
      <c r="D57" s="61">
        <f>IFERROR('Data Sheet'!C60,0)</f>
        <v>10581</v>
      </c>
      <c r="E57" s="61">
        <f>IFERROR('Data Sheet'!D60,0)</f>
        <v>10663</v>
      </c>
      <c r="F57" s="61">
        <f>IFERROR('Data Sheet'!E60,0)</f>
        <v>11924</v>
      </c>
      <c r="G57" s="61">
        <f>IFERROR('Data Sheet'!F60,0)</f>
        <v>21066</v>
      </c>
      <c r="H57" s="61">
        <f>IFERROR('Data Sheet'!G60,0)</f>
        <v>20402</v>
      </c>
      <c r="I57" s="61">
        <f>IFERROR('Data Sheet'!H60,0)</f>
        <v>21554</v>
      </c>
      <c r="J57" s="61">
        <f>IFERROR('Data Sheet'!I60,0)</f>
        <v>25787</v>
      </c>
      <c r="K57" s="61">
        <f>IFERROR('Data Sheet'!J60,0)</f>
        <v>28813</v>
      </c>
      <c r="L57" s="61">
        <f>IFERROR('Data Sheet'!K60,0)</f>
        <v>29521</v>
      </c>
    </row>
    <row r="58" spans="1:13" outlineLevel="1" x14ac:dyDescent="0.35">
      <c r="B58" s="66" t="s">
        <v>114</v>
      </c>
      <c r="C58" s="65">
        <f t="shared" ref="C58:L58" si="18">IFERROR(SUM(C54:C57),0)</f>
        <v>15706</v>
      </c>
      <c r="D58" s="65">
        <f t="shared" si="18"/>
        <v>17862</v>
      </c>
      <c r="E58" s="65">
        <f t="shared" si="18"/>
        <v>18629</v>
      </c>
      <c r="F58" s="65">
        <f t="shared" si="18"/>
        <v>20153</v>
      </c>
      <c r="G58" s="65">
        <f t="shared" si="18"/>
        <v>68740</v>
      </c>
      <c r="H58" s="65">
        <f t="shared" si="18"/>
        <v>70506</v>
      </c>
      <c r="I58" s="65">
        <f t="shared" si="18"/>
        <v>73077</v>
      </c>
      <c r="J58" s="65">
        <f t="shared" si="18"/>
        <v>78489</v>
      </c>
      <c r="K58" s="65">
        <f t="shared" si="18"/>
        <v>79863</v>
      </c>
      <c r="L58" s="65">
        <f t="shared" si="18"/>
        <v>79738</v>
      </c>
    </row>
    <row r="59" spans="1:13" outlineLevel="1" x14ac:dyDescent="0.35"/>
    <row r="60" spans="1:13" outlineLevel="1" x14ac:dyDescent="0.35">
      <c r="B60" t="s">
        <v>163</v>
      </c>
      <c r="C60" s="61">
        <f>IFERROR('Data Sheet'!B62,0)</f>
        <v>4419</v>
      </c>
      <c r="D60" s="61">
        <f>IFERROR('Data Sheet'!C62,0)</f>
        <v>4528</v>
      </c>
      <c r="E60" s="61">
        <f>IFERROR('Data Sheet'!D62,0)</f>
        <v>4715</v>
      </c>
      <c r="F60" s="61">
        <f>IFERROR('Data Sheet'!E62,0)</f>
        <v>5479</v>
      </c>
      <c r="G60" s="61">
        <f>IFERROR('Data Sheet'!F62,0)</f>
        <v>51443</v>
      </c>
      <c r="H60" s="61">
        <f>IFERROR('Data Sheet'!G62,0)</f>
        <v>51473</v>
      </c>
      <c r="I60" s="61">
        <f>IFERROR('Data Sheet'!H62,0)</f>
        <v>52678</v>
      </c>
      <c r="J60" s="61">
        <f>IFERROR('Data Sheet'!I62,0)</f>
        <v>53744</v>
      </c>
      <c r="K60" s="61">
        <f>IFERROR('Data Sheet'!J62,0)</f>
        <v>54335</v>
      </c>
      <c r="L60" s="61">
        <f>IFERROR('Data Sheet'!K62,0)</f>
        <v>57428</v>
      </c>
    </row>
    <row r="61" spans="1:13" outlineLevel="1" x14ac:dyDescent="0.35">
      <c r="B61" t="s">
        <v>162</v>
      </c>
      <c r="C61" s="61">
        <f>IFERROR('Data Sheet'!B63,0)</f>
        <v>229</v>
      </c>
      <c r="D61" s="61">
        <f>IFERROR('Data Sheet'!C63,0)</f>
        <v>461</v>
      </c>
      <c r="E61" s="61">
        <f>IFERROR('Data Sheet'!D63,0)</f>
        <v>406</v>
      </c>
      <c r="F61" s="61">
        <f>IFERROR('Data Sheet'!E63,0)</f>
        <v>597</v>
      </c>
      <c r="G61" s="61">
        <f>IFERROR('Data Sheet'!F63,0)</f>
        <v>745</v>
      </c>
      <c r="H61" s="61">
        <f>IFERROR('Data Sheet'!G63,0)</f>
        <v>1313</v>
      </c>
      <c r="I61" s="61">
        <f>IFERROR('Data Sheet'!H63,0)</f>
        <v>1132</v>
      </c>
      <c r="J61" s="61">
        <f>IFERROR('Data Sheet'!I63,0)</f>
        <v>1025</v>
      </c>
      <c r="K61" s="61">
        <f>IFERROR('Data Sheet'!J63,0)</f>
        <v>1009</v>
      </c>
      <c r="L61" s="61">
        <f>IFERROR('Data Sheet'!K63,0)</f>
        <v>880</v>
      </c>
    </row>
    <row r="62" spans="1:13" outlineLevel="1" x14ac:dyDescent="0.35">
      <c r="B62" t="s">
        <v>128</v>
      </c>
      <c r="C62" s="61">
        <f>IFERROR('Data Sheet'!B64,0)</f>
        <v>3794</v>
      </c>
      <c r="D62" s="61">
        <f>IFERROR('Data Sheet'!C64,0)</f>
        <v>2873</v>
      </c>
      <c r="E62" s="61">
        <f>IFERROR('Data Sheet'!D64,0)</f>
        <v>2716</v>
      </c>
      <c r="F62" s="61">
        <f>IFERROR('Data Sheet'!E64,0)</f>
        <v>1255</v>
      </c>
      <c r="G62" s="61">
        <f>IFERROR('Data Sheet'!F64,0)</f>
        <v>2709</v>
      </c>
      <c r="H62" s="61">
        <f>IFERROR('Data Sheet'!G64,0)</f>
        <v>3521</v>
      </c>
      <c r="I62" s="61">
        <f>IFERROR('Data Sheet'!H64,0)</f>
        <v>2882</v>
      </c>
      <c r="J62" s="61">
        <f>IFERROR('Data Sheet'!I64,0)</f>
        <v>4625</v>
      </c>
      <c r="K62" s="61">
        <f>IFERROR('Data Sheet'!J64,0)</f>
        <v>3810</v>
      </c>
      <c r="L62" s="61">
        <f>IFERROR('Data Sheet'!K64,0)</f>
        <v>4359</v>
      </c>
    </row>
    <row r="63" spans="1:13" outlineLevel="1" x14ac:dyDescent="0.35">
      <c r="B63" t="s">
        <v>161</v>
      </c>
      <c r="C63" s="61">
        <f>IFERROR('Data Sheet'!B65-SUM('Data Sheet'!B67:B69),0)</f>
        <v>1810</v>
      </c>
      <c r="D63" s="61">
        <f>IFERROR('Data Sheet'!C65-SUM('Data Sheet'!C67:C69),0)</f>
        <v>2692</v>
      </c>
      <c r="E63" s="61">
        <f>IFERROR('Data Sheet'!D65-SUM('Data Sheet'!D67:D69),0)</f>
        <v>2645</v>
      </c>
      <c r="F63" s="61">
        <f>IFERROR('Data Sheet'!E65-SUM('Data Sheet'!E67:E69),0)</f>
        <v>3793</v>
      </c>
      <c r="G63" s="61">
        <f>IFERROR('Data Sheet'!F65-SUM('Data Sheet'!F67:F69),0)</f>
        <v>4035</v>
      </c>
      <c r="H63" s="61">
        <f>IFERROR('Data Sheet'!G65-SUM('Data Sheet'!G67:G69),0)</f>
        <v>4021</v>
      </c>
      <c r="I63" s="61">
        <f>IFERROR('Data Sheet'!H65-SUM('Data Sheet'!H67:H69),0)</f>
        <v>4377</v>
      </c>
      <c r="J63" s="61">
        <f>IFERROR('Data Sheet'!I65-SUM('Data Sheet'!I67:I69),0)</f>
        <v>4517</v>
      </c>
      <c r="K63" s="61">
        <f>IFERROR('Data Sheet'!J65-SUM('Data Sheet'!J67:J69),0)</f>
        <v>4921</v>
      </c>
      <c r="L63" s="61">
        <f>IFERROR('Data Sheet'!K65-SUM('Data Sheet'!K67:K69),0)</f>
        <v>5655</v>
      </c>
    </row>
    <row r="64" spans="1:13" outlineLevel="1" x14ac:dyDescent="0.35">
      <c r="B64" s="66" t="s">
        <v>160</v>
      </c>
      <c r="C64" s="65">
        <f t="shared" ref="C64:L64" si="19">IFERROR(SUM(C60:C63),0)</f>
        <v>10252</v>
      </c>
      <c r="D64" s="65">
        <f t="shared" si="19"/>
        <v>10554</v>
      </c>
      <c r="E64" s="65">
        <f t="shared" si="19"/>
        <v>10482</v>
      </c>
      <c r="F64" s="65">
        <f t="shared" si="19"/>
        <v>11124</v>
      </c>
      <c r="G64" s="65">
        <f t="shared" si="19"/>
        <v>58932</v>
      </c>
      <c r="H64" s="65">
        <f t="shared" si="19"/>
        <v>60328</v>
      </c>
      <c r="I64" s="65">
        <f t="shared" si="19"/>
        <v>61069</v>
      </c>
      <c r="J64" s="65">
        <f t="shared" si="19"/>
        <v>63911</v>
      </c>
      <c r="K64" s="65">
        <f t="shared" si="19"/>
        <v>64075</v>
      </c>
      <c r="L64" s="65">
        <f t="shared" si="19"/>
        <v>68322</v>
      </c>
    </row>
    <row r="65" spans="1:13" outlineLevel="1" x14ac:dyDescent="0.35"/>
    <row r="66" spans="1:13" outlineLevel="1" x14ac:dyDescent="0.35">
      <c r="B66" t="s">
        <v>159</v>
      </c>
      <c r="C66" s="61">
        <f>IFERROR('Data Sheet'!B67,0)</f>
        <v>1085</v>
      </c>
      <c r="D66" s="61">
        <f>IFERROR('Data Sheet'!C67,0)</f>
        <v>1310</v>
      </c>
      <c r="E66" s="61">
        <f>IFERROR('Data Sheet'!D67,0)</f>
        <v>1816</v>
      </c>
      <c r="F66" s="61">
        <f>IFERROR('Data Sheet'!E67,0)</f>
        <v>1149</v>
      </c>
      <c r="G66" s="61">
        <f>IFERROR('Data Sheet'!F67,0)</f>
        <v>1758</v>
      </c>
      <c r="H66" s="61">
        <f>IFERROR('Data Sheet'!G67,0)</f>
        <v>2236</v>
      </c>
      <c r="I66" s="61">
        <f>IFERROR('Data Sheet'!H67,0)</f>
        <v>3079</v>
      </c>
      <c r="J66" s="61">
        <f>IFERROR('Data Sheet'!I67,0)</f>
        <v>2997</v>
      </c>
      <c r="K66" s="61">
        <f>IFERROR('Data Sheet'!J67,0)</f>
        <v>3819</v>
      </c>
      <c r="L66" s="61">
        <f>IFERROR('Data Sheet'!K67,0)</f>
        <v>3379</v>
      </c>
    </row>
    <row r="67" spans="1:13" outlineLevel="1" x14ac:dyDescent="0.35">
      <c r="B67" t="s">
        <v>158</v>
      </c>
      <c r="C67" s="61">
        <f>IFERROR('Data Sheet'!B68,0)</f>
        <v>2541</v>
      </c>
      <c r="D67" s="61">
        <f>IFERROR('Data Sheet'!C68,0)</f>
        <v>2513</v>
      </c>
      <c r="E67" s="61">
        <f>IFERROR('Data Sheet'!D68,0)</f>
        <v>2574</v>
      </c>
      <c r="F67" s="61">
        <f>IFERROR('Data Sheet'!E68,0)</f>
        <v>2767</v>
      </c>
      <c r="G67" s="61">
        <f>IFERROR('Data Sheet'!F68,0)</f>
        <v>3579</v>
      </c>
      <c r="H67" s="61">
        <f>IFERROR('Data Sheet'!G68,0)</f>
        <v>4096</v>
      </c>
      <c r="I67" s="61">
        <f>IFERROR('Data Sheet'!H68,0)</f>
        <v>4251</v>
      </c>
      <c r="J67" s="61">
        <f>IFERROR('Data Sheet'!I68,0)</f>
        <v>4022</v>
      </c>
      <c r="K67" s="61">
        <f>IFERROR('Data Sheet'!J68,0)</f>
        <v>4415</v>
      </c>
      <c r="L67" s="61">
        <f>IFERROR('Data Sheet'!K68,0)</f>
        <v>4789</v>
      </c>
    </row>
    <row r="68" spans="1:13" outlineLevel="1" x14ac:dyDescent="0.35">
      <c r="B68" t="s">
        <v>157</v>
      </c>
      <c r="C68" s="61">
        <f>IFERROR('Data Sheet'!B69,0)</f>
        <v>1828</v>
      </c>
      <c r="D68" s="61">
        <f>IFERROR('Data Sheet'!C69,0)</f>
        <v>3485</v>
      </c>
      <c r="E68" s="61">
        <f>IFERROR('Data Sheet'!D69,0)</f>
        <v>3757</v>
      </c>
      <c r="F68" s="61">
        <f>IFERROR('Data Sheet'!E69,0)</f>
        <v>5113</v>
      </c>
      <c r="G68" s="61">
        <f>IFERROR('Data Sheet'!F69,0)</f>
        <v>4471</v>
      </c>
      <c r="H68" s="61">
        <f>IFERROR('Data Sheet'!G69,0)</f>
        <v>3846</v>
      </c>
      <c r="I68" s="61">
        <f>IFERROR('Data Sheet'!H69,0)</f>
        <v>4678</v>
      </c>
      <c r="J68" s="61">
        <f>IFERROR('Data Sheet'!I69,0)</f>
        <v>7559</v>
      </c>
      <c r="K68" s="61">
        <f>IFERROR('Data Sheet'!J69,0)</f>
        <v>7554</v>
      </c>
      <c r="L68" s="61">
        <f>IFERROR('Data Sheet'!K69,0)</f>
        <v>3248</v>
      </c>
    </row>
    <row r="69" spans="1:13" outlineLevel="1" x14ac:dyDescent="0.35">
      <c r="B69" s="66" t="s">
        <v>156</v>
      </c>
      <c r="C69" s="65">
        <f t="shared" ref="C69:L69" si="20">IFERROR(SUM(C66:C68),0)</f>
        <v>5454</v>
      </c>
      <c r="D69" s="65">
        <f t="shared" si="20"/>
        <v>7308</v>
      </c>
      <c r="E69" s="65">
        <f t="shared" si="20"/>
        <v>8147</v>
      </c>
      <c r="F69" s="65">
        <f t="shared" si="20"/>
        <v>9029</v>
      </c>
      <c r="G69" s="65">
        <f t="shared" si="20"/>
        <v>9808</v>
      </c>
      <c r="H69" s="65">
        <f t="shared" si="20"/>
        <v>10178</v>
      </c>
      <c r="I69" s="65">
        <f t="shared" si="20"/>
        <v>12008</v>
      </c>
      <c r="J69" s="65">
        <f t="shared" si="20"/>
        <v>14578</v>
      </c>
      <c r="K69" s="65">
        <f t="shared" si="20"/>
        <v>15788</v>
      </c>
      <c r="L69" s="65">
        <f t="shared" si="20"/>
        <v>11416</v>
      </c>
    </row>
    <row r="70" spans="1:13" outlineLevel="1" x14ac:dyDescent="0.35"/>
    <row r="71" spans="1:13" outlineLevel="1" x14ac:dyDescent="0.35">
      <c r="B71" s="66" t="s">
        <v>155</v>
      </c>
      <c r="C71" s="65">
        <f t="shared" ref="C71:L71" si="21">IFERROR(SUM(C69,C64),0)</f>
        <v>15706</v>
      </c>
      <c r="D71" s="65">
        <f t="shared" si="21"/>
        <v>17862</v>
      </c>
      <c r="E71" s="65">
        <f t="shared" si="21"/>
        <v>18629</v>
      </c>
      <c r="F71" s="65">
        <f t="shared" si="21"/>
        <v>20153</v>
      </c>
      <c r="G71" s="65">
        <f t="shared" si="21"/>
        <v>68740</v>
      </c>
      <c r="H71" s="65">
        <f t="shared" si="21"/>
        <v>70506</v>
      </c>
      <c r="I71" s="65">
        <f t="shared" si="21"/>
        <v>73077</v>
      </c>
      <c r="J71" s="65">
        <f t="shared" si="21"/>
        <v>78489</v>
      </c>
      <c r="K71" s="65">
        <f t="shared" si="21"/>
        <v>79863</v>
      </c>
      <c r="L71" s="65">
        <f t="shared" si="21"/>
        <v>79738</v>
      </c>
    </row>
    <row r="72" spans="1:13" outlineLevel="1" x14ac:dyDescent="0.35"/>
    <row r="73" spans="1:13" outlineLevel="1" x14ac:dyDescent="0.35">
      <c r="B73" s="14" t="s">
        <v>154</v>
      </c>
      <c r="C73" s="14" t="b">
        <f t="shared" ref="C73:L73" si="22">C71=C58</f>
        <v>1</v>
      </c>
      <c r="D73" s="14" t="b">
        <f t="shared" si="22"/>
        <v>1</v>
      </c>
      <c r="E73" s="14" t="b">
        <f t="shared" si="22"/>
        <v>1</v>
      </c>
      <c r="F73" s="14" t="b">
        <f t="shared" si="22"/>
        <v>1</v>
      </c>
      <c r="G73" s="14" t="b">
        <f t="shared" si="22"/>
        <v>1</v>
      </c>
      <c r="H73" s="14" t="b">
        <f t="shared" si="22"/>
        <v>1</v>
      </c>
      <c r="I73" s="14" t="b">
        <f t="shared" si="22"/>
        <v>1</v>
      </c>
      <c r="J73" s="14" t="b">
        <f t="shared" si="22"/>
        <v>1</v>
      </c>
      <c r="K73" s="14" t="b">
        <f t="shared" si="22"/>
        <v>1</v>
      </c>
      <c r="L73" s="14" t="b">
        <f t="shared" si="22"/>
        <v>1</v>
      </c>
    </row>
    <row r="77" spans="1:13" x14ac:dyDescent="0.35">
      <c r="A77" t="s">
        <v>147</v>
      </c>
      <c r="B77" s="64" t="s">
        <v>153</v>
      </c>
      <c r="C77" s="63"/>
      <c r="D77" s="63"/>
      <c r="E77" s="63"/>
      <c r="F77" s="63"/>
      <c r="G77" s="63"/>
      <c r="H77" s="63"/>
      <c r="I77" s="63"/>
      <c r="J77" s="63"/>
      <c r="K77" s="63"/>
      <c r="L77" s="63"/>
      <c r="M77" s="44"/>
    </row>
    <row r="78" spans="1:13" outlineLevel="1" x14ac:dyDescent="0.35">
      <c r="B78" s="3" t="s">
        <v>451</v>
      </c>
    </row>
    <row r="79" spans="1:13" outlineLevel="1" x14ac:dyDescent="0.35">
      <c r="B79" t="s">
        <v>253</v>
      </c>
      <c r="C79" s="61">
        <f>IFERROR('Cash Flow Data '!E4,0)</f>
        <v>6512</v>
      </c>
      <c r="D79" s="61">
        <f>IFERROR('Cash Flow Data '!F4,0)</f>
        <v>7485</v>
      </c>
      <c r="E79" s="61">
        <f>IFERROR('Cash Flow Data '!G4,0)</f>
        <v>8909</v>
      </c>
      <c r="F79" s="61">
        <f>IFERROR('Cash Flow Data '!H4,0)</f>
        <v>9723</v>
      </c>
      <c r="G79" s="61">
        <f>IFERROR('Cash Flow Data '!I4,0)</f>
        <v>11672</v>
      </c>
      <c r="H79" s="61">
        <f>IFERROR('Cash Flow Data '!J4,0)</f>
        <v>12829</v>
      </c>
      <c r="I79" s="61">
        <f>IFERROR('Cash Flow Data '!K4,0)</f>
        <v>14089</v>
      </c>
      <c r="J79" s="61">
        <f>IFERROR('Cash Flow Data '!L4,0)</f>
        <v>14537</v>
      </c>
      <c r="K79" s="61">
        <f>IFERROR('Cash Flow Data '!M4,0)</f>
        <v>14942</v>
      </c>
      <c r="L79" s="61">
        <f>IFERROR('Cash Flow Data '!N4,0)</f>
        <v>15153</v>
      </c>
    </row>
    <row r="80" spans="1:13" outlineLevel="1" x14ac:dyDescent="0.35">
      <c r="B80" t="s">
        <v>159</v>
      </c>
      <c r="C80" s="61">
        <f>IFERROR('Cash Flow Data '!E5,0)</f>
        <v>173</v>
      </c>
      <c r="D80" s="61">
        <f>IFERROR('Cash Flow Data '!F5,0)</f>
        <v>0</v>
      </c>
      <c r="E80" s="61">
        <f>IFERROR('Cash Flow Data '!G5,0)</f>
        <v>0</v>
      </c>
      <c r="F80" s="61">
        <f>IFERROR('Cash Flow Data '!H5,0)</f>
        <v>0</v>
      </c>
      <c r="G80" s="61">
        <f>IFERROR('Cash Flow Data '!I5,0)</f>
        <v>0</v>
      </c>
      <c r="H80" s="61">
        <f>IFERROR('Cash Flow Data '!J5,0)</f>
        <v>0</v>
      </c>
      <c r="I80" s="61">
        <f>IFERROR('Cash Flow Data '!K5,0)</f>
        <v>0</v>
      </c>
      <c r="J80" s="61">
        <f>IFERROR('Cash Flow Data '!L5,0)</f>
        <v>0</v>
      </c>
      <c r="K80" s="61">
        <f>IFERROR('Cash Flow Data '!M5,0)</f>
        <v>0</v>
      </c>
      <c r="L80" s="61">
        <f>IFERROR('Cash Flow Data '!N5,0)</f>
        <v>0</v>
      </c>
    </row>
    <row r="81" spans="2:12" outlineLevel="1" x14ac:dyDescent="0.35">
      <c r="B81" t="s">
        <v>158</v>
      </c>
      <c r="C81" s="61">
        <f>IFERROR('Cash Flow Data '!E6,0)</f>
        <v>37</v>
      </c>
      <c r="D81" s="61">
        <f>IFERROR('Cash Flow Data '!F6,0)</f>
        <v>-146</v>
      </c>
      <c r="E81" s="61">
        <f>IFERROR('Cash Flow Data '!G6,0)</f>
        <v>-195</v>
      </c>
      <c r="F81" s="61">
        <f>IFERROR('Cash Flow Data '!H6,0)</f>
        <v>-331</v>
      </c>
      <c r="G81" s="61">
        <f>IFERROR('Cash Flow Data '!I6,0)</f>
        <v>-543</v>
      </c>
      <c r="H81" s="61">
        <f>IFERROR('Cash Flow Data '!J6,0)</f>
        <v>-758</v>
      </c>
      <c r="I81" s="61">
        <f>IFERROR('Cash Flow Data '!K6,0)</f>
        <v>-339</v>
      </c>
      <c r="J81" s="61">
        <f>IFERROR('Cash Flow Data '!L6,0)</f>
        <v>74</v>
      </c>
      <c r="K81" s="61">
        <f>IFERROR('Cash Flow Data '!M6,0)</f>
        <v>-584</v>
      </c>
      <c r="L81" s="61">
        <f>IFERROR('Cash Flow Data '!N6,0)</f>
        <v>-692</v>
      </c>
    </row>
    <row r="82" spans="2:12" outlineLevel="1" x14ac:dyDescent="0.35">
      <c r="B82" t="s">
        <v>252</v>
      </c>
      <c r="C82" s="61">
        <f>IFERROR('Cash Flow Data '!E7,0)</f>
        <v>501</v>
      </c>
      <c r="D82" s="61">
        <f>IFERROR('Cash Flow Data '!F7,0)</f>
        <v>0</v>
      </c>
      <c r="E82" s="61">
        <f>IFERROR('Cash Flow Data '!G7,0)</f>
        <v>0</v>
      </c>
      <c r="F82" s="61">
        <f>IFERROR('Cash Flow Data '!H7,0)</f>
        <v>0</v>
      </c>
      <c r="G82" s="61">
        <f>IFERROR('Cash Flow Data '!I7,0)</f>
        <v>0</v>
      </c>
      <c r="H82" s="61">
        <f>IFERROR('Cash Flow Data '!J7,0)</f>
        <v>0</v>
      </c>
      <c r="I82" s="61">
        <f>IFERROR('Cash Flow Data '!K7,0)</f>
        <v>0</v>
      </c>
      <c r="J82" s="61">
        <f>IFERROR('Cash Flow Data '!L7,0)</f>
        <v>0</v>
      </c>
      <c r="K82" s="61">
        <f>IFERROR('Cash Flow Data '!M7,0)</f>
        <v>0</v>
      </c>
      <c r="L82" s="61">
        <f>IFERROR('Cash Flow Data '!N7,0)</f>
        <v>0</v>
      </c>
    </row>
    <row r="83" spans="2:12" outlineLevel="1" x14ac:dyDescent="0.35">
      <c r="B83" t="s">
        <v>251</v>
      </c>
      <c r="C83" s="61">
        <f>IFERROR('Cash Flow Data '!E8,0)</f>
        <v>0</v>
      </c>
      <c r="D83" s="61">
        <f>IFERROR('Cash Flow Data '!F8,0)</f>
        <v>0</v>
      </c>
      <c r="E83" s="61">
        <f>IFERROR('Cash Flow Data '!G8,0)</f>
        <v>0</v>
      </c>
      <c r="F83" s="61">
        <f>IFERROR('Cash Flow Data '!H8,0)</f>
        <v>0</v>
      </c>
      <c r="G83" s="61">
        <f>IFERROR('Cash Flow Data '!I8,0)</f>
        <v>0</v>
      </c>
      <c r="H83" s="61">
        <f>IFERROR('Cash Flow Data '!J8,0)</f>
        <v>0</v>
      </c>
      <c r="I83" s="61">
        <f>IFERROR('Cash Flow Data '!K8,0)</f>
        <v>0</v>
      </c>
      <c r="J83" s="61">
        <f>IFERROR('Cash Flow Data '!L8,0)</f>
        <v>0</v>
      </c>
      <c r="K83" s="61">
        <f>IFERROR('Cash Flow Data '!M8,0)</f>
        <v>0</v>
      </c>
      <c r="L83" s="61">
        <f>IFERROR('Cash Flow Data '!N8,0)</f>
        <v>0</v>
      </c>
    </row>
    <row r="84" spans="2:12" outlineLevel="1" x14ac:dyDescent="0.35">
      <c r="B84" t="s">
        <v>299</v>
      </c>
      <c r="C84" s="61">
        <f>IFERROR('Cash Flow Data '!E9,0)</f>
        <v>-46</v>
      </c>
      <c r="D84" s="61">
        <f>IFERROR('Cash Flow Data '!F9,0)</f>
        <v>0</v>
      </c>
      <c r="E84" s="61">
        <f>IFERROR('Cash Flow Data '!G9,0)</f>
        <v>0</v>
      </c>
      <c r="F84" s="61">
        <f>IFERROR('Cash Flow Data '!H9,0)</f>
        <v>0</v>
      </c>
      <c r="G84" s="61">
        <f>IFERROR('Cash Flow Data '!I9,0)</f>
        <v>0</v>
      </c>
      <c r="H84" s="61">
        <f>IFERROR('Cash Flow Data '!J9,0)</f>
        <v>0</v>
      </c>
      <c r="I84" s="61">
        <f>IFERROR('Cash Flow Data '!K9,0)</f>
        <v>0</v>
      </c>
      <c r="J84" s="61">
        <f>IFERROR('Cash Flow Data '!L9,0)</f>
        <v>0</v>
      </c>
      <c r="K84" s="61">
        <f>IFERROR('Cash Flow Data '!M9,0)</f>
        <v>0</v>
      </c>
      <c r="L84" s="61">
        <f>IFERROR('Cash Flow Data '!N9,0)</f>
        <v>0</v>
      </c>
    </row>
    <row r="85" spans="2:12" outlineLevel="1" x14ac:dyDescent="0.35">
      <c r="B85" t="s">
        <v>250</v>
      </c>
      <c r="C85" s="61">
        <f>IFERROR('Cash Flow Data '!E10,0)</f>
        <v>-99</v>
      </c>
      <c r="D85" s="61">
        <f>IFERROR('Cash Flow Data '!F10,0)</f>
        <v>982</v>
      </c>
      <c r="E85" s="61">
        <f>IFERROR('Cash Flow Data '!G10,0)</f>
        <v>-147</v>
      </c>
      <c r="F85" s="61">
        <f>IFERROR('Cash Flow Data '!H10,0)</f>
        <v>742</v>
      </c>
      <c r="G85" s="61">
        <f>IFERROR('Cash Flow Data '!I10,0)</f>
        <v>442</v>
      </c>
      <c r="H85" s="61">
        <f>IFERROR('Cash Flow Data '!J10,0)</f>
        <v>-242</v>
      </c>
      <c r="I85" s="61">
        <f>IFERROR('Cash Flow Data '!K10,0)</f>
        <v>-621</v>
      </c>
      <c r="J85" s="61">
        <f>IFERROR('Cash Flow Data '!L10,0)</f>
        <v>1239</v>
      </c>
      <c r="K85" s="61">
        <f>IFERROR('Cash Flow Data '!M10,0)</f>
        <v>-204</v>
      </c>
      <c r="L85" s="61">
        <f>IFERROR('Cash Flow Data '!N10,0)</f>
        <v>1378</v>
      </c>
    </row>
    <row r="86" spans="2:12" outlineLevel="1" x14ac:dyDescent="0.35">
      <c r="B86" t="s">
        <v>249</v>
      </c>
      <c r="C86" s="61">
        <f>IFERROR('Cash Flow Data '!E11,0)</f>
        <v>566</v>
      </c>
      <c r="D86" s="61">
        <f>IFERROR('Cash Flow Data '!F11,0)</f>
        <v>836</v>
      </c>
      <c r="E86" s="61">
        <f>IFERROR('Cash Flow Data '!G11,0)</f>
        <v>-342</v>
      </c>
      <c r="F86" s="61">
        <f>IFERROR('Cash Flow Data '!H11,0)</f>
        <v>411</v>
      </c>
      <c r="G86" s="61">
        <f>IFERROR('Cash Flow Data '!I11,0)</f>
        <v>-101</v>
      </c>
      <c r="H86" s="61">
        <f>IFERROR('Cash Flow Data '!J11,0)</f>
        <v>-1000</v>
      </c>
      <c r="I86" s="61">
        <f>IFERROR('Cash Flow Data '!K11,0)</f>
        <v>-960</v>
      </c>
      <c r="J86" s="61">
        <f>IFERROR('Cash Flow Data '!L11,0)</f>
        <v>1313</v>
      </c>
      <c r="K86" s="61">
        <f>IFERROR('Cash Flow Data '!M11,0)</f>
        <v>-788</v>
      </c>
      <c r="L86" s="61">
        <f>IFERROR('Cash Flow Data '!N11,0)</f>
        <v>686</v>
      </c>
    </row>
    <row r="87" spans="2:12" outlineLevel="1" x14ac:dyDescent="0.35">
      <c r="B87" t="s">
        <v>248</v>
      </c>
      <c r="C87" s="61">
        <f>IFERROR('Cash Flow Data '!E12,0)</f>
        <v>-1859</v>
      </c>
      <c r="D87" s="61">
        <f>IFERROR('Cash Flow Data '!F12,0)</f>
        <v>-2264</v>
      </c>
      <c r="E87" s="61">
        <f>IFERROR('Cash Flow Data '!G12,0)</f>
        <v>-2767</v>
      </c>
      <c r="F87" s="61">
        <f>IFERROR('Cash Flow Data '!H12,0)</f>
        <v>-2505</v>
      </c>
      <c r="G87" s="61">
        <f>IFERROR('Cash Flow Data '!I12,0)</f>
        <v>-2407</v>
      </c>
      <c r="H87" s="61">
        <f>IFERROR('Cash Flow Data '!J12,0)</f>
        <v>-2784</v>
      </c>
      <c r="I87" s="61">
        <f>IFERROR('Cash Flow Data '!K12,0)</f>
        <v>-3138</v>
      </c>
      <c r="J87" s="61">
        <f>IFERROR('Cash Flow Data '!L12,0)</f>
        <v>-381</v>
      </c>
      <c r="K87" s="61">
        <f>IFERROR('Cash Flow Data '!M12,0)</f>
        <v>-2268</v>
      </c>
      <c r="L87" s="61">
        <f>IFERROR('Cash Flow Data '!N12,0)</f>
        <v>-4840</v>
      </c>
    </row>
    <row r="88" spans="2:12" outlineLevel="1" x14ac:dyDescent="0.35">
      <c r="B88" t="s">
        <v>300</v>
      </c>
      <c r="C88" s="61">
        <f>IFERROR('Cash Flow Data '!E13,0)</f>
        <v>-21</v>
      </c>
      <c r="D88" s="61">
        <f>IFERROR('Cash Flow Data '!F13,0)</f>
        <v>0</v>
      </c>
      <c r="E88" s="61">
        <f>IFERROR('Cash Flow Data '!G13,0)</f>
        <v>0</v>
      </c>
      <c r="F88" s="61">
        <f>IFERROR('Cash Flow Data '!H13,0)</f>
        <v>0</v>
      </c>
      <c r="G88" s="61">
        <f>IFERROR('Cash Flow Data '!I13,0)</f>
        <v>0</v>
      </c>
      <c r="H88" s="61">
        <f>IFERROR('Cash Flow Data '!J13,0)</f>
        <v>0</v>
      </c>
      <c r="I88" s="61">
        <f>IFERROR('Cash Flow Data '!K13,0)</f>
        <v>0</v>
      </c>
      <c r="J88" s="61">
        <f>IFERROR('Cash Flow Data '!L13,0)</f>
        <v>0</v>
      </c>
      <c r="K88" s="61">
        <f>IFERROR('Cash Flow Data '!M13,0)</f>
        <v>0</v>
      </c>
      <c r="L88" s="61">
        <f>IFERROR('Cash Flow Data '!N13,0)</f>
        <v>0</v>
      </c>
    </row>
    <row r="89" spans="2:12" outlineLevel="1" x14ac:dyDescent="0.35">
      <c r="B89" t="s">
        <v>301</v>
      </c>
      <c r="C89" s="61">
        <f>IFERROR('Cash Flow Data '!E14,0)</f>
        <v>-13</v>
      </c>
      <c r="D89" s="61">
        <f>IFERROR('Cash Flow Data '!F14,0)</f>
        <v>2</v>
      </c>
      <c r="E89" s="61">
        <f>IFERROR('Cash Flow Data '!G14,0)</f>
        <v>0</v>
      </c>
      <c r="F89" s="61">
        <f>IFERROR('Cash Flow Data '!H14,0)</f>
        <v>-6</v>
      </c>
      <c r="G89" s="61">
        <f>IFERROR('Cash Flow Data '!I14,0)</f>
        <v>-1</v>
      </c>
      <c r="H89" s="61">
        <f>IFERROR('Cash Flow Data '!J14,0)</f>
        <v>3</v>
      </c>
      <c r="I89" s="61">
        <f>IFERROR('Cash Flow Data '!K14,0)</f>
        <v>0</v>
      </c>
      <c r="J89" s="61">
        <f>IFERROR('Cash Flow Data '!L14,0)</f>
        <v>0</v>
      </c>
      <c r="K89" s="61">
        <f>IFERROR('Cash Flow Data '!M14,0)</f>
        <v>0</v>
      </c>
      <c r="L89" s="61">
        <f>IFERROR('Cash Flow Data '!N14,0)</f>
        <v>0</v>
      </c>
    </row>
    <row r="90" spans="2:12" outlineLevel="1" x14ac:dyDescent="0.35">
      <c r="B90" s="3" t="s">
        <v>450</v>
      </c>
      <c r="C90" s="62">
        <f>SUM(C79:C89)</f>
        <v>5751</v>
      </c>
      <c r="D90" s="62">
        <f t="shared" ref="D90:L90" si="23">SUM(D79:D87)</f>
        <v>6893</v>
      </c>
      <c r="E90" s="62">
        <f t="shared" si="23"/>
        <v>5458</v>
      </c>
      <c r="F90" s="62">
        <f t="shared" si="23"/>
        <v>8040</v>
      </c>
      <c r="G90" s="62">
        <f t="shared" si="23"/>
        <v>9063</v>
      </c>
      <c r="H90" s="62">
        <f t="shared" si="23"/>
        <v>8045</v>
      </c>
      <c r="I90" s="62">
        <f t="shared" si="23"/>
        <v>9031</v>
      </c>
      <c r="J90" s="62">
        <f t="shared" si="23"/>
        <v>16782</v>
      </c>
      <c r="K90" s="62">
        <f t="shared" si="23"/>
        <v>11098</v>
      </c>
      <c r="L90" s="62">
        <f t="shared" si="23"/>
        <v>11685</v>
      </c>
    </row>
    <row r="91" spans="2:12" outlineLevel="1" x14ac:dyDescent="0.35">
      <c r="B91" s="3"/>
    </row>
    <row r="92" spans="2:12" outlineLevel="1" x14ac:dyDescent="0.35">
      <c r="B92" s="3" t="s">
        <v>452</v>
      </c>
      <c r="C92" s="61"/>
      <c r="D92" s="61"/>
      <c r="E92" s="61"/>
      <c r="F92" s="61"/>
      <c r="G92" s="61"/>
      <c r="H92" s="61"/>
      <c r="I92" s="61"/>
      <c r="J92" s="61"/>
      <c r="K92" s="61"/>
      <c r="L92" s="61"/>
    </row>
    <row r="93" spans="2:12" outlineLevel="1" x14ac:dyDescent="0.35">
      <c r="B93" t="s">
        <v>246</v>
      </c>
      <c r="C93" s="61">
        <f>IFERROR('Cash Flow Data '!E16,0)</f>
        <v>-1113</v>
      </c>
      <c r="D93" s="61">
        <f>IFERROR('Cash Flow Data '!F16,0)</f>
        <v>-895</v>
      </c>
      <c r="E93" s="61">
        <f>IFERROR('Cash Flow Data '!G16,0)</f>
        <v>-767</v>
      </c>
      <c r="F93" s="61">
        <f>IFERROR('Cash Flow Data '!H16,0)</f>
        <v>-862</v>
      </c>
      <c r="G93" s="61">
        <f>IFERROR('Cash Flow Data '!I16,0)</f>
        <v>-4163</v>
      </c>
      <c r="H93" s="61">
        <f>IFERROR('Cash Flow Data '!J16,0)</f>
        <v>-1228</v>
      </c>
      <c r="I93" s="61">
        <f>IFERROR('Cash Flow Data '!K16,0)</f>
        <v>-1192</v>
      </c>
      <c r="J93" s="61">
        <f>IFERROR('Cash Flow Data '!L16,0)</f>
        <v>-1477</v>
      </c>
      <c r="K93" s="61">
        <f>IFERROR('Cash Flow Data '!M16,0)</f>
        <v>-1275</v>
      </c>
      <c r="L93" s="61">
        <f>IFERROR('Cash Flow Data '!N16,0)</f>
        <v>-1361</v>
      </c>
    </row>
    <row r="94" spans="2:12" outlineLevel="1" x14ac:dyDescent="0.35">
      <c r="B94" t="s">
        <v>245</v>
      </c>
      <c r="C94" s="61">
        <f>IFERROR('Cash Flow Data '!E17,0)</f>
        <v>176</v>
      </c>
      <c r="D94" s="61">
        <f>IFERROR('Cash Flow Data '!F17,0)</f>
        <v>32</v>
      </c>
      <c r="E94" s="61">
        <f>IFERROR('Cash Flow Data '!G17,0)</f>
        <v>13</v>
      </c>
      <c r="F94" s="61">
        <f>IFERROR('Cash Flow Data '!H17,0)</f>
        <v>52</v>
      </c>
      <c r="G94" s="61">
        <f>IFERROR('Cash Flow Data '!I17,0)</f>
        <v>97</v>
      </c>
      <c r="H94" s="61">
        <f>IFERROR('Cash Flow Data '!J17,0)</f>
        <v>175</v>
      </c>
      <c r="I94" s="61">
        <f>IFERROR('Cash Flow Data '!K17,0)</f>
        <v>181</v>
      </c>
      <c r="J94" s="61">
        <f>IFERROR('Cash Flow Data '!L17,0)</f>
        <v>20</v>
      </c>
      <c r="K94" s="61">
        <f>IFERROR('Cash Flow Data '!M17,0)</f>
        <v>13</v>
      </c>
      <c r="L94" s="61">
        <f>IFERROR('Cash Flow Data '!N17,0)</f>
        <v>29</v>
      </c>
    </row>
    <row r="95" spans="2:12" outlineLevel="1" x14ac:dyDescent="0.35">
      <c r="B95" t="s">
        <v>244</v>
      </c>
      <c r="C95" s="61">
        <f>IFERROR('Cash Flow Data '!E18,0)</f>
        <v>-31214</v>
      </c>
      <c r="D95" s="61">
        <f>IFERROR('Cash Flow Data '!F18,0)</f>
        <v>-51855</v>
      </c>
      <c r="E95" s="61">
        <f>IFERROR('Cash Flow Data '!G18,0)</f>
        <v>-74365</v>
      </c>
      <c r="F95" s="61">
        <f>IFERROR('Cash Flow Data '!H18,0)</f>
        <v>-36090</v>
      </c>
      <c r="G95" s="61">
        <f>IFERROR('Cash Flow Data '!I18,0)</f>
        <v>-39920</v>
      </c>
      <c r="H95" s="61">
        <f>IFERROR('Cash Flow Data '!J18,0)</f>
        <v>-48522</v>
      </c>
      <c r="I95" s="61">
        <f>IFERROR('Cash Flow Data '!K18,0)</f>
        <v>-22649</v>
      </c>
      <c r="J95" s="61">
        <f>IFERROR('Cash Flow Data '!L18,0)</f>
        <v>-21337</v>
      </c>
      <c r="K95" s="61">
        <f>IFERROR('Cash Flow Data '!M18,0)</f>
        <v>-22957</v>
      </c>
      <c r="L95" s="61">
        <f>IFERROR('Cash Flow Data '!N18,0)</f>
        <v>-25529</v>
      </c>
    </row>
    <row r="96" spans="2:12" outlineLevel="1" x14ac:dyDescent="0.35">
      <c r="B96" t="s">
        <v>243</v>
      </c>
      <c r="C96" s="61">
        <f>IFERROR('Cash Flow Data '!E19,0)</f>
        <v>30083</v>
      </c>
      <c r="D96" s="61">
        <f>IFERROR('Cash Flow Data '!F19,0)</f>
        <v>52897</v>
      </c>
      <c r="E96" s="61">
        <f>IFERROR('Cash Flow Data '!G19,0)</f>
        <v>74691</v>
      </c>
      <c r="F96" s="61">
        <f>IFERROR('Cash Flow Data '!H19,0)</f>
        <v>37690</v>
      </c>
      <c r="G96" s="61">
        <f>IFERROR('Cash Flow Data '!I19,0)</f>
        <v>38486</v>
      </c>
      <c r="H96" s="61">
        <f>IFERROR('Cash Flow Data '!J19,0)</f>
        <v>47786</v>
      </c>
      <c r="I96" s="61">
        <f>IFERROR('Cash Flow Data '!K19,0)</f>
        <v>23462</v>
      </c>
      <c r="J96" s="61">
        <f>IFERROR('Cash Flow Data '!L19,0)</f>
        <v>19846</v>
      </c>
      <c r="K96" s="61">
        <f>IFERROR('Cash Flow Data '!M19,0)</f>
        <v>23987</v>
      </c>
      <c r="L96" s="61">
        <f>IFERROR('Cash Flow Data '!N19,0)</f>
        <v>25117</v>
      </c>
    </row>
    <row r="97" spans="2:12" outlineLevel="1" x14ac:dyDescent="0.35">
      <c r="B97" t="s">
        <v>242</v>
      </c>
      <c r="C97" s="61">
        <f>IFERROR('Cash Flow Data '!E20,0)</f>
        <v>264</v>
      </c>
      <c r="D97" s="61">
        <f>IFERROR('Cash Flow Data '!F20,0)</f>
        <v>297</v>
      </c>
      <c r="E97" s="61">
        <f>IFERROR('Cash Flow Data '!G20,0)</f>
        <v>289</v>
      </c>
      <c r="F97" s="61">
        <f>IFERROR('Cash Flow Data '!H20,0)</f>
        <v>351</v>
      </c>
      <c r="G97" s="61">
        <f>IFERROR('Cash Flow Data '!I20,0)</f>
        <v>277</v>
      </c>
      <c r="H97" s="61">
        <f>IFERROR('Cash Flow Data '!J20,0)</f>
        <v>161</v>
      </c>
      <c r="I97" s="61">
        <f>IFERROR('Cash Flow Data '!K20,0)</f>
        <v>259</v>
      </c>
      <c r="J97" s="61">
        <f>IFERROR('Cash Flow Data '!L20,0)</f>
        <v>425</v>
      </c>
      <c r="K97" s="61">
        <f>IFERROR('Cash Flow Data '!M20,0)</f>
        <v>835</v>
      </c>
      <c r="L97" s="61">
        <f>IFERROR('Cash Flow Data '!N20,0)</f>
        <v>428</v>
      </c>
    </row>
    <row r="98" spans="2:12" outlineLevel="1" x14ac:dyDescent="0.35">
      <c r="B98" t="s">
        <v>241</v>
      </c>
      <c r="C98" s="61">
        <f>IFERROR('Cash Flow Data '!E21,0)</f>
        <v>14</v>
      </c>
      <c r="D98" s="61">
        <f>IFERROR('Cash Flow Data '!F21,0)</f>
        <v>0</v>
      </c>
      <c r="E98" s="61">
        <f>IFERROR('Cash Flow Data '!G21,0)</f>
        <v>1</v>
      </c>
      <c r="F98" s="61">
        <f>IFERROR('Cash Flow Data '!H21,0)</f>
        <v>1</v>
      </c>
      <c r="G98" s="61">
        <f>IFERROR('Cash Flow Data '!I21,0)</f>
        <v>1</v>
      </c>
      <c r="H98" s="61">
        <f>IFERROR('Cash Flow Data '!J21,0)</f>
        <v>1</v>
      </c>
      <c r="I98" s="61">
        <f>IFERROR('Cash Flow Data '!K21,0)</f>
        <v>2</v>
      </c>
      <c r="J98" s="61">
        <f>IFERROR('Cash Flow Data '!L21,0)</f>
        <v>3</v>
      </c>
      <c r="K98" s="61">
        <f>IFERROR('Cash Flow Data '!M21,0)</f>
        <v>0</v>
      </c>
      <c r="L98" s="61">
        <f>IFERROR('Cash Flow Data '!N21,0)</f>
        <v>5</v>
      </c>
    </row>
    <row r="99" spans="2:12" outlineLevel="1" x14ac:dyDescent="0.35">
      <c r="B99" t="s">
        <v>240</v>
      </c>
      <c r="C99" s="61">
        <f>IFERROR('Cash Flow Data '!E22,0)</f>
        <v>20</v>
      </c>
      <c r="D99" s="61">
        <f>IFERROR('Cash Flow Data '!F22,0)</f>
        <v>73</v>
      </c>
      <c r="E99" s="61">
        <f>IFERROR('Cash Flow Data '!G22,0)</f>
        <v>0</v>
      </c>
      <c r="F99" s="61">
        <f>IFERROR('Cash Flow Data '!H22,0)</f>
        <v>0</v>
      </c>
      <c r="G99" s="61">
        <f>IFERROR('Cash Flow Data '!I22,0)</f>
        <v>0</v>
      </c>
      <c r="H99" s="61">
        <f>IFERROR('Cash Flow Data '!J22,0)</f>
        <v>0</v>
      </c>
      <c r="I99" s="61">
        <f>IFERROR('Cash Flow Data '!K22,0)</f>
        <v>0</v>
      </c>
      <c r="J99" s="61">
        <f>IFERROR('Cash Flow Data '!L22,0)</f>
        <v>0</v>
      </c>
      <c r="K99" s="61">
        <f>IFERROR('Cash Flow Data '!M22,0)</f>
        <v>0</v>
      </c>
      <c r="L99" s="61">
        <f>IFERROR('Cash Flow Data '!N22,0)</f>
        <v>298</v>
      </c>
    </row>
    <row r="100" spans="2:12" outlineLevel="1" x14ac:dyDescent="0.35">
      <c r="B100" t="s">
        <v>239</v>
      </c>
      <c r="C100" s="61">
        <f>IFERROR('Cash Flow Data '!E23,0)</f>
        <v>0</v>
      </c>
      <c r="D100" s="61">
        <f>IFERROR('Cash Flow Data '!F23,0)</f>
        <v>0</v>
      </c>
      <c r="E100" s="61">
        <f>IFERROR('Cash Flow Data '!G23,0)</f>
        <v>0</v>
      </c>
      <c r="F100" s="61">
        <f>IFERROR('Cash Flow Data '!H23,0)</f>
        <v>0</v>
      </c>
      <c r="G100" s="61">
        <f>IFERROR('Cash Flow Data '!I23,0)</f>
        <v>0</v>
      </c>
      <c r="H100" s="61">
        <f>IFERROR('Cash Flow Data '!J23,0)</f>
        <v>0</v>
      </c>
      <c r="I100" s="61">
        <f>IFERROR('Cash Flow Data '!K23,0)</f>
        <v>-334</v>
      </c>
      <c r="J100" s="61">
        <f>IFERROR('Cash Flow Data '!L23,0)</f>
        <v>0</v>
      </c>
      <c r="K100" s="61">
        <f>IFERROR('Cash Flow Data '!M23,0)</f>
        <v>0</v>
      </c>
      <c r="L100" s="61">
        <f>IFERROR('Cash Flow Data '!N23,0)</f>
        <v>0</v>
      </c>
    </row>
    <row r="101" spans="2:12" outlineLevel="1" x14ac:dyDescent="0.35">
      <c r="B101" t="s">
        <v>238</v>
      </c>
      <c r="C101" s="61">
        <f>IFERROR('Cash Flow Data '!E24,0)</f>
        <v>597</v>
      </c>
      <c r="D101" s="61">
        <f>IFERROR('Cash Flow Data '!F24,0)</f>
        <v>-1612</v>
      </c>
      <c r="E101" s="61">
        <f>IFERROR('Cash Flow Data '!G24,0)</f>
        <v>-300</v>
      </c>
      <c r="F101" s="61">
        <f>IFERROR('Cash Flow Data '!H24,0)</f>
        <v>649</v>
      </c>
      <c r="G101" s="61">
        <f>IFERROR('Cash Flow Data '!I24,0)</f>
        <v>3994</v>
      </c>
      <c r="H101" s="61">
        <f>IFERROR('Cash Flow Data '!J24,0)</f>
        <v>-101</v>
      </c>
      <c r="I101" s="61">
        <f>IFERROR('Cash Flow Data '!K24,0)</f>
        <v>-1213</v>
      </c>
      <c r="J101" s="61">
        <f>IFERROR('Cash Flow Data '!L24,0)</f>
        <v>-2804</v>
      </c>
      <c r="K101" s="61">
        <f>IFERROR('Cash Flow Data '!M24,0)</f>
        <v>5870</v>
      </c>
      <c r="L101" s="61">
        <f>IFERROR('Cash Flow Data '!N24,0)</f>
        <v>-2663</v>
      </c>
    </row>
    <row r="102" spans="2:12" outlineLevel="1" x14ac:dyDescent="0.35">
      <c r="B102" s="3" t="s">
        <v>453</v>
      </c>
      <c r="C102" s="61">
        <f>SUM(C93:C101)</f>
        <v>-1173</v>
      </c>
      <c r="D102" s="61">
        <f t="shared" ref="D102:L102" si="24">SUM(D93:D101)</f>
        <v>-1063</v>
      </c>
      <c r="E102" s="61">
        <f t="shared" si="24"/>
        <v>-438</v>
      </c>
      <c r="F102" s="61">
        <f t="shared" si="24"/>
        <v>1791</v>
      </c>
      <c r="G102" s="61">
        <f t="shared" si="24"/>
        <v>-1228</v>
      </c>
      <c r="H102" s="61">
        <f t="shared" si="24"/>
        <v>-1728</v>
      </c>
      <c r="I102" s="61">
        <f t="shared" si="24"/>
        <v>-1484</v>
      </c>
      <c r="J102" s="61">
        <f t="shared" si="24"/>
        <v>-5324</v>
      </c>
      <c r="K102" s="61">
        <f t="shared" si="24"/>
        <v>6473</v>
      </c>
      <c r="L102" s="61">
        <f t="shared" si="24"/>
        <v>-3676</v>
      </c>
    </row>
    <row r="103" spans="2:12" outlineLevel="1" x14ac:dyDescent="0.35">
      <c r="C103" s="61"/>
      <c r="D103" s="61"/>
      <c r="E103" s="61"/>
      <c r="F103" s="61"/>
      <c r="G103" s="61"/>
      <c r="H103" s="61"/>
      <c r="I103" s="61"/>
      <c r="J103" s="61"/>
      <c r="K103" s="61"/>
      <c r="L103" s="61"/>
    </row>
    <row r="104" spans="2:12" outlineLevel="1" x14ac:dyDescent="0.35">
      <c r="B104" s="3" t="s">
        <v>454</v>
      </c>
      <c r="C104" s="62"/>
      <c r="D104" s="62"/>
      <c r="E104" s="62"/>
      <c r="F104" s="62"/>
      <c r="G104" s="62"/>
      <c r="H104" s="62"/>
      <c r="I104" s="62"/>
      <c r="J104" s="62"/>
      <c r="K104" s="62"/>
      <c r="L104" s="62"/>
    </row>
    <row r="105" spans="2:12" outlineLevel="1" x14ac:dyDescent="0.35">
      <c r="B105" t="s">
        <v>236</v>
      </c>
      <c r="C105" s="61">
        <f>IFERROR('Cash Flow Data '!E26,0)</f>
        <v>0</v>
      </c>
      <c r="D105" s="61">
        <f>IFERROR('Cash Flow Data '!F26,0)</f>
        <v>0</v>
      </c>
      <c r="E105" s="61">
        <f>IFERROR('Cash Flow Data '!G26,0)</f>
        <v>0</v>
      </c>
      <c r="F105" s="61">
        <f>IFERROR('Cash Flow Data '!H26,0)</f>
        <v>0</v>
      </c>
      <c r="G105" s="61">
        <f>IFERROR('Cash Flow Data '!I26,0)</f>
        <v>0</v>
      </c>
      <c r="H105" s="61">
        <f>IFERROR('Cash Flow Data '!J26,0)</f>
        <v>0</v>
      </c>
      <c r="I105" s="61">
        <f>IFERROR('Cash Flow Data '!K26,0)</f>
        <v>0</v>
      </c>
      <c r="J105" s="61">
        <f>IFERROR('Cash Flow Data '!L26,0)</f>
        <v>0</v>
      </c>
      <c r="K105" s="61">
        <f>IFERROR('Cash Flow Data '!M26,0)</f>
        <v>0</v>
      </c>
      <c r="L105" s="61">
        <f>IFERROR('Cash Flow Data '!N26,0)</f>
        <v>0</v>
      </c>
    </row>
    <row r="106" spans="2:12" outlineLevel="1" x14ac:dyDescent="0.35">
      <c r="B106" t="s">
        <v>235</v>
      </c>
      <c r="C106" s="61">
        <f>IFERROR('Cash Flow Data '!E27,0)</f>
        <v>460</v>
      </c>
      <c r="D106" s="61">
        <f>IFERROR('Cash Flow Data '!F27,0)</f>
        <v>0</v>
      </c>
      <c r="E106" s="61">
        <f>IFERROR('Cash Flow Data '!G27,0)</f>
        <v>99</v>
      </c>
      <c r="F106" s="61">
        <f>IFERROR('Cash Flow Data '!H27,0)</f>
        <v>0</v>
      </c>
      <c r="G106" s="61">
        <f>IFERROR('Cash Flow Data '!I27,0)</f>
        <v>188</v>
      </c>
      <c r="H106" s="61">
        <f>IFERROR('Cash Flow Data '!J27,0)</f>
        <v>55</v>
      </c>
      <c r="I106" s="61">
        <f>IFERROR('Cash Flow Data '!K27,0)</f>
        <v>286</v>
      </c>
      <c r="J106" s="61">
        <f>IFERROR('Cash Flow Data '!L27,0)</f>
        <v>0</v>
      </c>
      <c r="K106" s="61">
        <f>IFERROR('Cash Flow Data '!M27,0)</f>
        <v>0</v>
      </c>
      <c r="L106" s="61">
        <f>IFERROR('Cash Flow Data '!N27,0)</f>
        <v>0</v>
      </c>
    </row>
    <row r="107" spans="2:12" outlineLevel="1" x14ac:dyDescent="0.35">
      <c r="B107" t="s">
        <v>234</v>
      </c>
      <c r="C107" s="61">
        <f>IFERROR('Cash Flow Data '!E28,0)</f>
        <v>-360</v>
      </c>
      <c r="D107" s="61">
        <f>IFERROR('Cash Flow Data '!F28,0)</f>
        <v>-277</v>
      </c>
      <c r="E107" s="61">
        <f>IFERROR('Cash Flow Data '!G28,0)</f>
        <v>0</v>
      </c>
      <c r="F107" s="61">
        <f>IFERROR('Cash Flow Data '!H28,0)</f>
        <v>-99</v>
      </c>
      <c r="G107" s="61">
        <f>IFERROR('Cash Flow Data '!I28,0)</f>
        <v>-188</v>
      </c>
      <c r="H107" s="61">
        <f>IFERROR('Cash Flow Data '!J28,0)</f>
        <v>-55</v>
      </c>
      <c r="I107" s="61">
        <f>IFERROR('Cash Flow Data '!K28,0)</f>
        <v>-208</v>
      </c>
      <c r="J107" s="61">
        <f>IFERROR('Cash Flow Data '!L28,0)</f>
        <v>-85</v>
      </c>
      <c r="K107" s="61">
        <f>IFERROR('Cash Flow Data '!M28,0)</f>
        <v>0</v>
      </c>
      <c r="L107" s="61">
        <f>IFERROR('Cash Flow Data '!N28,0)</f>
        <v>-46</v>
      </c>
    </row>
    <row r="108" spans="2:12" outlineLevel="1" x14ac:dyDescent="0.35">
      <c r="B108" t="s">
        <v>233</v>
      </c>
      <c r="C108" s="61">
        <f>IFERROR('Cash Flow Data '!E29,0)</f>
        <v>-14</v>
      </c>
      <c r="D108" s="61">
        <f>IFERROR('Cash Flow Data '!F29,0)</f>
        <v>-6</v>
      </c>
      <c r="E108" s="61">
        <f>IFERROR('Cash Flow Data '!G29,0)</f>
        <v>-7</v>
      </c>
      <c r="F108" s="61">
        <f>IFERROR('Cash Flow Data '!H29,0)</f>
        <v>-90</v>
      </c>
      <c r="G108" s="61">
        <f>IFERROR('Cash Flow Data '!I29,0)</f>
        <v>-92</v>
      </c>
      <c r="H108" s="61">
        <f>IFERROR('Cash Flow Data '!J29,0)</f>
        <v>-82</v>
      </c>
      <c r="I108" s="61">
        <f>IFERROR('Cash Flow Data '!K29,0)</f>
        <v>-88</v>
      </c>
      <c r="J108" s="61">
        <f>IFERROR('Cash Flow Data '!L29,0)</f>
        <v>-110</v>
      </c>
      <c r="K108" s="61">
        <f>IFERROR('Cash Flow Data '!M29,0)</f>
        <v>-130</v>
      </c>
      <c r="L108" s="61">
        <f>IFERROR('Cash Flow Data '!N29,0)</f>
        <v>-133</v>
      </c>
    </row>
    <row r="109" spans="2:12" outlineLevel="1" x14ac:dyDescent="0.35">
      <c r="B109" t="s">
        <v>232</v>
      </c>
      <c r="C109" s="61">
        <f>IFERROR('Cash Flow Data '!E30,0)</f>
        <v>-3572</v>
      </c>
      <c r="D109" s="61">
        <f>IFERROR('Cash Flow Data '!F30,0)</f>
        <v>-3911</v>
      </c>
      <c r="E109" s="61">
        <f>IFERROR('Cash Flow Data '!G30,0)</f>
        <v>-4554</v>
      </c>
      <c r="F109" s="61">
        <f>IFERROR('Cash Flow Data '!H30,0)</f>
        <v>-5196</v>
      </c>
      <c r="G109" s="61">
        <f>IFERROR('Cash Flow Data '!I30,0)</f>
        <v>-8811</v>
      </c>
      <c r="H109" s="61">
        <f>IFERROR('Cash Flow Data '!J30,0)</f>
        <v>-7526</v>
      </c>
      <c r="I109" s="61">
        <f>IFERROR('Cash Flow Data '!K30,0)</f>
        <v>-8474</v>
      </c>
      <c r="J109" s="61">
        <f>IFERROR('Cash Flow Data '!L30,0)</f>
        <v>-9416</v>
      </c>
      <c r="K109" s="61">
        <f>IFERROR('Cash Flow Data '!M30,0)</f>
        <v>-12473</v>
      </c>
      <c r="L109" s="61">
        <f>IFERROR('Cash Flow Data '!N30,0)</f>
        <v>-10124</v>
      </c>
    </row>
    <row r="110" spans="2:12" outlineLevel="1" x14ac:dyDescent="0.35">
      <c r="B110" t="s">
        <v>231</v>
      </c>
      <c r="C110" s="61">
        <f>IFERROR('Cash Flow Data '!E31,0)</f>
        <v>0</v>
      </c>
      <c r="D110" s="61">
        <f>IFERROR('Cash Flow Data '!F31,0)</f>
        <v>0</v>
      </c>
      <c r="E110" s="61">
        <f>IFERROR('Cash Flow Data '!G31,0)</f>
        <v>0</v>
      </c>
      <c r="F110" s="61">
        <f>IFERROR('Cash Flow Data '!H31,0)</f>
        <v>-373</v>
      </c>
      <c r="G110" s="61">
        <f>IFERROR('Cash Flow Data '!I31,0)</f>
        <v>-406</v>
      </c>
      <c r="H110" s="61">
        <f>IFERROR('Cash Flow Data '!J31,0)</f>
        <v>-407</v>
      </c>
      <c r="I110" s="61">
        <f>IFERROR('Cash Flow Data '!K31,0)</f>
        <v>-467</v>
      </c>
      <c r="J110" s="61">
        <f>IFERROR('Cash Flow Data '!L31,0)</f>
        <v>-423</v>
      </c>
      <c r="K110" s="61">
        <f>IFERROR('Cash Flow Data '!M31,0)</f>
        <v>-498</v>
      </c>
      <c r="L110" s="61">
        <f>IFERROR('Cash Flow Data '!N31,0)</f>
        <v>-507</v>
      </c>
    </row>
    <row r="111" spans="2:12" outlineLevel="1" x14ac:dyDescent="0.35">
      <c r="B111" t="s">
        <v>230</v>
      </c>
      <c r="C111" s="61">
        <f>IFERROR('Cash Flow Data '!E32,0)</f>
        <v>-728</v>
      </c>
      <c r="D111" s="61">
        <f>IFERROR('Cash Flow Data '!F32,0)</f>
        <v>-781</v>
      </c>
      <c r="E111" s="61">
        <f>IFERROR('Cash Flow Data '!G32,0)</f>
        <v>-928</v>
      </c>
      <c r="F111" s="61">
        <f>IFERROR('Cash Flow Data '!H32,0)</f>
        <v>-1061</v>
      </c>
      <c r="G111" s="61">
        <f>IFERROR('Cash Flow Data '!I32,0)</f>
        <v>0</v>
      </c>
      <c r="H111" s="61">
        <f>IFERROR('Cash Flow Data '!J32,0)</f>
        <v>0</v>
      </c>
      <c r="I111" s="61">
        <f>IFERROR('Cash Flow Data '!K32,0)</f>
        <v>-2</v>
      </c>
      <c r="J111" s="61">
        <f>IFERROR('Cash Flow Data '!L32,0)</f>
        <v>0</v>
      </c>
      <c r="K111" s="61">
        <f>IFERROR('Cash Flow Data '!M32,0)</f>
        <v>0</v>
      </c>
      <c r="L111" s="61">
        <f>IFERROR('Cash Flow Data '!N32,0)</f>
        <v>0</v>
      </c>
    </row>
    <row r="112" spans="2:12" outlineLevel="1" x14ac:dyDescent="0.35">
      <c r="B112" s="3" t="s">
        <v>455</v>
      </c>
      <c r="C112" s="61">
        <f>SUM(C105:C111)</f>
        <v>-4214</v>
      </c>
      <c r="D112" s="61">
        <f t="shared" ref="D112:L112" si="25">SUM(D105:D111)</f>
        <v>-4975</v>
      </c>
      <c r="E112" s="61">
        <f t="shared" si="25"/>
        <v>-5390</v>
      </c>
      <c r="F112" s="61">
        <f t="shared" si="25"/>
        <v>-6819</v>
      </c>
      <c r="G112" s="61">
        <f t="shared" si="25"/>
        <v>-9309</v>
      </c>
      <c r="H112" s="61">
        <f t="shared" si="25"/>
        <v>-8015</v>
      </c>
      <c r="I112" s="61">
        <f t="shared" si="25"/>
        <v>-8953</v>
      </c>
      <c r="J112" s="61">
        <f t="shared" si="25"/>
        <v>-10034</v>
      </c>
      <c r="K112" s="61">
        <f t="shared" si="25"/>
        <v>-13101</v>
      </c>
      <c r="L112" s="61">
        <f t="shared" si="25"/>
        <v>-10810</v>
      </c>
    </row>
    <row r="113" spans="2:13" outlineLevel="1" x14ac:dyDescent="0.35"/>
    <row r="114" spans="2:13" outlineLevel="1" x14ac:dyDescent="0.35">
      <c r="B114" s="3" t="s">
        <v>149</v>
      </c>
      <c r="C114" s="62">
        <f>IFERROR(C90+C102+C112,0)</f>
        <v>364</v>
      </c>
      <c r="D114" s="62">
        <f t="shared" ref="D114:L114" si="26">IFERROR(D90+D102+D112,0)</f>
        <v>855</v>
      </c>
      <c r="E114" s="62">
        <f t="shared" si="26"/>
        <v>-370</v>
      </c>
      <c r="F114" s="62">
        <f t="shared" si="26"/>
        <v>3012</v>
      </c>
      <c r="G114" s="62">
        <f t="shared" si="26"/>
        <v>-1474</v>
      </c>
      <c r="H114" s="62">
        <f t="shared" si="26"/>
        <v>-1698</v>
      </c>
      <c r="I114" s="62">
        <f t="shared" si="26"/>
        <v>-1406</v>
      </c>
      <c r="J114" s="62">
        <f t="shared" si="26"/>
        <v>1424</v>
      </c>
      <c r="K114" s="62">
        <f t="shared" si="26"/>
        <v>4470</v>
      </c>
      <c r="L114" s="62">
        <f t="shared" si="26"/>
        <v>-2801</v>
      </c>
    </row>
    <row r="115" spans="2:13" outlineLevel="1" x14ac:dyDescent="0.35">
      <c r="C115" s="61"/>
      <c r="D115" s="61"/>
      <c r="E115" s="61"/>
      <c r="F115" s="61"/>
      <c r="G115" s="61"/>
      <c r="H115" s="61"/>
      <c r="I115" s="61"/>
      <c r="J115" s="61"/>
      <c r="K115" s="61"/>
      <c r="L115" s="61"/>
    </row>
    <row r="116" spans="2:13" outlineLevel="1" x14ac:dyDescent="0.35">
      <c r="B116" s="228"/>
      <c r="C116" s="246"/>
      <c r="D116" s="246"/>
      <c r="E116" s="246"/>
      <c r="F116" s="246"/>
      <c r="G116" s="246"/>
      <c r="H116" s="246"/>
      <c r="I116" s="246"/>
      <c r="J116" s="246"/>
      <c r="K116" s="246"/>
      <c r="L116" s="246"/>
      <c r="M116" s="142"/>
    </row>
    <row r="117" spans="2:13" outlineLevel="1" x14ac:dyDescent="0.35"/>
    <row r="118" spans="2:13" outlineLevel="1" x14ac:dyDescent="0.35">
      <c r="B118" s="3"/>
      <c r="C118" s="62"/>
      <c r="D118" s="62"/>
      <c r="E118" s="62"/>
      <c r="F118" s="62"/>
      <c r="G118" s="62"/>
      <c r="H118" s="62"/>
      <c r="I118" s="62"/>
      <c r="J118" s="62"/>
      <c r="K118" s="62"/>
      <c r="L118" s="62"/>
    </row>
    <row r="122" spans="2:13" x14ac:dyDescent="0.35">
      <c r="C122" s="61"/>
      <c r="D122" s="61"/>
      <c r="E122" s="61"/>
      <c r="F122" s="61"/>
      <c r="G122" s="61"/>
      <c r="H122" s="61"/>
      <c r="I122" s="61"/>
      <c r="J122" s="61"/>
      <c r="K122" s="61"/>
      <c r="L122" s="61"/>
    </row>
  </sheetData>
  <mergeCells count="2">
    <mergeCell ref="B8:M8"/>
    <mergeCell ref="B1:M1"/>
  </mergeCells>
  <printOptions horizontalCentered="1"/>
  <pageMargins left="0.15748031496062992" right="0.15748031496062992" top="0.15748031496062992" bottom="0.15748031496062992" header="0.31496062992125984" footer="0.31496062992125984"/>
  <pageSetup scale="63" fitToHeight="0" orientation="portrait" r:id="rId1"/>
  <rowBreaks count="1" manualBreakCount="1">
    <brk id="74"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4F533-7135-4605-9345-1BF1CE7F2FB1}">
  <sheetPr>
    <pageSetUpPr fitToPage="1"/>
  </sheetPr>
  <dimension ref="B1:O25"/>
  <sheetViews>
    <sheetView showGridLines="0" topLeftCell="A3" workbookViewId="0">
      <selection activeCell="B7" sqref="B7:E7"/>
    </sheetView>
  </sheetViews>
  <sheetFormatPr defaultRowHeight="14.5" x14ac:dyDescent="0.35"/>
  <cols>
    <col min="1" max="1" width="1.81640625" customWidth="1"/>
    <col min="2" max="2" width="11" bestFit="1" customWidth="1"/>
    <col min="3" max="3" width="9.54296875" bestFit="1" customWidth="1"/>
    <col min="4" max="5" width="11.81640625" bestFit="1" customWidth="1"/>
    <col min="6" max="6" width="2.6328125" customWidth="1"/>
    <col min="7" max="7" width="11" bestFit="1" customWidth="1"/>
    <col min="8" max="8" width="6" bestFit="1" customWidth="1"/>
    <col min="9" max="9" width="11.81640625" bestFit="1" customWidth="1"/>
    <col min="10" max="10" width="13.81640625" bestFit="1" customWidth="1"/>
    <col min="11" max="11" width="2.6328125" customWidth="1"/>
    <col min="12" max="12" width="11" bestFit="1" customWidth="1"/>
    <col min="13" max="13" width="6" bestFit="1" customWidth="1"/>
    <col min="14" max="14" width="7.36328125" bestFit="1" customWidth="1"/>
    <col min="15" max="15" width="19" customWidth="1"/>
  </cols>
  <sheetData>
    <row r="1" spans="2:15" x14ac:dyDescent="0.35">
      <c r="B1" s="247"/>
      <c r="C1" s="247"/>
      <c r="D1" s="247"/>
      <c r="E1" s="247"/>
      <c r="F1" s="247"/>
      <c r="G1" s="247"/>
      <c r="H1" s="247"/>
      <c r="I1" s="247"/>
      <c r="J1" s="247"/>
      <c r="K1" s="247"/>
      <c r="L1" s="247"/>
      <c r="M1" s="247"/>
      <c r="N1" s="247"/>
      <c r="O1" s="247"/>
    </row>
    <row r="2" spans="2:15" ht="26" x14ac:dyDescent="0.6">
      <c r="B2" s="186" t="s">
        <v>289</v>
      </c>
    </row>
    <row r="3" spans="2:15" ht="18.5" x14ac:dyDescent="0.45">
      <c r="B3" s="188" t="s">
        <v>388</v>
      </c>
    </row>
    <row r="4" spans="2:15" ht="21" x14ac:dyDescent="0.5">
      <c r="B4" s="187" t="s">
        <v>389</v>
      </c>
    </row>
    <row r="5" spans="2:15" ht="18.5" x14ac:dyDescent="0.45">
      <c r="B5" s="188" t="s">
        <v>390</v>
      </c>
    </row>
    <row r="7" spans="2:15" x14ac:dyDescent="0.35">
      <c r="B7" s="247" t="str">
        <f>'Data Sheet'!B1&amp;" -"&amp;'Data Sheet'!A17&amp;" Forecasting"</f>
        <v>HINDUSTAN UNILEVER LTD -Sales Forecasting</v>
      </c>
      <c r="C7" s="247"/>
      <c r="D7" s="247"/>
      <c r="E7" s="247"/>
      <c r="G7" s="247" t="str">
        <f>'Data Sheet'!B1&amp;" -"&amp;HistoricalFS!B23&amp;" Forecasting"</f>
        <v>HINDUSTAN UNILEVER LTD -EBITDA Forecasting</v>
      </c>
      <c r="H7" s="247"/>
      <c r="I7" s="247"/>
      <c r="J7" s="247"/>
      <c r="L7" s="247" t="str">
        <f>'Data Sheet'!B1&amp;" -"&amp;HistoricalFS!B43&amp;" Forecasting"</f>
        <v>HINDUSTAN UNILEVER LTD -Earning Per Share Forecasting</v>
      </c>
      <c r="M7" s="247"/>
      <c r="N7" s="247"/>
      <c r="O7" s="247"/>
    </row>
    <row r="8" spans="2:15" x14ac:dyDescent="0.35">
      <c r="B8" s="47" t="s">
        <v>229</v>
      </c>
      <c r="C8" s="97" t="s">
        <v>92</v>
      </c>
      <c r="D8" s="97" t="s">
        <v>194</v>
      </c>
      <c r="E8" s="97" t="s">
        <v>193</v>
      </c>
      <c r="G8" s="47" t="s">
        <v>229</v>
      </c>
      <c r="H8" s="97" t="s">
        <v>92</v>
      </c>
      <c r="I8" s="97" t="s">
        <v>194</v>
      </c>
      <c r="J8" s="97" t="s">
        <v>193</v>
      </c>
      <c r="L8" s="47" t="s">
        <v>229</v>
      </c>
      <c r="M8" s="97" t="s">
        <v>92</v>
      </c>
      <c r="N8" s="97" t="s">
        <v>194</v>
      </c>
      <c r="O8" s="97" t="s">
        <v>193</v>
      </c>
    </row>
    <row r="9" spans="2:15" x14ac:dyDescent="0.35">
      <c r="B9" s="38">
        <v>1</v>
      </c>
      <c r="C9" s="96">
        <f>'Data Sheet'!B16</f>
        <v>42825</v>
      </c>
      <c r="D9" s="36">
        <f t="array" ref="D9:D18">TRANSPOSE('Data Sheet'!B17:K17)</f>
        <v>33162</v>
      </c>
      <c r="G9" s="38">
        <v>1</v>
      </c>
      <c r="H9" s="96">
        <v>41364</v>
      </c>
      <c r="I9" s="36">
        <f t="array" ref="I9:I18">TRANSPOSE(HistoricalFS!C23:L23)</f>
        <v>6328</v>
      </c>
      <c r="L9" s="38">
        <v>1</v>
      </c>
      <c r="M9" s="96">
        <v>41364</v>
      </c>
      <c r="N9" s="36">
        <f t="array" ref="N9:N18">TRANSPOSE(HistoricalFS!C43:L43)</f>
        <v>17.945756133622879</v>
      </c>
    </row>
    <row r="10" spans="2:15" x14ac:dyDescent="0.35">
      <c r="B10" s="38">
        <f t="shared" ref="B10:B23" si="0">B9+1</f>
        <v>2</v>
      </c>
      <c r="C10" s="96">
        <f t="shared" ref="C10:C23" si="1">C9+365</f>
        <v>43190</v>
      </c>
      <c r="D10" s="36">
        <v>35545</v>
      </c>
      <c r="E10" s="16">
        <f t="shared" ref="E10:E23" si="2">IFERROR(D10/D9-1,0)</f>
        <v>7.1859357095470644E-2</v>
      </c>
      <c r="G10" s="38">
        <f t="shared" ref="G10:G23" si="3">G9+1</f>
        <v>2</v>
      </c>
      <c r="H10" s="96">
        <v>41729</v>
      </c>
      <c r="I10" s="36">
        <v>7499</v>
      </c>
      <c r="J10" s="16">
        <f t="shared" ref="J10:J23" si="4">IFERROR(I10/I9-1,0)</f>
        <v>0.1850505689001265</v>
      </c>
      <c r="L10" s="38">
        <f t="shared" ref="L10:L23" si="5">L9+1</f>
        <v>2</v>
      </c>
      <c r="M10" s="96">
        <v>41729</v>
      </c>
      <c r="N10" s="36">
        <v>22.51790251790252</v>
      </c>
      <c r="O10" s="16">
        <f t="shared" ref="O10:O23" si="6">IFERROR(N10/N9-1,0)</f>
        <v>0.25477591193348159</v>
      </c>
    </row>
    <row r="11" spans="2:15" x14ac:dyDescent="0.35">
      <c r="B11" s="38">
        <f t="shared" si="0"/>
        <v>3</v>
      </c>
      <c r="C11" s="96">
        <f t="shared" si="1"/>
        <v>43555</v>
      </c>
      <c r="D11" s="36">
        <v>39310</v>
      </c>
      <c r="E11" s="16">
        <f t="shared" si="2"/>
        <v>0.1059220706147137</v>
      </c>
      <c r="G11" s="38">
        <f t="shared" si="3"/>
        <v>3</v>
      </c>
      <c r="H11" s="96">
        <v>42094</v>
      </c>
      <c r="I11" s="36">
        <v>8880</v>
      </c>
      <c r="J11" s="16">
        <f t="shared" si="4"/>
        <v>0.1841578877183625</v>
      </c>
      <c r="L11" s="38">
        <f t="shared" si="5"/>
        <v>3</v>
      </c>
      <c r="M11" s="96">
        <v>42094</v>
      </c>
      <c r="N11" s="36">
        <v>26.507137247655564</v>
      </c>
      <c r="O11" s="16">
        <f t="shared" si="6"/>
        <v>0.17715836217789205</v>
      </c>
    </row>
    <row r="12" spans="2:15" x14ac:dyDescent="0.35">
      <c r="B12" s="38">
        <f t="shared" si="0"/>
        <v>4</v>
      </c>
      <c r="C12" s="96">
        <f t="shared" si="1"/>
        <v>43920</v>
      </c>
      <c r="D12" s="36">
        <v>39783</v>
      </c>
      <c r="E12" s="16">
        <f t="shared" si="2"/>
        <v>1.2032561689137689E-2</v>
      </c>
      <c r="G12" s="38">
        <f t="shared" si="3"/>
        <v>4</v>
      </c>
      <c r="H12" s="96">
        <v>42459</v>
      </c>
      <c r="I12" s="36">
        <v>9861</v>
      </c>
      <c r="J12" s="16">
        <f t="shared" si="4"/>
        <v>0.11047297297297298</v>
      </c>
      <c r="L12" s="38">
        <f t="shared" si="5"/>
        <v>4</v>
      </c>
      <c r="M12" s="96">
        <v>42459</v>
      </c>
      <c r="N12" s="36">
        <v>29.249815225424982</v>
      </c>
      <c r="O12" s="16">
        <f t="shared" si="6"/>
        <v>0.10346941475213423</v>
      </c>
    </row>
    <row r="13" spans="2:15" x14ac:dyDescent="0.35">
      <c r="B13" s="38">
        <f t="shared" si="0"/>
        <v>5</v>
      </c>
      <c r="C13" s="96">
        <f t="shared" si="1"/>
        <v>44285</v>
      </c>
      <c r="D13" s="36">
        <v>47028</v>
      </c>
      <c r="E13" s="16">
        <f t="shared" si="2"/>
        <v>0.18211296282331646</v>
      </c>
      <c r="G13" s="38">
        <f t="shared" si="3"/>
        <v>5</v>
      </c>
      <c r="H13" s="96">
        <v>42824</v>
      </c>
      <c r="I13" s="36">
        <v>11626</v>
      </c>
      <c r="J13" s="16">
        <f t="shared" si="4"/>
        <v>0.1789879322583916</v>
      </c>
      <c r="L13" s="38">
        <f t="shared" si="5"/>
        <v>5</v>
      </c>
      <c r="M13" s="96">
        <v>42824</v>
      </c>
      <c r="N13" s="36">
        <v>33.320565202587673</v>
      </c>
      <c r="O13" s="16">
        <f t="shared" si="6"/>
        <v>0.1391718185496178</v>
      </c>
    </row>
    <row r="14" spans="2:15" x14ac:dyDescent="0.35">
      <c r="B14" s="38">
        <f t="shared" si="0"/>
        <v>6</v>
      </c>
      <c r="C14" s="96">
        <f t="shared" si="1"/>
        <v>44650</v>
      </c>
      <c r="D14" s="36">
        <v>52446</v>
      </c>
      <c r="E14" s="16">
        <f t="shared" si="2"/>
        <v>0.11520796121459553</v>
      </c>
      <c r="G14" s="38">
        <f t="shared" si="3"/>
        <v>6</v>
      </c>
      <c r="H14" s="96">
        <v>43189</v>
      </c>
      <c r="I14" s="36">
        <v>12857</v>
      </c>
      <c r="J14" s="16">
        <f t="shared" si="4"/>
        <v>0.10588336487183891</v>
      </c>
      <c r="L14" s="38">
        <f t="shared" si="5"/>
        <v>6</v>
      </c>
      <c r="M14" s="96">
        <v>43189</v>
      </c>
      <c r="N14" s="36">
        <v>36.912665985699689</v>
      </c>
      <c r="O14" s="16">
        <f t="shared" si="6"/>
        <v>0.10780431728190054</v>
      </c>
    </row>
    <row r="15" spans="2:15" x14ac:dyDescent="0.35">
      <c r="B15" s="38">
        <f t="shared" si="0"/>
        <v>7</v>
      </c>
      <c r="C15" s="96">
        <f t="shared" si="1"/>
        <v>45015</v>
      </c>
      <c r="D15" s="36">
        <v>60580</v>
      </c>
      <c r="E15" s="16">
        <f t="shared" si="2"/>
        <v>0.15509285741524614</v>
      </c>
      <c r="G15" s="38">
        <f t="shared" si="3"/>
        <v>7</v>
      </c>
      <c r="H15" s="96">
        <v>43554</v>
      </c>
      <c r="I15" s="36">
        <v>14147</v>
      </c>
      <c r="J15" s="16">
        <f t="shared" si="4"/>
        <v>0.10033444816053505</v>
      </c>
      <c r="L15" s="38">
        <f t="shared" si="5"/>
        <v>7</v>
      </c>
      <c r="M15" s="96">
        <v>43554</v>
      </c>
      <c r="N15" s="36">
        <v>41.262342526387471</v>
      </c>
      <c r="O15" s="16">
        <f t="shared" si="6"/>
        <v>0.11783696529459253</v>
      </c>
    </row>
    <row r="16" spans="2:15" x14ac:dyDescent="0.35">
      <c r="B16" s="38">
        <f t="shared" si="0"/>
        <v>8</v>
      </c>
      <c r="C16" s="96">
        <f t="shared" si="1"/>
        <v>45380</v>
      </c>
      <c r="D16" s="36">
        <v>61896</v>
      </c>
      <c r="E16" s="16">
        <f t="shared" si="2"/>
        <v>2.1723341036645749E-2</v>
      </c>
      <c r="G16" s="38">
        <f t="shared" si="3"/>
        <v>8</v>
      </c>
      <c r="H16" s="96">
        <v>43919</v>
      </c>
      <c r="I16" s="36">
        <v>14659</v>
      </c>
      <c r="J16" s="16">
        <f t="shared" si="4"/>
        <v>3.6191418675337594E-2</v>
      </c>
      <c r="L16" s="38">
        <f t="shared" si="5"/>
        <v>8</v>
      </c>
      <c r="M16" s="96">
        <v>43919</v>
      </c>
      <c r="N16" s="36">
        <v>40.283452502553622</v>
      </c>
      <c r="O16" s="16">
        <f t="shared" si="6"/>
        <v>-2.3723568849922771E-2</v>
      </c>
    </row>
    <row r="17" spans="2:15" x14ac:dyDescent="0.35">
      <c r="B17" s="38">
        <f t="shared" si="0"/>
        <v>9</v>
      </c>
      <c r="C17" s="96">
        <f t="shared" si="1"/>
        <v>45745</v>
      </c>
      <c r="D17" s="36">
        <v>61328</v>
      </c>
      <c r="E17" s="16">
        <f t="shared" si="2"/>
        <v>-9.1766834690448773E-3</v>
      </c>
      <c r="G17" s="38">
        <f t="shared" si="3"/>
        <v>9</v>
      </c>
      <c r="H17" s="96">
        <v>44284</v>
      </c>
      <c r="I17" s="36">
        <v>14698</v>
      </c>
      <c r="J17" s="16">
        <f t="shared" si="4"/>
        <v>2.660481615389898E-3</v>
      </c>
      <c r="L17" s="38">
        <f t="shared" si="5"/>
        <v>9</v>
      </c>
      <c r="M17" s="96">
        <v>44284</v>
      </c>
      <c r="N17" s="36">
        <v>39.649302008852572</v>
      </c>
      <c r="O17" s="16">
        <f t="shared" si="6"/>
        <v>-1.574220813523497E-2</v>
      </c>
    </row>
    <row r="18" spans="2:15" x14ac:dyDescent="0.35">
      <c r="B18" s="38">
        <f t="shared" si="0"/>
        <v>10</v>
      </c>
      <c r="C18" s="96">
        <f t="shared" si="1"/>
        <v>46110</v>
      </c>
      <c r="D18" s="36">
        <v>64468</v>
      </c>
      <c r="E18" s="16">
        <f t="shared" si="2"/>
        <v>5.1200104356900589E-2</v>
      </c>
      <c r="G18" s="38">
        <f t="shared" si="3"/>
        <v>10</v>
      </c>
      <c r="H18" s="96">
        <v>44649</v>
      </c>
      <c r="I18" s="36">
        <v>15039</v>
      </c>
      <c r="J18" s="16">
        <f t="shared" si="4"/>
        <v>2.3200435433392341E-2</v>
      </c>
      <c r="L18" s="38">
        <f t="shared" si="5"/>
        <v>10</v>
      </c>
      <c r="M18" s="96">
        <v>44649</v>
      </c>
      <c r="N18" s="36">
        <v>43.139257745999316</v>
      </c>
      <c r="O18" s="16">
        <f t="shared" si="6"/>
        <v>8.8020609703735486E-2</v>
      </c>
    </row>
    <row r="19" spans="2:15" x14ac:dyDescent="0.35">
      <c r="B19" s="95">
        <f t="shared" si="0"/>
        <v>11</v>
      </c>
      <c r="C19" s="94">
        <f t="shared" si="1"/>
        <v>46475</v>
      </c>
      <c r="D19" s="93">
        <f>IFERROR(FORECAST(B19,$D$9:$D$18,$B$9:$B$18),0)</f>
        <v>70987.066666666666</v>
      </c>
      <c r="E19" s="92">
        <f t="shared" si="2"/>
        <v>0.10112096957663752</v>
      </c>
      <c r="G19" s="95">
        <f t="shared" si="3"/>
        <v>11</v>
      </c>
      <c r="H19" s="94">
        <v>45014</v>
      </c>
      <c r="I19" s="93">
        <f>IFERROR(FORECAST(G19,$I$9:$I$18,$G$9:$G$18),0)</f>
        <v>17285.266666666666</v>
      </c>
      <c r="J19" s="92">
        <f t="shared" si="4"/>
        <v>0.14936276791453329</v>
      </c>
      <c r="L19" s="95">
        <f t="shared" si="5"/>
        <v>11</v>
      </c>
      <c r="M19" s="94">
        <v>45014</v>
      </c>
      <c r="N19" s="93">
        <f>IFERROR(FORECAST(L19,$N$9:$N$18,$L$9:$L$18),0)</f>
        <v>48.25123870661956</v>
      </c>
      <c r="O19" s="92">
        <f t="shared" si="6"/>
        <v>0.1184995112970928</v>
      </c>
    </row>
    <row r="20" spans="2:15" x14ac:dyDescent="0.35">
      <c r="B20" s="95">
        <f t="shared" si="0"/>
        <v>12</v>
      </c>
      <c r="C20" s="94">
        <f t="shared" si="1"/>
        <v>46840</v>
      </c>
      <c r="D20" s="93">
        <f>IFERROR(FORECAST(B20,$D$9:$D$18,$B$9:$B$18),0)</f>
        <v>74883.878787878784</v>
      </c>
      <c r="E20" s="92">
        <f t="shared" si="2"/>
        <v>5.4894677357360644E-2</v>
      </c>
      <c r="G20" s="95">
        <f t="shared" si="3"/>
        <v>12</v>
      </c>
      <c r="H20" s="94">
        <v>45379</v>
      </c>
      <c r="I20" s="93">
        <f>IFERROR(FORECAST(G20,$I$9:$I$18,$G$9:$G$18),0)</f>
        <v>18326.333333333332</v>
      </c>
      <c r="J20" s="92">
        <f t="shared" si="4"/>
        <v>6.0228556882740092E-2</v>
      </c>
      <c r="L20" s="95">
        <f t="shared" si="5"/>
        <v>12</v>
      </c>
      <c r="M20" s="94">
        <v>45379</v>
      </c>
      <c r="N20" s="93">
        <f>IFERROR(FORECAST(L20,$N$9:$N$18,$L$9:$L$18),0)</f>
        <v>51.009860342428823</v>
      </c>
      <c r="O20" s="92">
        <f t="shared" si="6"/>
        <v>5.7172037646171514E-2</v>
      </c>
    </row>
    <row r="21" spans="2:15" x14ac:dyDescent="0.35">
      <c r="B21" s="95">
        <f t="shared" si="0"/>
        <v>13</v>
      </c>
      <c r="C21" s="94">
        <f t="shared" si="1"/>
        <v>47205</v>
      </c>
      <c r="D21" s="93">
        <f>IFERROR(FORECAST(B21,$D$9:$D$18,$B$9:$B$18),0)</f>
        <v>78780.690909090918</v>
      </c>
      <c r="E21" s="92">
        <f t="shared" si="2"/>
        <v>5.2038064591318989E-2</v>
      </c>
      <c r="G21" s="95">
        <f t="shared" si="3"/>
        <v>13</v>
      </c>
      <c r="H21" s="94">
        <v>45744</v>
      </c>
      <c r="I21" s="93">
        <f>IFERROR(FORECAST(G21,$I$9:$I$18,$G$9:$G$18),0)</f>
        <v>19367.399999999998</v>
      </c>
      <c r="J21" s="92">
        <f t="shared" si="4"/>
        <v>5.6807144546099364E-2</v>
      </c>
      <c r="L21" s="95">
        <f t="shared" si="5"/>
        <v>13</v>
      </c>
      <c r="M21" s="94">
        <v>45744</v>
      </c>
      <c r="N21" s="93">
        <f>IFERROR(FORECAST(L21,$N$9:$N$18,$L$9:$L$18),0)</f>
        <v>53.768481978238086</v>
      </c>
      <c r="O21" s="92">
        <f t="shared" si="6"/>
        <v>5.408016444841568E-2</v>
      </c>
    </row>
    <row r="22" spans="2:15" x14ac:dyDescent="0.35">
      <c r="B22" s="95">
        <f t="shared" si="0"/>
        <v>14</v>
      </c>
      <c r="C22" s="94">
        <f t="shared" si="1"/>
        <v>47570</v>
      </c>
      <c r="D22" s="93">
        <f>IFERROR(FORECAST(B22,$D$9:$D$18,$B$9:$B$18),0)</f>
        <v>82677.503030303022</v>
      </c>
      <c r="E22" s="92">
        <f t="shared" si="2"/>
        <v>4.9464051104969764E-2</v>
      </c>
      <c r="G22" s="95">
        <f t="shared" si="3"/>
        <v>14</v>
      </c>
      <c r="H22" s="94">
        <v>46109</v>
      </c>
      <c r="I22" s="93">
        <f>IFERROR(FORECAST(G22,$I$9:$I$18,$G$9:$G$18),0)</f>
        <v>20408.466666666667</v>
      </c>
      <c r="J22" s="92">
        <f t="shared" si="4"/>
        <v>5.375355838505258E-2</v>
      </c>
      <c r="L22" s="95">
        <f t="shared" si="5"/>
        <v>14</v>
      </c>
      <c r="M22" s="94">
        <v>46109</v>
      </c>
      <c r="N22" s="93">
        <f>IFERROR(FORECAST(L22,$N$9:$N$18,$L$9:$L$18),0)</f>
        <v>56.527103614047348</v>
      </c>
      <c r="O22" s="92">
        <f t="shared" si="6"/>
        <v>5.1305551771496427E-2</v>
      </c>
    </row>
    <row r="23" spans="2:15" x14ac:dyDescent="0.35">
      <c r="B23" s="95">
        <f t="shared" si="0"/>
        <v>15</v>
      </c>
      <c r="C23" s="94">
        <f t="shared" si="1"/>
        <v>47935</v>
      </c>
      <c r="D23" s="93">
        <f>IFERROR(FORECAST(B23,$D$9:$D$18,$B$9:$B$18),0)</f>
        <v>86574.315151515155</v>
      </c>
      <c r="E23" s="92">
        <f t="shared" si="2"/>
        <v>4.7132677915827648E-2</v>
      </c>
      <c r="G23" s="95">
        <f t="shared" si="3"/>
        <v>15</v>
      </c>
      <c r="H23" s="94">
        <v>46474</v>
      </c>
      <c r="I23" s="93">
        <f>IFERROR(FORECAST(G23,$I$9:$I$18,$G$9:$G$18),0)</f>
        <v>21449.533333333333</v>
      </c>
      <c r="J23" s="92">
        <f t="shared" si="4"/>
        <v>5.1011508295576657E-2</v>
      </c>
      <c r="L23" s="95">
        <f t="shared" si="5"/>
        <v>15</v>
      </c>
      <c r="M23" s="94">
        <v>46474</v>
      </c>
      <c r="N23" s="93">
        <f>IFERROR(FORECAST(L23,$N$9:$N$18,$L$9:$L$18),0)</f>
        <v>59.285725249856604</v>
      </c>
      <c r="O23" s="92">
        <f t="shared" si="6"/>
        <v>4.8801751008585637E-2</v>
      </c>
    </row>
    <row r="24" spans="2:15" x14ac:dyDescent="0.35">
      <c r="B24" s="38"/>
      <c r="C24" s="91"/>
    </row>
    <row r="25" spans="2:15" ht="15" thickBot="1" x14ac:dyDescent="0.4">
      <c r="B25" s="198"/>
      <c r="C25" s="198"/>
      <c r="D25" s="198"/>
      <c r="E25" s="198"/>
      <c r="F25" s="198"/>
      <c r="G25" s="198"/>
      <c r="H25" s="198"/>
      <c r="I25" s="198"/>
      <c r="J25" s="198"/>
      <c r="K25" s="198"/>
      <c r="L25" s="198"/>
      <c r="M25" s="198"/>
      <c r="N25" s="198"/>
      <c r="O25" s="198"/>
    </row>
  </sheetData>
  <mergeCells count="5">
    <mergeCell ref="B7:E7"/>
    <mergeCell ref="G7:J7"/>
    <mergeCell ref="L7:O7"/>
    <mergeCell ref="B1:M1"/>
    <mergeCell ref="N1:O1"/>
  </mergeCells>
  <pageMargins left="0.7" right="0.7" top="0.75" bottom="0.75" header="0.3" footer="0.3"/>
  <pageSetup scale="6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63C1-EA7A-44FD-8076-961055CDA388}">
  <sheetPr>
    <pageSetUpPr fitToPage="1"/>
  </sheetPr>
  <dimension ref="A1:O46"/>
  <sheetViews>
    <sheetView showGridLines="0" topLeftCell="A7" zoomScaleNormal="100" workbookViewId="0">
      <selection activeCell="L16" sqref="L16:L20"/>
    </sheetView>
  </sheetViews>
  <sheetFormatPr defaultRowHeight="14.5" x14ac:dyDescent="0.35"/>
  <cols>
    <col min="1" max="1" width="1.81640625" customWidth="1"/>
    <col min="2" max="2" width="31" bestFit="1" customWidth="1"/>
    <col min="3" max="4" width="8.81640625" bestFit="1" customWidth="1"/>
    <col min="5" max="5" width="9.81640625" bestFit="1" customWidth="1"/>
    <col min="6" max="6" width="8.81640625" bestFit="1" customWidth="1"/>
    <col min="7" max="8" width="8.90625" bestFit="1" customWidth="1"/>
    <col min="9" max="9" width="8.81640625" bestFit="1" customWidth="1"/>
    <col min="10" max="10" width="9.26953125" customWidth="1"/>
    <col min="11" max="11" width="9.54296875" bestFit="1" customWidth="1"/>
    <col min="12" max="12" width="10" bestFit="1" customWidth="1"/>
    <col min="13" max="13" width="17.81640625" customWidth="1"/>
  </cols>
  <sheetData>
    <row r="1" spans="1:15" x14ac:dyDescent="0.35">
      <c r="A1" t="s">
        <v>387</v>
      </c>
      <c r="B1" s="247"/>
      <c r="C1" s="247"/>
      <c r="D1" s="247"/>
      <c r="E1" s="247"/>
      <c r="F1" s="247"/>
      <c r="G1" s="247"/>
      <c r="H1" s="247"/>
      <c r="I1" s="247"/>
      <c r="J1" s="247"/>
      <c r="K1" s="247"/>
      <c r="L1" s="247"/>
      <c r="M1" s="247"/>
      <c r="N1" s="247"/>
      <c r="O1" s="247"/>
    </row>
    <row r="2" spans="1:15" ht="26" x14ac:dyDescent="0.6">
      <c r="B2" s="186" t="s">
        <v>289</v>
      </c>
    </row>
    <row r="3" spans="1:15" ht="18.5" x14ac:dyDescent="0.45">
      <c r="B3" s="188" t="s">
        <v>388</v>
      </c>
    </row>
    <row r="4" spans="1:15" ht="21" x14ac:dyDescent="0.5">
      <c r="B4" s="187" t="s">
        <v>389</v>
      </c>
    </row>
    <row r="5" spans="1:15" ht="18.5" x14ac:dyDescent="0.45">
      <c r="B5" s="188" t="s">
        <v>390</v>
      </c>
    </row>
    <row r="6" spans="1:15" ht="18.5" x14ac:dyDescent="0.45">
      <c r="B6" s="188"/>
    </row>
    <row r="7" spans="1:15" x14ac:dyDescent="0.35">
      <c r="B7" s="247" t="str">
        <f>"Ratio Analysis -"&amp;'Data Sheet'!B1</f>
        <v>Ratio Analysis -HINDUSTAN UNILEVER LTD</v>
      </c>
      <c r="C7" s="247"/>
      <c r="D7" s="247"/>
      <c r="E7" s="247"/>
      <c r="F7" s="247"/>
      <c r="G7" s="247"/>
      <c r="H7" s="247"/>
      <c r="I7" s="247"/>
      <c r="J7" s="247"/>
      <c r="K7" s="247"/>
      <c r="L7" s="247"/>
      <c r="M7" s="247"/>
      <c r="N7" s="247"/>
      <c r="O7" s="247"/>
    </row>
    <row r="8" spans="1:15" x14ac:dyDescent="0.35">
      <c r="B8" s="47" t="s">
        <v>92</v>
      </c>
      <c r="C8" s="48">
        <f>'Data Sheet'!B16</f>
        <v>42825</v>
      </c>
      <c r="D8" s="48">
        <f>'Data Sheet'!C16</f>
        <v>43190</v>
      </c>
      <c r="E8" s="48">
        <f>'Data Sheet'!D16</f>
        <v>43555</v>
      </c>
      <c r="F8" s="48">
        <f>'Data Sheet'!E16</f>
        <v>43921</v>
      </c>
      <c r="G8" s="48">
        <f>'Data Sheet'!F16</f>
        <v>44286</v>
      </c>
      <c r="H8" s="48">
        <f>'Data Sheet'!G16</f>
        <v>44651</v>
      </c>
      <c r="I8" s="48">
        <f>'Data Sheet'!H16</f>
        <v>45016</v>
      </c>
      <c r="J8" s="48">
        <f>'Data Sheet'!I16</f>
        <v>45382</v>
      </c>
      <c r="K8" s="48">
        <f>'Data Sheet'!J16</f>
        <v>45747</v>
      </c>
      <c r="L8" s="48">
        <f>'Data Sheet'!K16</f>
        <v>46112</v>
      </c>
      <c r="M8" s="90" t="s">
        <v>228</v>
      </c>
      <c r="N8" s="71" t="s">
        <v>227</v>
      </c>
      <c r="O8" s="71" t="s">
        <v>58</v>
      </c>
    </row>
    <row r="10" spans="1:15" x14ac:dyDescent="0.35">
      <c r="B10" s="77" t="s">
        <v>226</v>
      </c>
      <c r="C10" s="77"/>
      <c r="D10" s="76">
        <f>IFERROR(HistoricalFS!D12,0)</f>
        <v>7.1859357095470644E-2</v>
      </c>
      <c r="E10" s="76">
        <f>IFERROR(HistoricalFS!E12,0)</f>
        <v>0.1059220706147137</v>
      </c>
      <c r="F10" s="76">
        <f>IFERROR(HistoricalFS!F12,0)</f>
        <v>1.2032561689137689E-2</v>
      </c>
      <c r="G10" s="76">
        <f>IFERROR(HistoricalFS!G12,0)</f>
        <v>0.18211296282331646</v>
      </c>
      <c r="H10" s="76">
        <f>IFERROR(HistoricalFS!H12,0)</f>
        <v>0.11520796121459553</v>
      </c>
      <c r="I10" s="76">
        <f>IFERROR(HistoricalFS!I12,0)</f>
        <v>0.15509285741524614</v>
      </c>
      <c r="J10" s="76">
        <f>IFERROR(HistoricalFS!J12,0)</f>
        <v>2.1723341036645749E-2</v>
      </c>
      <c r="K10" s="76">
        <f>IFERROR(HistoricalFS!K12,0)</f>
        <v>-9.1766834690448773E-3</v>
      </c>
      <c r="L10" s="76">
        <f>IFERROR(HistoricalFS!L12,0)</f>
        <v>5.1200104356900589E-2</v>
      </c>
      <c r="M10" s="76"/>
      <c r="N10" s="76">
        <f>IFERROR(AVERAGE(D10:L10),0)</f>
        <v>7.8441614752997962E-2</v>
      </c>
      <c r="O10" s="76">
        <f>IFERROR(MEDIAN(C10:L10),0)</f>
        <v>7.1859357095470644E-2</v>
      </c>
    </row>
    <row r="11" spans="1:15" x14ac:dyDescent="0.35">
      <c r="B11" t="s">
        <v>225</v>
      </c>
      <c r="D11" s="8">
        <f>IFERROR(HistoricalFS!D23/HistoricalFS!C23-1,0)</f>
        <v>0.1850505689001265</v>
      </c>
      <c r="E11" s="8">
        <f>IFERROR(HistoricalFS!E23/HistoricalFS!D23-1,0)</f>
        <v>0.1841578877183625</v>
      </c>
      <c r="F11" s="8">
        <f>IFERROR(HistoricalFS!F23/HistoricalFS!E23-1,0)</f>
        <v>0.11047297297297298</v>
      </c>
      <c r="G11" s="8">
        <f>IFERROR(HistoricalFS!G23/HistoricalFS!F23-1,0)</f>
        <v>0.1789879322583916</v>
      </c>
      <c r="H11" s="8">
        <f>IFERROR(HistoricalFS!H23/HistoricalFS!G23-1,0)</f>
        <v>0.10588336487183891</v>
      </c>
      <c r="I11" s="8">
        <f>IFERROR(HistoricalFS!I23/HistoricalFS!H23-1,0)</f>
        <v>0.10033444816053505</v>
      </c>
      <c r="J11" s="8">
        <f>IFERROR(HistoricalFS!J23/HistoricalFS!I23-1,0)</f>
        <v>3.6191418675337594E-2</v>
      </c>
      <c r="K11" s="8">
        <f>IFERROR(HistoricalFS!K23/HistoricalFS!J23-1,0)</f>
        <v>2.660481615389898E-3</v>
      </c>
      <c r="L11" s="8">
        <f>IFERROR(HistoricalFS!L23/HistoricalFS!K23-1,0)</f>
        <v>2.3200435433392341E-2</v>
      </c>
      <c r="M11" s="8"/>
      <c r="N11" s="8">
        <f>IFERROR(AVERAGE(D11:L11),0)</f>
        <v>0.10299327895626081</v>
      </c>
      <c r="O11" s="8">
        <f>IFERROR(MEDIAN(C11:L11),0)</f>
        <v>0.10588336487183891</v>
      </c>
    </row>
    <row r="12" spans="1:15" x14ac:dyDescent="0.35">
      <c r="B12" t="s">
        <v>224</v>
      </c>
      <c r="D12" s="8">
        <f>IFERROR(HistoricalFS!D32/HistoricalFS!C32-1,0)</f>
        <v>0.18631632827162603</v>
      </c>
      <c r="E12" s="8">
        <f>IFERROR(HistoricalFS!E32/HistoricalFS!D32-1,0)</f>
        <v>0.19114051488566086</v>
      </c>
      <c r="F12" s="8">
        <f>IFERROR(HistoricalFS!F32/HistoricalFS!E32-1,0)</f>
        <v>5.5421395798116446E-2</v>
      </c>
      <c r="G12" s="8">
        <f>IFERROR(HistoricalFS!G32/HistoricalFS!F32-1,0)</f>
        <v>0.19379933646035918</v>
      </c>
      <c r="H12" s="8">
        <f>IFERROR(HistoricalFS!H32/HistoricalFS!G32-1,0)</f>
        <v>0.11739338763775753</v>
      </c>
      <c r="I12" s="8">
        <f>IFERROR(HistoricalFS!I32/HistoricalFS!H32-1,0)</f>
        <v>0.10600343053173233</v>
      </c>
      <c r="J12" s="8">
        <f>IFERROR(HistoricalFS!J32/HistoricalFS!I32-1,0)</f>
        <v>1.6516749379652529E-2</v>
      </c>
      <c r="K12" s="8">
        <f>IFERROR(HistoricalFS!K32/HistoricalFS!J32-1,0)</f>
        <v>-3.4327561217484259E-3</v>
      </c>
      <c r="L12" s="8">
        <f>IFERROR(HistoricalFS!L32/HistoricalFS!K32-1,0)</f>
        <v>1.7758726270667546E-2</v>
      </c>
      <c r="M12" s="8"/>
      <c r="N12" s="8">
        <f>IFERROR(AVERAGE(D12:L12),0)</f>
        <v>9.7879679234869343E-2</v>
      </c>
      <c r="O12" s="8">
        <f>IFERROR(MEDIAN(C12:L12),0)</f>
        <v>0.10600343053173233</v>
      </c>
    </row>
    <row r="13" spans="1:15" x14ac:dyDescent="0.35">
      <c r="B13" t="s">
        <v>223</v>
      </c>
      <c r="D13" s="8">
        <f>IFERROR(HistoricalFS!D38/HistoricalFS!C38-1,0)</f>
        <v>0.2548918640576725</v>
      </c>
      <c r="E13" s="8">
        <f>IFERROR(HistoricalFS!E38/HistoricalFS!D38-1,0)</f>
        <v>0.17726713171932706</v>
      </c>
      <c r="F13" s="8">
        <f>IFERROR(HistoricalFS!F38/HistoricalFS!E38-1,0)</f>
        <v>0.10352039037992333</v>
      </c>
      <c r="G13" s="8">
        <f>IFERROR(HistoricalFS!G38/HistoricalFS!F38-1,0)</f>
        <v>0.23641819330385339</v>
      </c>
      <c r="H13" s="8">
        <f>IFERROR(HistoricalFS!H38/HistoricalFS!G38-1,0)</f>
        <v>0.10780431728190054</v>
      </c>
      <c r="I13" s="8">
        <f>IFERROR(HistoricalFS!I38/HistoricalFS!H38-1,0)</f>
        <v>0.11783696529459231</v>
      </c>
      <c r="J13" s="8">
        <f>IFERROR(HistoricalFS!J38/HistoricalFS!I38-1,0)</f>
        <v>-2.372356884992266E-2</v>
      </c>
      <c r="K13" s="8">
        <f>IFERROR(HistoricalFS!K38/HistoricalFS!J38-1,0)</f>
        <v>-1.5742208135235081E-2</v>
      </c>
      <c r="L13" s="8">
        <f>IFERROR(HistoricalFS!L38/HistoricalFS!K38-1,0)</f>
        <v>8.8020609703735486E-2</v>
      </c>
      <c r="M13" s="8"/>
      <c r="N13" s="8">
        <f>IFERROR(AVERAGE(D13:L13),0)</f>
        <v>0.11625485497287188</v>
      </c>
      <c r="O13" s="8">
        <f>IFERROR(MEDIAN(C13:L13),0)</f>
        <v>0.10780431728190054</v>
      </c>
    </row>
    <row r="14" spans="1:15" x14ac:dyDescent="0.35">
      <c r="B14" s="73" t="s">
        <v>222</v>
      </c>
      <c r="C14" s="73"/>
      <c r="D14" s="72">
        <f>IFERROR(HistoricalFS!D46/HistoricalFS!C46-1,0)</f>
        <v>0.17636188224423521</v>
      </c>
      <c r="E14" s="72">
        <f>IFERROR(HistoricalFS!E46/HistoricalFS!D46-1,0)</f>
        <v>9.989836928904694E-2</v>
      </c>
      <c r="F14" s="72">
        <f>IFERROR(HistoricalFS!F46/HistoricalFS!E46-1,0)</f>
        <v>0.13631114358664265</v>
      </c>
      <c r="G14" s="72">
        <f>IFERROR(HistoricalFS!G46/HistoricalFS!F46-1,0)</f>
        <v>0.62387640449438186</v>
      </c>
      <c r="H14" s="72">
        <f>IFERROR(HistoricalFS!H46/HistoricalFS!G46-1,0)</f>
        <v>-0.16049382716049365</v>
      </c>
      <c r="I14" s="72">
        <f>IFERROR(HistoricalFS!I46/HistoricalFS!H46-1,0)</f>
        <v>0.14705882352941169</v>
      </c>
      <c r="J14" s="72">
        <f>IFERROR(HistoricalFS!J46/HistoricalFS!I46-1,0)</f>
        <v>7.6923076923076872E-2</v>
      </c>
      <c r="K14" s="72">
        <f>IFERROR(HistoricalFS!K46/HistoricalFS!J46-1,0)</f>
        <v>0.26190476190476186</v>
      </c>
      <c r="L14" s="72">
        <f>IFERROR(HistoricalFS!L46/HistoricalFS!K46-1,0)</f>
        <v>-0.2264150943396227</v>
      </c>
      <c r="M14" s="72"/>
      <c r="N14" s="72">
        <f>IFERROR(AVERAGE(D14:L14),0)</f>
        <v>0.12615839338571563</v>
      </c>
      <c r="O14" s="72">
        <f>IFERROR(MEDIAN(C14:L14),0)</f>
        <v>0.13631114358664265</v>
      </c>
    </row>
    <row r="16" spans="1:15" x14ac:dyDescent="0.35">
      <c r="B16" s="77" t="s">
        <v>221</v>
      </c>
      <c r="C16" s="76">
        <f>IFERROR(HistoricalFS!C18,0)</f>
        <v>0.43685543694590195</v>
      </c>
      <c r="D16" s="76">
        <f>IFERROR(HistoricalFS!D18,0)</f>
        <v>0.45663243775495849</v>
      </c>
      <c r="E16" s="76">
        <f>IFERROR(HistoricalFS!E18,0)</f>
        <v>0.46372424319511574</v>
      </c>
      <c r="F16" s="76">
        <f>IFERROR(HistoricalFS!F18,0)</f>
        <v>0.48183897644722617</v>
      </c>
      <c r="G16" s="76">
        <f>IFERROR(HistoricalFS!G18,0)</f>
        <v>0.46200136089138388</v>
      </c>
      <c r="H16" s="76">
        <f>IFERROR(HistoricalFS!H18,0)</f>
        <v>0.44579186210578498</v>
      </c>
      <c r="I16" s="76">
        <f>IFERROR(HistoricalFS!I18,0)</f>
        <v>0.41596236381644108</v>
      </c>
      <c r="J16" s="76">
        <f>IFERROR(HistoricalFS!J18,0)</f>
        <v>0.45632997285769678</v>
      </c>
      <c r="K16" s="76">
        <f>IFERROR(HistoricalFS!K18,0)</f>
        <v>0.45344703887294546</v>
      </c>
      <c r="L16" s="76">
        <f>IFERROR(HistoricalFS!L18,0)</f>
        <v>0.44726065644971147</v>
      </c>
      <c r="M16" s="77"/>
      <c r="N16" s="76">
        <f>IFERROR(AVERAGE(C16:L16),0)</f>
        <v>0.45198443493371654</v>
      </c>
      <c r="O16" s="76">
        <f>IFERROR(MEDIAN(C16:L16),0)</f>
        <v>0.45488850586532115</v>
      </c>
    </row>
    <row r="17" spans="2:15" x14ac:dyDescent="0.35">
      <c r="B17" t="s">
        <v>220</v>
      </c>
      <c r="C17" s="8">
        <f>IFERROR(HistoricalFS!C24,0)</f>
        <v>0.1908208190097099</v>
      </c>
      <c r="D17" s="8">
        <f>IFERROR(HistoricalFS!D24,0)</f>
        <v>0.21097200731467156</v>
      </c>
      <c r="E17" s="8">
        <f>IFERROR(HistoricalFS!E24,0)</f>
        <v>0.2258967183922666</v>
      </c>
      <c r="F17" s="8">
        <f>IFERROR(HistoricalFS!F24,0)</f>
        <v>0.24786969308498605</v>
      </c>
      <c r="G17" s="8">
        <f>IFERROR(HistoricalFS!G24,0)</f>
        <v>0.24721442544866887</v>
      </c>
      <c r="H17" s="8">
        <f>IFERROR(HistoricalFS!H24,0)</f>
        <v>0.24514738969606834</v>
      </c>
      <c r="I17" s="8">
        <f>IFERROR(HistoricalFS!I24,0)</f>
        <v>0.23352591614394189</v>
      </c>
      <c r="J17" s="8">
        <f>IFERROR(HistoricalFS!J24,0)</f>
        <v>0.23683275171255008</v>
      </c>
      <c r="K17" s="8">
        <f>IFERROR(HistoricalFS!K24,0)</f>
        <v>0.23966214453430734</v>
      </c>
      <c r="L17" s="8">
        <f>IFERROR(HistoricalFS!L24,0)</f>
        <v>0.23327852578023206</v>
      </c>
      <c r="N17" s="8">
        <f>IFERROR(AVERAGE(C17:L17),0)</f>
        <v>0.23112203911174026</v>
      </c>
      <c r="O17" s="8">
        <f>IFERROR(MEDIAN(C17:L17),0)</f>
        <v>0.23517933392824597</v>
      </c>
    </row>
    <row r="18" spans="2:15" x14ac:dyDescent="0.35">
      <c r="B18" t="s">
        <v>219</v>
      </c>
      <c r="C18" s="8">
        <f>IFERROR((HistoricalFS!C23-HistoricalFS!C29)/HistoricalFS!C11,0)</f>
        <v>0.17779386044267534</v>
      </c>
      <c r="D18" s="8">
        <f>IFERROR((HistoricalFS!D23-HistoricalFS!D29)/HistoricalFS!D11,0)</f>
        <v>0.19634266422844282</v>
      </c>
      <c r="E18" s="8">
        <f>IFERROR((HistoricalFS!E23-HistoricalFS!E29)/HistoricalFS!E11,0)</f>
        <v>0.21152378529636226</v>
      </c>
      <c r="F18" s="8">
        <f>IFERROR((HistoricalFS!F23-HistoricalFS!F29)/HistoricalFS!F11,0)</f>
        <v>0.22268305557650253</v>
      </c>
      <c r="G18" s="8">
        <f>IFERROR((HistoricalFS!G23-HistoricalFS!G29)/HistoricalFS!G11,0)</f>
        <v>0.22437696691332823</v>
      </c>
      <c r="H18" s="8">
        <f>IFERROR((HistoricalFS!H23-HistoricalFS!H29)/HistoricalFS!H11,0)</f>
        <v>0.22434504061320215</v>
      </c>
      <c r="I18" s="8">
        <f>IFERROR((HistoricalFS!I23-HistoricalFS!I29)/HistoricalFS!I11,0)</f>
        <v>0.21475734565863322</v>
      </c>
      <c r="J18" s="8">
        <f>IFERROR((HistoricalFS!J23-HistoricalFS!J29)/HistoricalFS!J11,0)</f>
        <v>0.21718689414501746</v>
      </c>
      <c r="K18" s="8">
        <f>IFERROR((HistoricalFS!K23-HistoricalFS!K29)/HistoricalFS!K11,0)</f>
        <v>0.21923102008870338</v>
      </c>
      <c r="L18" s="8">
        <f>IFERROR((HistoricalFS!L23-HistoricalFS!L29)/HistoricalFS!L11,0)</f>
        <v>0.21260160079419246</v>
      </c>
      <c r="N18" s="8">
        <f>IFERROR(AVERAGE(C18:L18),0)</f>
        <v>0.21208422337570595</v>
      </c>
      <c r="O18" s="8">
        <f>IFERROR(MEDIAN(C18:L18),0)</f>
        <v>0.21597211990182535</v>
      </c>
    </row>
    <row r="19" spans="2:15" x14ac:dyDescent="0.35">
      <c r="B19" t="s">
        <v>218</v>
      </c>
      <c r="C19" s="8">
        <f>IFERROR(HistoricalFS!C33,0)</f>
        <v>0.17673843555877208</v>
      </c>
      <c r="D19" s="8">
        <f>IFERROR(HistoricalFS!D33,0)</f>
        <v>0.19561119707413138</v>
      </c>
      <c r="E19" s="8">
        <f>IFERROR(HistoricalFS!E33,0)</f>
        <v>0.21068430424828288</v>
      </c>
      <c r="F19" s="8">
        <f>IFERROR(HistoricalFS!F33,0)</f>
        <v>0.21971696453258929</v>
      </c>
      <c r="G19" s="8">
        <f>IFERROR(HistoricalFS!G33,0)</f>
        <v>0.22188908735221571</v>
      </c>
      <c r="H19" s="8">
        <f>IFERROR(HistoricalFS!H33,0)</f>
        <v>0.22232391412119132</v>
      </c>
      <c r="I19" s="8">
        <f>IFERROR(HistoricalFS!I33,0)</f>
        <v>0.21287553648068669</v>
      </c>
      <c r="J19" s="8">
        <f>IFERROR(HistoricalFS!J33,0)</f>
        <v>0.2117907457670932</v>
      </c>
      <c r="K19" s="8">
        <f>IFERROR(HistoricalFS!K33,0)</f>
        <v>0.21301852334985652</v>
      </c>
      <c r="L19" s="8">
        <f>IFERROR(HistoricalFS!L33,0)</f>
        <v>0.20624185642489298</v>
      </c>
      <c r="N19" s="8">
        <f>IFERROR(AVERAGE(C19:L19),0)</f>
        <v>0.20908905649097118</v>
      </c>
      <c r="O19" s="8">
        <f>IFERROR(MEDIAN(C19:L19),0)</f>
        <v>0.21233314112388996</v>
      </c>
    </row>
    <row r="20" spans="2:15" x14ac:dyDescent="0.35">
      <c r="B20" s="73" t="s">
        <v>217</v>
      </c>
      <c r="C20" s="72">
        <f>IFERROR(HistoricalFS!C39,0)</f>
        <v>0.11712200711657922</v>
      </c>
      <c r="D20" s="72">
        <f>IFERROR(HistoricalFS!D39,0)</f>
        <v>0.1371219580813054</v>
      </c>
      <c r="E20" s="72">
        <f>IFERROR(HistoricalFS!E39,0)</f>
        <v>0.14596794708725516</v>
      </c>
      <c r="F20" s="72">
        <f>IFERROR(HistoricalFS!F39,0)</f>
        <v>0.15916346178015736</v>
      </c>
      <c r="G20" s="72">
        <f>IFERROR(HistoricalFS!G39,0)</f>
        <v>0.16647529131581185</v>
      </c>
      <c r="H20" s="72">
        <f>IFERROR(HistoricalFS!H39,0)</f>
        <v>0.16537009495481067</v>
      </c>
      <c r="I20" s="72">
        <f>IFERROR(HistoricalFS!I39,0)</f>
        <v>0.16003631561571477</v>
      </c>
      <c r="J20" s="72">
        <f>IFERROR(HistoricalFS!J39,0)</f>
        <v>0.15291779759596744</v>
      </c>
      <c r="K20" s="72">
        <f>IFERROR(HistoricalFS!K39,0)</f>
        <v>0.15190451343595096</v>
      </c>
      <c r="L20" s="72">
        <f>IFERROR(HistoricalFS!L39,0)</f>
        <v>0.15722529006638952</v>
      </c>
      <c r="M20" s="73"/>
      <c r="N20" s="72">
        <f>IFERROR(AVERAGE(C20:L20),0)</f>
        <v>0.15133046770499423</v>
      </c>
      <c r="O20" s="72">
        <f>IFERROR(MEDIAN(C20:L20),0)</f>
        <v>0.15507154383117849</v>
      </c>
    </row>
    <row r="22" spans="2:15" x14ac:dyDescent="0.35">
      <c r="B22" s="77" t="s">
        <v>216</v>
      </c>
      <c r="C22" s="76">
        <f>IFERROR(HistoricalFS!C21,0)</f>
        <v>0.24603461793619202</v>
      </c>
      <c r="D22" s="76">
        <f>IFERROR(HistoricalFS!D21,0)</f>
        <v>0.24566043044028696</v>
      </c>
      <c r="E22" s="76">
        <f>IFERROR(HistoricalFS!E21,0)</f>
        <v>0.23782752480284916</v>
      </c>
      <c r="F22" s="76">
        <f>IFERROR(HistoricalFS!F21,0)</f>
        <v>0.23396928336224015</v>
      </c>
      <c r="G22" s="76">
        <f>IFERROR(HistoricalFS!G21,0)</f>
        <v>0.21478693544271499</v>
      </c>
      <c r="H22" s="76">
        <f>IFERROR(HistoricalFS!H21,0)</f>
        <v>0.20064447240971667</v>
      </c>
      <c r="I22" s="76">
        <f>IFERROR(HistoricalFS!I21,0)</f>
        <v>0.18243644767249917</v>
      </c>
      <c r="J22" s="76">
        <f>IFERROR(HistoricalFS!J21,0)</f>
        <v>0.21949722114514669</v>
      </c>
      <c r="K22" s="76">
        <f>IFERROR(HistoricalFS!K21,0)</f>
        <v>0.21378489433863815</v>
      </c>
      <c r="L22" s="76">
        <f>IFERROR(HistoricalFS!L21,0)</f>
        <v>0.21398213066947944</v>
      </c>
      <c r="M22" s="77"/>
      <c r="N22" s="76">
        <f>IFERROR(AVERAGE(C22:L22),0)</f>
        <v>0.22086239582197634</v>
      </c>
      <c r="O22" s="76">
        <f>IFERROR(MEDIAN(C22:L22),0)</f>
        <v>0.21714207829393084</v>
      </c>
    </row>
    <row r="23" spans="2:15" x14ac:dyDescent="0.35">
      <c r="B23" t="s">
        <v>215</v>
      </c>
      <c r="C23" s="8">
        <f>IFERROR(HistoricalFS!C30,0)</f>
        <v>1.3026958567034558E-2</v>
      </c>
      <c r="D23" s="8">
        <f>IFERROR(HistoricalFS!D30,0)</f>
        <v>1.4629343086228723E-2</v>
      </c>
      <c r="E23" s="8">
        <f>IFERROR(HistoricalFS!E30,0)</f>
        <v>1.437293309590435E-2</v>
      </c>
      <c r="F23" s="8">
        <f>IFERROR(HistoricalFS!F30,0)</f>
        <v>2.5186637508483524E-2</v>
      </c>
      <c r="G23" s="8">
        <f>IFERROR(HistoricalFS!G30,0)</f>
        <v>2.2837458535340648E-2</v>
      </c>
      <c r="H23" s="8">
        <f>IFERROR(HistoricalFS!H30,0)</f>
        <v>2.0802349082866187E-2</v>
      </c>
      <c r="I23" s="8">
        <f>IFERROR(HistoricalFS!I30,0)</f>
        <v>1.8768570485308684E-2</v>
      </c>
      <c r="J23" s="8">
        <f>IFERROR(HistoricalFS!J30,0)</f>
        <v>1.9645857567532635E-2</v>
      </c>
      <c r="K23" s="8">
        <f>IFERROR(HistoricalFS!K30,0)</f>
        <v>2.0431124445603965E-2</v>
      </c>
      <c r="L23" s="8">
        <f>IFERROR(HistoricalFS!L30,0)</f>
        <v>2.0676924986039586E-2</v>
      </c>
      <c r="N23" s="8">
        <f>IFERROR(AVERAGE(C23:L23),0)</f>
        <v>1.9037815736034289E-2</v>
      </c>
      <c r="O23" s="8">
        <f>IFERROR(MEDIAN(C23:L23),0)</f>
        <v>2.00384910065683E-2</v>
      </c>
    </row>
    <row r="24" spans="2:15" x14ac:dyDescent="0.35">
      <c r="B24" s="73" t="s">
        <v>214</v>
      </c>
      <c r="C24" s="89">
        <f t="shared" ref="C24:L24" si="0">C18</f>
        <v>0.17779386044267534</v>
      </c>
      <c r="D24" s="89">
        <f t="shared" si="0"/>
        <v>0.19634266422844282</v>
      </c>
      <c r="E24" s="89">
        <f t="shared" si="0"/>
        <v>0.21152378529636226</v>
      </c>
      <c r="F24" s="89">
        <f t="shared" si="0"/>
        <v>0.22268305557650253</v>
      </c>
      <c r="G24" s="89">
        <f t="shared" si="0"/>
        <v>0.22437696691332823</v>
      </c>
      <c r="H24" s="89">
        <f t="shared" si="0"/>
        <v>0.22434504061320215</v>
      </c>
      <c r="I24" s="89">
        <f t="shared" si="0"/>
        <v>0.21475734565863322</v>
      </c>
      <c r="J24" s="89">
        <f t="shared" si="0"/>
        <v>0.21718689414501746</v>
      </c>
      <c r="K24" s="89">
        <f t="shared" si="0"/>
        <v>0.21923102008870338</v>
      </c>
      <c r="L24" s="89">
        <f t="shared" si="0"/>
        <v>0.21260160079419246</v>
      </c>
      <c r="M24" s="73"/>
      <c r="N24" s="72">
        <f>IFERROR(AVERAGE(C24:L24),0)</f>
        <v>0.21208422337570595</v>
      </c>
      <c r="O24" s="72">
        <f>IFERROR(MEDIAN(C24:L24),0)</f>
        <v>0.21597211990182535</v>
      </c>
    </row>
    <row r="26" spans="2:15" x14ac:dyDescent="0.35">
      <c r="B26" s="77" t="s">
        <v>213</v>
      </c>
      <c r="C26" s="76">
        <f>IFERROR((HistoricalFS!C23-HistoricalFS!C29)/SUM(HistoricalFS!C54:C56),0)</f>
        <v>0.83976641504059246</v>
      </c>
      <c r="D26" s="76">
        <f>IFERROR((HistoricalFS!D23-HistoricalFS!D29)/SUM(HistoricalFS!D54:D56),0)</f>
        <v>0.95852218101909081</v>
      </c>
      <c r="E26" s="76">
        <f>IFERROR((HistoricalFS!E23-HistoricalFS!E29)/SUM(HistoricalFS!E54:E56),0)</f>
        <v>1.0438111975897564</v>
      </c>
      <c r="F26" s="76">
        <f>IFERROR((HistoricalFS!F23-HistoricalFS!F29)/SUM(HistoricalFS!F54:F56),0)</f>
        <v>1.0765585125774699</v>
      </c>
      <c r="G26" s="76">
        <f>IFERROR((HistoricalFS!G23-HistoricalFS!G29)/SUM(HistoricalFS!G54:G56),0)</f>
        <v>0.22133657758946176</v>
      </c>
      <c r="H26" s="76">
        <f>IFERROR((HistoricalFS!H23-HistoricalFS!H29)/SUM(HistoricalFS!H54:H56),0)</f>
        <v>0.23483155037521955</v>
      </c>
      <c r="I26" s="76">
        <f>IFERROR((HistoricalFS!I23-HistoricalFS!I29)/SUM(HistoricalFS!I54:I56),0)</f>
        <v>0.25250858839741475</v>
      </c>
      <c r="J26" s="76">
        <f>IFERROR((HistoricalFS!J23-HistoricalFS!J29)/SUM(HistoricalFS!J54:J56),0)</f>
        <v>0.25507570870175705</v>
      </c>
      <c r="K26" s="76">
        <f>IFERROR((HistoricalFS!K23-HistoricalFS!K29)/SUM(HistoricalFS!K54:K56),0)</f>
        <v>0.26336924583741428</v>
      </c>
      <c r="L26" s="76">
        <f>IFERROR((HistoricalFS!L23-HistoricalFS!L29)/SUM(HistoricalFS!L54:L56),0)</f>
        <v>0.27293546010315234</v>
      </c>
      <c r="M26" s="77"/>
      <c r="N26" s="76">
        <f>IFERROR(AVERAGE(C26:L26),0)</f>
        <v>0.54187154372313295</v>
      </c>
      <c r="O26" s="76">
        <f>IFERROR(MEDIAN(C26:L26),0)</f>
        <v>0.26815235297028328</v>
      </c>
    </row>
    <row r="27" spans="2:15" x14ac:dyDescent="0.35">
      <c r="B27" t="s">
        <v>212</v>
      </c>
      <c r="C27" s="8">
        <f>IFERROR(HistoricalFS!C49,0)</f>
        <v>5.4582904222451045E-2</v>
      </c>
      <c r="D27" s="8">
        <f>IFERROR(HistoricalFS!D49,0)</f>
        <v>0.11366434140336479</v>
      </c>
      <c r="E27" s="8">
        <f>IFERROR(HistoricalFS!E49,0)</f>
        <v>0.17183687696061345</v>
      </c>
      <c r="F27" s="8">
        <f>IFERROR(HistoricalFS!F49,0)</f>
        <v>0.14718888186986734</v>
      </c>
      <c r="G27" s="8">
        <f>IFERROR(HistoricalFS!G49,0)</f>
        <v>0</v>
      </c>
      <c r="H27" s="8">
        <f>IFERROR(HistoricalFS!H49,0)</f>
        <v>7.8750144125446675E-2</v>
      </c>
      <c r="I27" s="8">
        <f>IFERROR(HistoricalFS!I49,0)</f>
        <v>5.4667354306343507E-2</v>
      </c>
      <c r="J27" s="8">
        <f>IFERROR(HistoricalFS!J49,0)</f>
        <v>0</v>
      </c>
      <c r="K27" s="8">
        <f>IFERROR(HistoricalFS!K49,0)</f>
        <v>0</v>
      </c>
      <c r="L27" s="8">
        <f>IFERROR(HistoricalFS!L49,0)</f>
        <v>4.9427782162588807E-2</v>
      </c>
      <c r="N27" s="8">
        <f>IFERROR(AVERAGE(C27:L27),0)</f>
        <v>6.7011828505067567E-2</v>
      </c>
      <c r="O27" s="8">
        <f>IFERROR(MEDIAN(C27:L27),0)</f>
        <v>5.4625129264397276E-2</v>
      </c>
    </row>
    <row r="28" spans="2:15" x14ac:dyDescent="0.35">
      <c r="B28" t="s">
        <v>211</v>
      </c>
      <c r="C28" s="8">
        <f>IFERROR(HistoricalFS!C38/SUM(HistoricalFS!C54:C55),0)</f>
        <v>0.57591933570581255</v>
      </c>
      <c r="D28" s="8">
        <f>IFERROR(HistoricalFS!D38/SUM(HistoricalFS!D54:D55),0)</f>
        <v>0.6694135420958659</v>
      </c>
      <c r="E28" s="8">
        <f>IFERROR(HistoricalFS!E38/SUM(HistoricalFS!E54:E55),0)</f>
        <v>0.72937587390364811</v>
      </c>
      <c r="F28" s="8">
        <f>IFERROR(HistoricalFS!F38/SUM(HistoricalFS!F54:F55),0)</f>
        <v>0.76947381212784061</v>
      </c>
      <c r="G28" s="8">
        <f>IFERROR(HistoricalFS!G38/SUM(HistoricalFS!G54:G55),0)</f>
        <v>0.16421949070772329</v>
      </c>
      <c r="H28" s="8">
        <f>IFERROR(HistoricalFS!H38/SUM(HistoricalFS!H54:H55),0)</f>
        <v>0.1767799270296162</v>
      </c>
      <c r="I28" s="8">
        <f>IFERROR(HistoricalFS!I38/SUM(HistoricalFS!I54:I55),0)</f>
        <v>0.19272821246819338</v>
      </c>
      <c r="J28" s="8">
        <f>IFERROR(HistoricalFS!J38/SUM(HistoricalFS!J54:J55),0)</f>
        <v>0.18479831309305322</v>
      </c>
      <c r="K28" s="8">
        <f>IFERROR(HistoricalFS!K38/SUM(HistoricalFS!K54:K55),0)</f>
        <v>0.18857536132140398</v>
      </c>
      <c r="L28" s="8">
        <f>IFERROR(HistoricalFS!L38/SUM(HistoricalFS!L54:L55),0)</f>
        <v>0.20796487412544368</v>
      </c>
      <c r="N28" s="8">
        <f>IFERROR(AVERAGE(C28:L28),0)</f>
        <v>0.38592487425786015</v>
      </c>
      <c r="O28" s="8">
        <f>IFERROR(MEDIAN(C28:L28),0)</f>
        <v>0.20034654329681853</v>
      </c>
    </row>
    <row r="29" spans="2:15" x14ac:dyDescent="0.35">
      <c r="B29" t="s">
        <v>210</v>
      </c>
      <c r="C29" s="8">
        <f t="shared" ref="C29:L29" si="1">IFERROR(C27*C28,0)</f>
        <v>3.1435349940687994E-2</v>
      </c>
      <c r="D29" s="8">
        <f t="shared" si="1"/>
        <v>7.6088449388820215E-2</v>
      </c>
      <c r="E29" s="8">
        <f t="shared" si="1"/>
        <v>0.12533367230202108</v>
      </c>
      <c r="F29" s="8">
        <f t="shared" si="1"/>
        <v>0.11325799003524123</v>
      </c>
      <c r="G29" s="8">
        <f t="shared" si="1"/>
        <v>0</v>
      </c>
      <c r="H29" s="8">
        <f t="shared" si="1"/>
        <v>1.3921444732068222E-2</v>
      </c>
      <c r="I29" s="8">
        <f t="shared" si="1"/>
        <v>1.0535941475826979E-2</v>
      </c>
      <c r="J29" s="8">
        <f t="shared" si="1"/>
        <v>0</v>
      </c>
      <c r="K29" s="8">
        <f t="shared" si="1"/>
        <v>0</v>
      </c>
      <c r="L29" s="8">
        <f t="shared" si="1"/>
        <v>1.0279242495742632E-2</v>
      </c>
      <c r="N29" s="8">
        <f>IFERROR(AVERAGE(C29:L29),0)</f>
        <v>3.8085209037040837E-2</v>
      </c>
      <c r="O29" s="8">
        <f>IFERROR(MEDIAN(C29:L29),0)</f>
        <v>1.2228693103947599E-2</v>
      </c>
    </row>
    <row r="30" spans="2:15" x14ac:dyDescent="0.35">
      <c r="B30" s="73" t="s">
        <v>209</v>
      </c>
      <c r="C30" s="86">
        <f>IFERROR((HistoricalFS!C23-HistoricalFS!C29)/HistoricalFS!C26,0)</f>
        <v>168.45714285714286</v>
      </c>
      <c r="D30" s="86">
        <f>IFERROR((HistoricalFS!D23-HistoricalFS!D29)/HistoricalFS!D26,0)</f>
        <v>268.42307692307691</v>
      </c>
      <c r="E30" s="86">
        <f>IFERROR((HistoricalFS!E23-HistoricalFS!E29)/HistoricalFS!E26,0)</f>
        <v>251.96969696969697</v>
      </c>
      <c r="F30" s="86">
        <f>IFERROR((HistoricalFS!F23-HistoricalFS!F29)/HistoricalFS!F26,0)</f>
        <v>75.076271186440678</v>
      </c>
      <c r="G30" s="86">
        <f>IFERROR((HistoricalFS!G23-HistoricalFS!G29)/HistoricalFS!G26,0)</f>
        <v>90.188034188034194</v>
      </c>
      <c r="H30" s="86">
        <f>IFERROR((HistoricalFS!H23-HistoricalFS!H29)/HistoricalFS!H26,0)</f>
        <v>111</v>
      </c>
      <c r="I30" s="86">
        <f>IFERROR((HistoricalFS!I23-HistoricalFS!I29)/HistoricalFS!I26,0)</f>
        <v>114.12280701754386</v>
      </c>
      <c r="J30" s="86">
        <f>IFERROR((HistoricalFS!J23-HistoricalFS!J29)/HistoricalFS!J26,0)</f>
        <v>40.248502994011979</v>
      </c>
      <c r="K30" s="86">
        <f>IFERROR((HistoricalFS!K23-HistoricalFS!K29)/HistoricalFS!K26,0)</f>
        <v>35.288713910761153</v>
      </c>
      <c r="L30" s="86">
        <f>IFERROR((HistoricalFS!L23-HistoricalFS!L29)/HistoricalFS!L26,0)</f>
        <v>33.429268292682927</v>
      </c>
      <c r="M30" s="73"/>
      <c r="N30" s="86">
        <f>IFERROR(AVERAGE(C30:L30),0)</f>
        <v>118.82035143393914</v>
      </c>
      <c r="O30" s="86">
        <f>IFERROR(MEDIAN(C30:L30),0)</f>
        <v>100.59401709401709</v>
      </c>
    </row>
    <row r="32" spans="2:15" x14ac:dyDescent="0.35">
      <c r="B32" s="77" t="s">
        <v>208</v>
      </c>
      <c r="C32" s="88">
        <f>IFERROR(HistoricalFS!C11/HistoricalFS!C66,0)</f>
        <v>30.56405529953917</v>
      </c>
      <c r="D32" s="88">
        <f>IFERROR(HistoricalFS!D11/HistoricalFS!D66,0)</f>
        <v>27.133587786259543</v>
      </c>
      <c r="E32" s="88">
        <f>IFERROR(HistoricalFS!E11/HistoricalFS!E66,0)</f>
        <v>21.646475770925111</v>
      </c>
      <c r="F32" s="88">
        <f>IFERROR(HistoricalFS!F11/HistoricalFS!F66,0)</f>
        <v>34.624020887728463</v>
      </c>
      <c r="G32" s="88">
        <f>IFERROR(HistoricalFS!G11/HistoricalFS!G66,0)</f>
        <v>26.750853242320819</v>
      </c>
      <c r="H32" s="88">
        <f>IFERROR(HistoricalFS!H11/HistoricalFS!H66,0)</f>
        <v>23.455277280858677</v>
      </c>
      <c r="I32" s="88">
        <f>IFERROR(HistoricalFS!I11/HistoricalFS!I66,0)</f>
        <v>19.67521922702176</v>
      </c>
      <c r="J32" s="88">
        <f>IFERROR(HistoricalFS!J11/HistoricalFS!J66,0)</f>
        <v>20.652652652652652</v>
      </c>
      <c r="K32" s="88">
        <f>IFERROR(HistoricalFS!K11/HistoricalFS!K66,0)</f>
        <v>16.058654097931395</v>
      </c>
      <c r="L32" s="88">
        <f>IFERROR(HistoricalFS!L11/HistoricalFS!L66,0)</f>
        <v>19.079017460787217</v>
      </c>
      <c r="M32" s="77"/>
      <c r="N32" s="88">
        <f>IFERROR(AVERAGE(C32:L32),0)</f>
        <v>23.963981370602479</v>
      </c>
      <c r="O32" s="88">
        <f>IFERROR(MEDIAN(C32:L32),0)</f>
        <v>22.550876525891894</v>
      </c>
    </row>
    <row r="33" spans="2:15" x14ac:dyDescent="0.35">
      <c r="B33" t="s">
        <v>207</v>
      </c>
      <c r="C33" s="87">
        <f>IFERROR(HistoricalFS!C11/HistoricalFS!C57,0)</f>
        <v>3.818307426597582</v>
      </c>
      <c r="D33" s="87">
        <f>IFERROR(HistoricalFS!D11/HistoricalFS!D57,0)</f>
        <v>3.3593233153766184</v>
      </c>
      <c r="E33" s="87">
        <f>IFERROR(HistoricalFS!E11/HistoricalFS!E57,0)</f>
        <v>3.6865797617931162</v>
      </c>
      <c r="F33" s="87">
        <f>IFERROR(HistoricalFS!F11/HistoricalFS!F57,0)</f>
        <v>3.3363804092586382</v>
      </c>
      <c r="G33" s="87">
        <f>IFERROR(HistoricalFS!G11/HistoricalFS!G57,0)</f>
        <v>2.2324124181144973</v>
      </c>
      <c r="H33" s="87">
        <f>IFERROR(HistoricalFS!H11/HistoricalFS!H57,0)</f>
        <v>2.5706303303597688</v>
      </c>
      <c r="I33" s="87">
        <f>IFERROR(HistoricalFS!I11/HistoricalFS!I57,0)</f>
        <v>2.8106151990349817</v>
      </c>
      <c r="J33" s="87">
        <f>IFERROR(HistoricalFS!J11/HistoricalFS!J57,0)</f>
        <v>2.4002792104548805</v>
      </c>
      <c r="K33" s="87">
        <f>IFERROR(HistoricalFS!K11/HistoricalFS!K57,0)</f>
        <v>2.1284836705653696</v>
      </c>
      <c r="L33" s="87">
        <f>IFERROR(HistoricalFS!L11/HistoricalFS!L57,0)</f>
        <v>2.1838013617424883</v>
      </c>
      <c r="N33" s="87">
        <f>IFERROR(AVERAGE(C33:L33),0)</f>
        <v>2.8526813103297939</v>
      </c>
      <c r="O33" s="87">
        <f>IFERROR(MEDIAN(C33:L33),0)</f>
        <v>2.690622764697375</v>
      </c>
    </row>
    <row r="34" spans="2:15" x14ac:dyDescent="0.35">
      <c r="B34" t="s">
        <v>206</v>
      </c>
      <c r="C34" s="87">
        <f>IFERROR(HistoricalFS!C11/HistoricalFS!C67,0)</f>
        <v>13.050767414403778</v>
      </c>
      <c r="D34" s="87">
        <f>IFERROR(HistoricalFS!D11/HistoricalFS!D67,0)</f>
        <v>14.144448865897333</v>
      </c>
      <c r="E34" s="87">
        <f>IFERROR(HistoricalFS!E11/HistoricalFS!E67,0)</f>
        <v>15.271950271950272</v>
      </c>
      <c r="F34" s="87">
        <f>IFERROR(HistoricalFS!F11/HistoricalFS!F67,0)</f>
        <v>14.377665341525118</v>
      </c>
      <c r="G34" s="87">
        <f>IFERROR(HistoricalFS!G11/HistoricalFS!G67,0)</f>
        <v>13.139983235540655</v>
      </c>
      <c r="H34" s="87">
        <f>IFERROR(HistoricalFS!H11/HistoricalFS!H67,0)</f>
        <v>12.80419921875</v>
      </c>
      <c r="I34" s="87">
        <f>IFERROR(HistoricalFS!I11/HistoricalFS!I67,0)</f>
        <v>14.250764525993883</v>
      </c>
      <c r="J34" s="87">
        <f>IFERROR(HistoricalFS!J11/HistoricalFS!J67,0)</f>
        <v>15.389358528095475</v>
      </c>
      <c r="K34" s="87">
        <f>IFERROR(HistoricalFS!K11/HistoricalFS!K67,0)</f>
        <v>13.890826727066818</v>
      </c>
      <c r="L34" s="87">
        <f>IFERROR(HistoricalFS!L11/HistoricalFS!L67,0)</f>
        <v>13.461683023595739</v>
      </c>
      <c r="N34" s="87">
        <f>IFERROR(AVERAGE(C34:L34),0)</f>
        <v>13.978164715281906</v>
      </c>
      <c r="O34" s="87">
        <f>IFERROR(MEDIAN(C34:L34),0)</f>
        <v>14.017637796482076</v>
      </c>
    </row>
    <row r="35" spans="2:15" x14ac:dyDescent="0.35">
      <c r="B35" t="s">
        <v>205</v>
      </c>
      <c r="C35" s="87">
        <f>IFERROR(HistoricalFS!C11/HistoricalFS!C60,0)</f>
        <v>7.5044127630685677</v>
      </c>
      <c r="D35" s="87">
        <f>IFERROR(HistoricalFS!D11/HistoricalFS!D60,0)</f>
        <v>7.8500441696113077</v>
      </c>
      <c r="E35" s="87">
        <f>IFERROR(HistoricalFS!E11/HistoricalFS!E60,0)</f>
        <v>8.3372216330858961</v>
      </c>
      <c r="F35" s="87">
        <f>IFERROR(HistoricalFS!F11/HistoricalFS!F60,0)</f>
        <v>7.2609965322139081</v>
      </c>
      <c r="G35" s="87">
        <f>IFERROR(HistoricalFS!G11/HistoricalFS!G60,0)</f>
        <v>0.91417685593763975</v>
      </c>
      <c r="H35" s="87">
        <f>IFERROR(HistoricalFS!H11/HistoricalFS!H60,0)</f>
        <v>1.018903114254075</v>
      </c>
      <c r="I35" s="87">
        <f>IFERROR(HistoricalFS!I11/HistoricalFS!I60,0)</f>
        <v>1.1500056949770303</v>
      </c>
      <c r="J35" s="87">
        <f>IFERROR(HistoricalFS!J11/HistoricalFS!J60,0)</f>
        <v>1.1516820482286394</v>
      </c>
      <c r="K35" s="87">
        <f>IFERROR(HistoricalFS!K11/HistoricalFS!K60,0)</f>
        <v>1.1287015735713628</v>
      </c>
      <c r="L35" s="87">
        <f>IFERROR(HistoricalFS!L11/HistoricalFS!L60,0)</f>
        <v>1.1225882844605419</v>
      </c>
      <c r="N35" s="87">
        <f>IFERROR(AVERAGE(C35:L35),0)</f>
        <v>3.7438732669408963</v>
      </c>
      <c r="O35" s="87">
        <f>IFERROR(MEDIAN(C35:L35),0)</f>
        <v>1.1508438716028349</v>
      </c>
    </row>
    <row r="36" spans="2:15" x14ac:dyDescent="0.35">
      <c r="B36" s="73" t="s">
        <v>204</v>
      </c>
      <c r="C36" s="86">
        <f>IFERROR(HistoricalFS!C11/SUM(HistoricalFS!C54:C55),0)</f>
        <v>4.9172597864768681</v>
      </c>
      <c r="D36" s="86">
        <f>IFERROR(HistoricalFS!D11/SUM(HistoricalFS!D54:D55),0)</f>
        <v>4.8818843565444308</v>
      </c>
      <c r="E36" s="86">
        <f>IFERROR(HistoricalFS!E11/SUM(HistoricalFS!E54:E55),0)</f>
        <v>4.9968221685521801</v>
      </c>
      <c r="F36" s="86">
        <f>IFERROR(HistoricalFS!F11/SUM(HistoricalFS!F54:F55),0)</f>
        <v>4.8344877870944218</v>
      </c>
      <c r="G36" s="86">
        <f>IFERROR(HistoricalFS!G11/SUM(HistoricalFS!G54:G55),0)</f>
        <v>0.98644963711876499</v>
      </c>
      <c r="H36" s="86">
        <f>IFERROR(HistoricalFS!H11/SUM(HistoricalFS!H54:H55),0)</f>
        <v>1.0689957399971464</v>
      </c>
      <c r="I36" s="86">
        <f>IFERROR(HistoricalFS!I11/SUM(HistoricalFS!I54:I55),0)</f>
        <v>1.2042779898218829</v>
      </c>
      <c r="J36" s="86">
        <f>IFERROR(HistoricalFS!J11/SUM(HistoricalFS!J54:J55),0)</f>
        <v>1.2084813932601819</v>
      </c>
      <c r="K36" s="86">
        <f>IFERROR(HistoricalFS!K11/SUM(HistoricalFS!K54:K55),0)</f>
        <v>1.2414072304764989</v>
      </c>
      <c r="L36" s="86">
        <f>IFERROR(HistoricalFS!L11/SUM(HistoricalFS!L54:L55),0)</f>
        <v>1.3227189724860995</v>
      </c>
      <c r="M36" s="73"/>
      <c r="N36" s="86">
        <f>IFERROR(AVERAGE(C36:L36),0)</f>
        <v>2.6662785061828473</v>
      </c>
      <c r="O36" s="86">
        <f>IFERROR(MEDIAN(C36:L36),0)</f>
        <v>1.2820631014812993</v>
      </c>
    </row>
    <row r="37" spans="2:15" x14ac:dyDescent="0.35">
      <c r="B37" s="85" t="s">
        <v>56</v>
      </c>
    </row>
    <row r="38" spans="2:15" x14ac:dyDescent="0.35">
      <c r="B38" s="79" t="s">
        <v>203</v>
      </c>
      <c r="C38" s="84">
        <f t="shared" ref="C38:L38" si="2">IFERROR(365/C32,0)</f>
        <v>11.942132561365419</v>
      </c>
      <c r="D38" s="84">
        <f t="shared" si="2"/>
        <v>13.4519623013082</v>
      </c>
      <c r="E38" s="84">
        <f t="shared" si="2"/>
        <v>16.861867209361485</v>
      </c>
      <c r="F38" s="84">
        <f t="shared" si="2"/>
        <v>10.541814342809742</v>
      </c>
      <c r="G38" s="84">
        <f t="shared" si="2"/>
        <v>13.644424598111764</v>
      </c>
      <c r="H38" s="84">
        <f t="shared" si="2"/>
        <v>15.561529954619989</v>
      </c>
      <c r="I38" s="84">
        <f t="shared" si="2"/>
        <v>18.551254539451964</v>
      </c>
      <c r="J38" s="84">
        <f t="shared" si="2"/>
        <v>17.673274525009695</v>
      </c>
      <c r="K38" s="84">
        <f t="shared" si="2"/>
        <v>22.729177537177147</v>
      </c>
      <c r="L38" s="83">
        <f t="shared" si="2"/>
        <v>19.13096419929267</v>
      </c>
      <c r="M38" s="77"/>
      <c r="N38" s="83">
        <f>IFERROR(AVERAGE(C38:L38),0)</f>
        <v>16.008840176850807</v>
      </c>
      <c r="O38" s="83">
        <f>IFERROR(MEDIAN(C38:L38),0)</f>
        <v>16.211698581990738</v>
      </c>
    </row>
    <row r="39" spans="2:15" x14ac:dyDescent="0.35">
      <c r="B39" t="s">
        <v>202</v>
      </c>
      <c r="C39" s="82">
        <f t="shared" ref="C39:L39" si="3">IFERROR(365/C33,0)</f>
        <v>95.592093359869736</v>
      </c>
      <c r="D39" s="82">
        <f t="shared" si="3"/>
        <v>108.65283443522296</v>
      </c>
      <c r="E39" s="82">
        <f t="shared" si="3"/>
        <v>99.007758839989833</v>
      </c>
      <c r="F39" s="82">
        <f t="shared" si="3"/>
        <v>109.39999497272704</v>
      </c>
      <c r="G39" s="82">
        <f t="shared" si="3"/>
        <v>163.50025516713447</v>
      </c>
      <c r="H39" s="82">
        <f t="shared" si="3"/>
        <v>141.98852152690384</v>
      </c>
      <c r="I39" s="82">
        <f t="shared" si="3"/>
        <v>129.86480686695279</v>
      </c>
      <c r="J39" s="82">
        <f t="shared" si="3"/>
        <v>152.06564236784283</v>
      </c>
      <c r="K39" s="82">
        <f t="shared" si="3"/>
        <v>171.48358009392123</v>
      </c>
      <c r="L39" s="82">
        <f t="shared" si="3"/>
        <v>167.13974374883665</v>
      </c>
      <c r="N39" s="82">
        <f>IFERROR(AVERAGE(C39:L39),0)</f>
        <v>133.86952313794015</v>
      </c>
      <c r="O39" s="82">
        <f>IFERROR(MEDIAN(C39:L39),0)</f>
        <v>135.9266641969283</v>
      </c>
    </row>
    <row r="40" spans="2:15" x14ac:dyDescent="0.35">
      <c r="B40" t="s">
        <v>201</v>
      </c>
      <c r="C40" s="82">
        <f t="shared" ref="C40:L40" si="4">IFERROR(365/C34,0)</f>
        <v>27.967703998552562</v>
      </c>
      <c r="D40" s="82">
        <f t="shared" si="4"/>
        <v>25.805176536784359</v>
      </c>
      <c r="E40" s="82">
        <f t="shared" si="4"/>
        <v>23.90002543881964</v>
      </c>
      <c r="F40" s="82">
        <f t="shared" si="4"/>
        <v>25.386597290299875</v>
      </c>
      <c r="G40" s="82">
        <f t="shared" si="4"/>
        <v>27.777813217657563</v>
      </c>
      <c r="H40" s="82">
        <f t="shared" si="4"/>
        <v>28.506273119017656</v>
      </c>
      <c r="I40" s="82">
        <f t="shared" si="4"/>
        <v>25.612660944206009</v>
      </c>
      <c r="J40" s="82">
        <f t="shared" si="4"/>
        <v>23.717687734263926</v>
      </c>
      <c r="K40" s="82">
        <f t="shared" si="4"/>
        <v>26.276333811635794</v>
      </c>
      <c r="L40" s="82">
        <f t="shared" si="4"/>
        <v>27.113994539926786</v>
      </c>
      <c r="N40" s="82">
        <f>IFERROR(AVERAGE(C40:L40),0)</f>
        <v>26.206426663116417</v>
      </c>
      <c r="O40" s="82">
        <f>IFERROR(MEDIAN(C40:L40),0)</f>
        <v>26.040755174210076</v>
      </c>
    </row>
    <row r="41" spans="2:15" x14ac:dyDescent="0.35">
      <c r="B41" s="75" t="s">
        <v>200</v>
      </c>
      <c r="C41" s="81">
        <f t="shared" ref="C41:L41" si="5">IFERROR(SUM(C38,C40)-C39,0)</f>
        <v>-55.682256799951759</v>
      </c>
      <c r="D41" s="81">
        <f t="shared" si="5"/>
        <v>-69.395695597130398</v>
      </c>
      <c r="E41" s="81">
        <f t="shared" si="5"/>
        <v>-58.245866191808709</v>
      </c>
      <c r="F41" s="81">
        <f t="shared" si="5"/>
        <v>-73.471583339617425</v>
      </c>
      <c r="G41" s="81">
        <f t="shared" si="5"/>
        <v>-122.07801735136513</v>
      </c>
      <c r="H41" s="81">
        <f t="shared" si="5"/>
        <v>-97.92071845326619</v>
      </c>
      <c r="I41" s="81">
        <f t="shared" si="5"/>
        <v>-85.700891383294817</v>
      </c>
      <c r="J41" s="81">
        <f t="shared" si="5"/>
        <v>-110.67468010856921</v>
      </c>
      <c r="K41" s="81">
        <f t="shared" si="5"/>
        <v>-122.47806874510829</v>
      </c>
      <c r="L41" s="80">
        <f t="shared" si="5"/>
        <v>-120.89478500961719</v>
      </c>
      <c r="M41" s="73"/>
      <c r="N41" s="80">
        <f>IFERROR(AVERAGE(C41:L41),0)</f>
        <v>-91.654256297972921</v>
      </c>
      <c r="O41" s="80">
        <f>IFERROR(MEDIAN(C41:L41),0)</f>
        <v>-91.810804918280496</v>
      </c>
    </row>
    <row r="43" spans="2:15" x14ac:dyDescent="0.35">
      <c r="B43" s="79" t="s">
        <v>199</v>
      </c>
      <c r="C43" s="78">
        <f>IFERROR(HistoricalFS!C79/HistoricalFS!C11,0)</f>
        <v>0.19636933839937279</v>
      </c>
      <c r="D43" s="78">
        <f>IFERROR(HistoricalFS!D79/HistoricalFS!D11,0)</f>
        <v>0.21057814038542694</v>
      </c>
      <c r="E43" s="78">
        <f>IFERROR(HistoricalFS!E79/HistoricalFS!E11,0)</f>
        <v>0.2266344441617909</v>
      </c>
      <c r="F43" s="78">
        <f>IFERROR(HistoricalFS!F79/HistoricalFS!F11,0)</f>
        <v>0.2444008747454943</v>
      </c>
      <c r="G43" s="78">
        <f>IFERROR(HistoricalFS!G79/HistoricalFS!G11,0)</f>
        <v>0.24819256613081569</v>
      </c>
      <c r="H43" s="78">
        <f>IFERROR(HistoricalFS!H79/HistoricalFS!H11,0)</f>
        <v>0.24461350722648056</v>
      </c>
      <c r="I43" s="78">
        <f>IFERROR(HistoricalFS!I79/HistoricalFS!I11,0)</f>
        <v>0.23256850445691649</v>
      </c>
      <c r="J43" s="78">
        <f>IFERROR(HistoricalFS!J79/HistoricalFS!J11,0)</f>
        <v>0.23486170350264959</v>
      </c>
      <c r="K43" s="78">
        <f>IFERROR(HistoricalFS!K79/HistoricalFS!K11,0)</f>
        <v>0.24364075136968433</v>
      </c>
      <c r="L43" s="76">
        <f>IFERROR(HistoricalFS!L79/HistoricalFS!L11,0)</f>
        <v>0.23504684494632996</v>
      </c>
      <c r="M43" s="77"/>
      <c r="N43" s="76">
        <f>IFERROR(AVERAGE(C43:L43),0)</f>
        <v>0.23169066753249618</v>
      </c>
      <c r="O43" s="76">
        <f>IFERROR(MEDIAN(C43:L43),0)</f>
        <v>0.23495427422448978</v>
      </c>
    </row>
    <row r="44" spans="2:15" x14ac:dyDescent="0.35">
      <c r="B44" t="s">
        <v>198</v>
      </c>
      <c r="C44" s="8">
        <f>IFERROR(HistoricalFS!C79/HistoricalFS!C71,0)</f>
        <v>0.41461861708901054</v>
      </c>
      <c r="D44" s="8">
        <f>IFERROR(HistoricalFS!D79/HistoricalFS!D71,0)</f>
        <v>0.4190460194827007</v>
      </c>
      <c r="E44" s="8">
        <f>IFERROR(HistoricalFS!E79/HistoricalFS!E71,0)</f>
        <v>0.47823286274088789</v>
      </c>
      <c r="F44" s="8">
        <f>IFERROR(HistoricalFS!F79/HistoricalFS!F71,0)</f>
        <v>0.48245918721778397</v>
      </c>
      <c r="G44" s="8">
        <f>IFERROR(HistoricalFS!G79/HistoricalFS!G71,0)</f>
        <v>0.16979924352633111</v>
      </c>
      <c r="H44" s="8">
        <f>IFERROR(HistoricalFS!H79/HistoricalFS!H71,0)</f>
        <v>0.18195614557626302</v>
      </c>
      <c r="I44" s="8">
        <f>IFERROR(HistoricalFS!I79/HistoricalFS!I71,0)</f>
        <v>0.19279663916143247</v>
      </c>
      <c r="J44" s="8">
        <f>IFERROR(HistoricalFS!J79/HistoricalFS!J71,0)</f>
        <v>0.18521066646281645</v>
      </c>
      <c r="K44" s="8">
        <f>IFERROR(HistoricalFS!K79/HistoricalFS!K71,0)</f>
        <v>0.18709540087399673</v>
      </c>
      <c r="L44" s="8">
        <f>IFERROR(HistoricalFS!L79/HistoricalFS!L71,0)</f>
        <v>0.19003486418019011</v>
      </c>
      <c r="N44" s="8">
        <f>IFERROR(AVERAGE(C44:L44),0)</f>
        <v>0.29012496463114135</v>
      </c>
      <c r="O44" s="8">
        <f>IFERROR(MEDIAN(C44:L44),0)</f>
        <v>0.19141575167081129</v>
      </c>
    </row>
    <row r="45" spans="2:15" x14ac:dyDescent="0.35">
      <c r="B45" s="75" t="s">
        <v>197</v>
      </c>
      <c r="C45" s="74">
        <f>IFERROR(HistoricalFS!C79/HistoricalFS!C56,0)</f>
        <v>23.509025270758123</v>
      </c>
      <c r="D45" s="74">
        <f>IFERROR(HistoricalFS!D79/HistoricalFS!D56,0)</f>
        <v>0</v>
      </c>
      <c r="E45" s="74">
        <f>IFERROR(HistoricalFS!E79/HistoricalFS!E56,0)</f>
        <v>89.98989898989899</v>
      </c>
      <c r="F45" s="74">
        <f>IFERROR(HistoricalFS!F79/HistoricalFS!F56,0)</f>
        <v>0</v>
      </c>
      <c r="G45" s="74">
        <f>IFERROR(HistoricalFS!G79/HistoricalFS!G56,0)</f>
        <v>0</v>
      </c>
      <c r="H45" s="74">
        <f>IFERROR(HistoricalFS!H79/HistoricalFS!H56,0)</f>
        <v>12.300095877277085</v>
      </c>
      <c r="I45" s="74">
        <f>IFERROR(HistoricalFS!I79/HistoricalFS!I56,0)</f>
        <v>11.557834290401969</v>
      </c>
      <c r="J45" s="74">
        <f>IFERROR(HistoricalFS!J79/HistoricalFS!J56,0)</f>
        <v>9.7958221024258751</v>
      </c>
      <c r="K45" s="74">
        <f>IFERROR(HistoricalFS!K79/HistoricalFS!K56,0)</f>
        <v>9.0667475728155331</v>
      </c>
      <c r="L45" s="72">
        <f>IFERROR(HistoricalFS!L79/HistoricalFS!L56,0)</f>
        <v>10.252368064952639</v>
      </c>
      <c r="M45" s="73"/>
      <c r="N45" s="72">
        <f>IFERROR(AVERAGE(C45:L45),0)</f>
        <v>16.647179216853022</v>
      </c>
      <c r="O45" s="72">
        <f>IFERROR(MEDIAN(C45:L45),0)</f>
        <v>10.024095083689257</v>
      </c>
    </row>
    <row r="46" spans="2:15" ht="15" thickBot="1" x14ac:dyDescent="0.4">
      <c r="B46" s="198"/>
      <c r="C46" s="198"/>
      <c r="D46" s="198"/>
      <c r="E46" s="198"/>
      <c r="F46" s="198"/>
      <c r="G46" s="198"/>
      <c r="H46" s="198"/>
      <c r="I46" s="198"/>
      <c r="J46" s="198"/>
      <c r="K46" s="198"/>
      <c r="L46" s="198"/>
      <c r="M46" s="198"/>
      <c r="N46" s="198"/>
      <c r="O46" s="198"/>
    </row>
  </sheetData>
  <mergeCells count="3">
    <mergeCell ref="B7:O7"/>
    <mergeCell ref="B1:M1"/>
    <mergeCell ref="N1:O1"/>
  </mergeCells>
  <pageMargins left="0.7" right="0.7" top="0.75" bottom="0.75" header="0.3" footer="0.3"/>
  <pageSetup scale="53" orientation="portrait" r:id="rId1"/>
  <drawing r:id="rId2"/>
  <extLst>
    <ext xmlns:x14="http://schemas.microsoft.com/office/spreadsheetml/2009/9/main" uri="{05C60535-1F16-4fd2-B633-F4F36F0B64E0}">
      <x14:sparklineGroups xmlns:xm="http://schemas.microsoft.com/office/excel/2006/main">
        <x14:sparklineGroup displayEmptyCellsAs="gap" markers="1" xr2:uid="{5DC47F8C-DE46-4C6A-8002-9A28FD5CB4C1}">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s>
        </x14:sparklineGroup>
        <x14:sparklineGroup displayEmptyCellsAs="gap" markers="1" xr2:uid="{8BCCBED9-F043-43E6-B7EC-225580E48FBE}">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'Ratio Analysis'!D10:L10</xm:f>
              <xm:sqref>M10</xm:sqref>
            </x14:sparkline>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E0FBC-A180-496E-A907-9F4E07650AF5}">
  <sheetPr>
    <pageSetUpPr fitToPage="1"/>
  </sheetPr>
  <dimension ref="B1:O48"/>
  <sheetViews>
    <sheetView showGridLines="0" topLeftCell="A2" zoomScale="85" workbookViewId="0">
      <selection activeCell="O32" sqref="O32"/>
    </sheetView>
  </sheetViews>
  <sheetFormatPr defaultRowHeight="14.5" x14ac:dyDescent="0.35"/>
  <cols>
    <col min="1" max="1" width="1.81640625" customWidth="1"/>
    <col min="2" max="2" width="17.6328125" bestFit="1" customWidth="1"/>
    <col min="3" max="4" width="11.81640625" bestFit="1" customWidth="1"/>
    <col min="5" max="5" width="12.453125" bestFit="1" customWidth="1"/>
  </cols>
  <sheetData>
    <row r="1" spans="2:15" x14ac:dyDescent="0.35">
      <c r="B1" s="47"/>
      <c r="C1" s="47"/>
      <c r="D1" s="47"/>
      <c r="E1" s="47"/>
      <c r="F1" s="47"/>
      <c r="G1" s="47"/>
      <c r="H1" s="47"/>
      <c r="I1" s="47"/>
      <c r="J1" s="47"/>
      <c r="K1" s="47"/>
      <c r="L1" s="47"/>
      <c r="M1" s="5"/>
      <c r="N1" s="249"/>
      <c r="O1" s="249"/>
    </row>
    <row r="2" spans="2:15" ht="26" x14ac:dyDescent="0.6">
      <c r="B2" s="186" t="s">
        <v>289</v>
      </c>
    </row>
    <row r="3" spans="2:15" ht="18.5" x14ac:dyDescent="0.45">
      <c r="B3" s="188" t="s">
        <v>388</v>
      </c>
    </row>
    <row r="4" spans="2:15" ht="21" x14ac:dyDescent="0.5">
      <c r="B4" s="187" t="s">
        <v>389</v>
      </c>
    </row>
    <row r="5" spans="2:15" ht="18.5" x14ac:dyDescent="0.45">
      <c r="B5" s="188" t="s">
        <v>390</v>
      </c>
    </row>
    <row r="7" spans="2:15" x14ac:dyDescent="0.35">
      <c r="B7" s="247" t="str">
        <f>"Common Size Income Statement"&amp;" "&amp;"-"&amp;'Data Sheet'!$B$1</f>
        <v>Common Size Income Statement -HINDUSTAN UNILEVER LTD</v>
      </c>
      <c r="C7" s="247"/>
      <c r="D7" s="247"/>
      <c r="E7" s="247"/>
      <c r="F7" s="247"/>
      <c r="G7" s="247"/>
      <c r="H7" s="247"/>
      <c r="I7" s="247"/>
      <c r="J7" s="247"/>
      <c r="K7" s="247"/>
      <c r="L7" s="247"/>
    </row>
    <row r="9" spans="2:15" ht="15" thickBot="1" x14ac:dyDescent="0.4">
      <c r="B9" s="23" t="s">
        <v>292</v>
      </c>
      <c r="C9" s="110">
        <f>'Data Sheet'!B16</f>
        <v>42825</v>
      </c>
      <c r="D9" s="110">
        <f>'Data Sheet'!C16</f>
        <v>43190</v>
      </c>
      <c r="E9" s="110">
        <f>'Data Sheet'!D16</f>
        <v>43555</v>
      </c>
      <c r="F9" s="110">
        <f>'Data Sheet'!E16</f>
        <v>43921</v>
      </c>
      <c r="G9" s="110">
        <f>'Data Sheet'!F16</f>
        <v>44286</v>
      </c>
      <c r="H9" s="110">
        <f>'Data Sheet'!G16</f>
        <v>44651</v>
      </c>
      <c r="I9" s="110">
        <f>'Data Sheet'!H16</f>
        <v>45016</v>
      </c>
      <c r="J9" s="110">
        <f>'Data Sheet'!I16</f>
        <v>45382</v>
      </c>
      <c r="K9" s="110">
        <f>'Data Sheet'!J16</f>
        <v>45747</v>
      </c>
      <c r="L9" s="110">
        <f>'Data Sheet'!K16</f>
        <v>46112</v>
      </c>
    </row>
    <row r="11" spans="2:15" x14ac:dyDescent="0.35">
      <c r="B11" s="109" t="str">
        <f>'Data Sheet'!A17</f>
        <v>Sales</v>
      </c>
      <c r="C11" s="16">
        <f>'Data Sheet'!B17/'Data Sheet'!B$17</f>
        <v>1</v>
      </c>
      <c r="D11" s="16">
        <f>'Data Sheet'!C17/'Data Sheet'!C$17</f>
        <v>1</v>
      </c>
      <c r="E11" s="16">
        <f>'Data Sheet'!D17/'Data Sheet'!D$17</f>
        <v>1</v>
      </c>
      <c r="F11" s="16">
        <f>'Data Sheet'!E17/'Data Sheet'!E$17</f>
        <v>1</v>
      </c>
      <c r="G11" s="16">
        <f>'Data Sheet'!F17/'Data Sheet'!F$17</f>
        <v>1</v>
      </c>
      <c r="H11" s="16">
        <f>'Data Sheet'!G17/'Data Sheet'!G$17</f>
        <v>1</v>
      </c>
      <c r="I11" s="16">
        <f>'Data Sheet'!H17/'Data Sheet'!H$17</f>
        <v>1</v>
      </c>
      <c r="J11" s="16">
        <f>'Data Sheet'!I17/'Data Sheet'!I$17</f>
        <v>1</v>
      </c>
      <c r="K11" s="16">
        <f>'Data Sheet'!J17/'Data Sheet'!J$17</f>
        <v>1</v>
      </c>
      <c r="L11" s="16">
        <f>'Data Sheet'!K17/'Data Sheet'!K$17</f>
        <v>1</v>
      </c>
    </row>
    <row r="12" spans="2:15" x14ac:dyDescent="0.35">
      <c r="B12" t="str">
        <f>'Data Sheet'!A18</f>
        <v>Raw Material Cost</v>
      </c>
      <c r="C12" s="16">
        <f>'Data Sheet'!B18/'Data Sheet'!B$17</f>
        <v>0.41028888486822268</v>
      </c>
      <c r="D12" s="16">
        <f>'Data Sheet'!C18/'Data Sheet'!C$17</f>
        <v>0.40042200028133351</v>
      </c>
      <c r="E12" s="16">
        <f>'Data Sheet'!D18/'Data Sheet'!D$17</f>
        <v>0.40307809717629101</v>
      </c>
      <c r="F12" s="16">
        <f>'Data Sheet'!E18/'Data Sheet'!E$17</f>
        <v>0.39456551793479627</v>
      </c>
      <c r="G12" s="16">
        <f>'Data Sheet'!F18/'Data Sheet'!F$17</f>
        <v>0.42827677128519182</v>
      </c>
      <c r="H12" s="16">
        <f>'Data Sheet'!G18/'Data Sheet'!G$17</f>
        <v>0.43608664149792165</v>
      </c>
      <c r="I12" s="16">
        <f>'Data Sheet'!H18/'Data Sheet'!H$17</f>
        <v>0.46924727632882141</v>
      </c>
      <c r="J12" s="16">
        <f>'Data Sheet'!I18/'Data Sheet'!I$17</f>
        <v>0.43333979578648057</v>
      </c>
      <c r="K12" s="16">
        <f>'Data Sheet'!J18/'Data Sheet'!J$17</f>
        <v>0.43376597965040437</v>
      </c>
      <c r="L12" s="16">
        <f>'Data Sheet'!K18/'Data Sheet'!K$17</f>
        <v>0.45228640565862133</v>
      </c>
    </row>
    <row r="13" spans="2:15" x14ac:dyDescent="0.35">
      <c r="B13" t="str">
        <f>'Data Sheet'!A19</f>
        <v>Change in Inventory</v>
      </c>
      <c r="C13" s="16">
        <f>'Data Sheet'!B19/'Data Sheet'!B$17</f>
        <v>-4.3423195223448521E-3</v>
      </c>
      <c r="D13" s="16">
        <f>'Data Sheet'!C19/'Data Sheet'!C$17</f>
        <v>2.0256013504009003E-3</v>
      </c>
      <c r="E13" s="16">
        <f>'Data Sheet'!D19/'Data Sheet'!D$17</f>
        <v>-3.0526583566522515E-4</v>
      </c>
      <c r="F13" s="16">
        <f>'Data Sheet'!E19/'Data Sheet'!E$17</f>
        <v>2.7147273961239727E-3</v>
      </c>
      <c r="G13" s="16">
        <f>'Data Sheet'!F19/'Data Sheet'!F$17</f>
        <v>8.6118907884664454E-3</v>
      </c>
      <c r="H13" s="16">
        <f>'Data Sheet'!G19/'Data Sheet'!G$17</f>
        <v>4.1947908324753078E-4</v>
      </c>
      <c r="I13" s="16">
        <f>'Data Sheet'!H19/'Data Sheet'!H$17</f>
        <v>1.2380323539121821E-3</v>
      </c>
      <c r="J13" s="16">
        <f>'Data Sheet'!I19/'Data Sheet'!I$17</f>
        <v>1.7771746154840378E-4</v>
      </c>
      <c r="K13" s="16">
        <f>'Data Sheet'!J19/'Data Sheet'!J$17</f>
        <v>2.0382207148447692E-3</v>
      </c>
      <c r="L13" s="16">
        <f>'Data Sheet'!K19/'Data Sheet'!K$17</f>
        <v>6.6544642303158156E-3</v>
      </c>
    </row>
    <row r="14" spans="2:15" x14ac:dyDescent="0.35">
      <c r="B14" t="str">
        <f>'Data Sheet'!A20</f>
        <v>Power and Fuel</v>
      </c>
      <c r="C14" s="16">
        <f>'Data Sheet'!B20/'Data Sheet'!B$17</f>
        <v>8.8957240214703574E-3</v>
      </c>
      <c r="D14" s="16">
        <f>'Data Sheet'!C20/'Data Sheet'!C$17</f>
        <v>8.2993388662259103E-3</v>
      </c>
      <c r="E14" s="16">
        <f>'Data Sheet'!D20/'Data Sheet'!D$17</f>
        <v>7.8351564487407783E-3</v>
      </c>
      <c r="F14" s="16">
        <f>'Data Sheet'!E20/'Data Sheet'!E$17</f>
        <v>7.5157730688987755E-3</v>
      </c>
      <c r="G14" s="16">
        <f>'Data Sheet'!F20/'Data Sheet'!F$17</f>
        <v>7.2084715488645061E-3</v>
      </c>
      <c r="H14" s="16">
        <f>'Data Sheet'!G20/'Data Sheet'!G$17</f>
        <v>6.0633794760324902E-3</v>
      </c>
      <c r="I14" s="16">
        <f>'Data Sheet'!H20/'Data Sheet'!H$17</f>
        <v>6.3387256520303732E-3</v>
      </c>
      <c r="J14" s="16">
        <f>'Data Sheet'!I20/'Data Sheet'!I$17</f>
        <v>7.2056352591443711E-3</v>
      </c>
      <c r="K14" s="16">
        <f>'Data Sheet'!J20/'Data Sheet'!J$17</f>
        <v>6.5712235846595354E-3</v>
      </c>
      <c r="L14" s="16">
        <f>'Data Sheet'!K20/'Data Sheet'!K$17</f>
        <v>6.6079295154185024E-3</v>
      </c>
    </row>
    <row r="15" spans="2:15" x14ac:dyDescent="0.35">
      <c r="B15" t="str">
        <f>'Data Sheet'!A21</f>
        <v>Other Mfr. Exp</v>
      </c>
      <c r="C15" s="16">
        <f>'Data Sheet'!B21/'Data Sheet'!B$17</f>
        <v>8.7057475423677699E-2</v>
      </c>
      <c r="D15" s="16">
        <f>'Data Sheet'!C21/'Data Sheet'!C$17</f>
        <v>8.4343789562526375E-2</v>
      </c>
      <c r="E15" s="16">
        <f>'Data Sheet'!D21/'Data Sheet'!D$17</f>
        <v>7.7359450521495801E-2</v>
      </c>
      <c r="F15" s="16">
        <f>'Data Sheet'!E21/'Data Sheet'!E$17</f>
        <v>7.3046276047558006E-2</v>
      </c>
      <c r="G15" s="16">
        <f>'Data Sheet'!F21/'Data Sheet'!F$17</f>
        <v>6.0984945139066091E-2</v>
      </c>
      <c r="H15" s="16">
        <f>'Data Sheet'!G21/'Data Sheet'!G$17</f>
        <v>6.3951492964191739E-2</v>
      </c>
      <c r="I15" s="16">
        <f>'Data Sheet'!H21/'Data Sheet'!H$17</f>
        <v>6.2578408715747769E-2</v>
      </c>
      <c r="J15" s="16">
        <f>'Data Sheet'!I21/'Data Sheet'!I$17</f>
        <v>5.4688509758304249E-2</v>
      </c>
      <c r="K15" s="16">
        <f>'Data Sheet'!J21/'Data Sheet'!J$17</f>
        <v>6.0119358205061313E-2</v>
      </c>
      <c r="L15" s="16">
        <f>'Data Sheet'!K21/'Data Sheet'!K$17</f>
        <v>5.1250232673574488E-2</v>
      </c>
    </row>
    <row r="16" spans="2:15" x14ac:dyDescent="0.35">
      <c r="B16" t="str">
        <f>'Data Sheet'!A22</f>
        <v>Employee Cost</v>
      </c>
      <c r="C16" s="16">
        <f>'Data Sheet'!B22/'Data Sheet'!B$17</f>
        <v>5.2560159218382488E-2</v>
      </c>
      <c r="D16" s="16">
        <f>'Data Sheet'!C22/'Data Sheet'!C$17</f>
        <v>5.2328034885356589E-2</v>
      </c>
      <c r="E16" s="16">
        <f>'Data Sheet'!D22/'Data Sheet'!D$17</f>
        <v>4.7697786822691428E-2</v>
      </c>
      <c r="F16" s="16">
        <f>'Data Sheet'!E22/'Data Sheet'!E$17</f>
        <v>4.574818389764472E-2</v>
      </c>
      <c r="G16" s="16">
        <f>'Data Sheet'!F22/'Data Sheet'!F$17</f>
        <v>5.0140341923960191E-2</v>
      </c>
      <c r="H16" s="16">
        <f>'Data Sheet'!G22/'Data Sheet'!G$17</f>
        <v>4.8526103039316627E-2</v>
      </c>
      <c r="I16" s="16">
        <f>'Data Sheet'!H22/'Data Sheet'!H$17</f>
        <v>4.7111257840871577E-2</v>
      </c>
      <c r="J16" s="16">
        <f>'Data Sheet'!I22/'Data Sheet'!I$17</f>
        <v>4.8613803799922452E-2</v>
      </c>
      <c r="K16" s="16">
        <f>'Data Sheet'!J22/'Data Sheet'!J$17</f>
        <v>4.8134620401774068E-2</v>
      </c>
      <c r="L16" s="16">
        <f>'Data Sheet'!K22/'Data Sheet'!K$17</f>
        <v>4.9249239932990012E-2</v>
      </c>
    </row>
    <row r="17" spans="2:12" x14ac:dyDescent="0.35">
      <c r="B17" t="str">
        <f>'Data Sheet'!A23</f>
        <v>Selling and admin</v>
      </c>
      <c r="C17" s="16">
        <f>'Data Sheet'!B23/'Data Sheet'!B$17</f>
        <v>0.20170677281225499</v>
      </c>
      <c r="D17" s="16">
        <f>'Data Sheet'!C23/'Data Sheet'!C$17</f>
        <v>0.20402306934871289</v>
      </c>
      <c r="E17" s="16">
        <f>'Data Sheet'!D23/'Data Sheet'!D$17</f>
        <v>0.19832103790384126</v>
      </c>
      <c r="F17" s="16">
        <f>'Data Sheet'!E23/'Data Sheet'!E$17</f>
        <v>0.19153909961541363</v>
      </c>
      <c r="G17" s="16">
        <f>'Data Sheet'!F23/'Data Sheet'!F$17</f>
        <v>0.16811261376201411</v>
      </c>
      <c r="H17" s="16">
        <f>'Data Sheet'!G23/'Data Sheet'!G$17</f>
        <v>0.15566487434694734</v>
      </c>
      <c r="I17" s="16">
        <f>'Data Sheet'!H23/'Data Sheet'!H$17</f>
        <v>0.14501485638824696</v>
      </c>
      <c r="J17" s="16">
        <f>'Data Sheet'!I23/'Data Sheet'!I$17</f>
        <v>0.1741631123174357</v>
      </c>
      <c r="K17" s="16">
        <f>'Data Sheet'!J23/'Data Sheet'!J$17</f>
        <v>0.16542199321680146</v>
      </c>
      <c r="L17" s="16">
        <f>'Data Sheet'!K23/'Data Sheet'!K$17</f>
        <v>0.16665632561891172</v>
      </c>
    </row>
    <row r="18" spans="2:12" x14ac:dyDescent="0.35">
      <c r="B18" t="str">
        <f>'Data Sheet'!A24</f>
        <v>Other Expenses</v>
      </c>
      <c r="C18" s="16">
        <f>'Data Sheet'!B24/'Data Sheet'!B$17</f>
        <v>4.4327845123937039E-2</v>
      </c>
      <c r="D18" s="16">
        <f>'Data Sheet'!C24/'Data Sheet'!C$17</f>
        <v>4.1637361091574059E-2</v>
      </c>
      <c r="E18" s="16">
        <f>'Data Sheet'!D24/'Data Sheet'!D$17</f>
        <v>3.9506486899007889E-2</v>
      </c>
      <c r="F18" s="16">
        <f>'Data Sheet'!E24/'Data Sheet'!E$17</f>
        <v>4.2430183746826534E-2</v>
      </c>
      <c r="G18" s="16">
        <f>'Data Sheet'!F24/'Data Sheet'!F$17</f>
        <v>4.6674321680700862E-2</v>
      </c>
      <c r="H18" s="16">
        <f>'Data Sheet'!G24/'Data Sheet'!G$17</f>
        <v>4.4979598062769327E-2</v>
      </c>
      <c r="I18" s="16">
        <f>'Data Sheet'!H24/'Data Sheet'!H$17</f>
        <v>3.742159128425223E-2</v>
      </c>
      <c r="J18" s="16">
        <f>'Data Sheet'!I24/'Data Sheet'!I$17</f>
        <v>4.5334108827711002E-2</v>
      </c>
      <c r="K18" s="16">
        <f>'Data Sheet'!J24/'Data Sheet'!J$17</f>
        <v>4.8362901121836679E-2</v>
      </c>
      <c r="L18" s="16">
        <f>'Data Sheet'!K24/'Data Sheet'!K$17</f>
        <v>4.7325805050567722E-2</v>
      </c>
    </row>
    <row r="19" spans="2:12" x14ac:dyDescent="0.35">
      <c r="B19" t="str">
        <f>'Data Sheet'!A25</f>
        <v>Other Income</v>
      </c>
      <c r="C19" s="16">
        <f>'Data Sheet'!B25/'Data Sheet'!B$17</f>
        <v>1.8273927989867923E-2</v>
      </c>
      <c r="D19" s="16">
        <f>'Data Sheet'!C25/'Data Sheet'!C$17</f>
        <v>9.9310732873821913E-3</v>
      </c>
      <c r="E19" s="16">
        <f>'Data Sheet'!D25/'Data Sheet'!D$17</f>
        <v>8.1912999236835402E-3</v>
      </c>
      <c r="F19" s="16">
        <f>'Data Sheet'!E25/'Data Sheet'!E$17</f>
        <v>1.0657818666264484E-2</v>
      </c>
      <c r="G19" s="16">
        <f>'Data Sheet'!F25/'Data Sheet'!F$17</f>
        <v>3.6148677383686313E-3</v>
      </c>
      <c r="H19" s="16">
        <f>'Data Sheet'!G25/'Data Sheet'!G$17</f>
        <v>4.1757236014186017E-3</v>
      </c>
      <c r="I19" s="16">
        <f>'Data Sheet'!H25/'Data Sheet'!H$17</f>
        <v>7.3951799273687686E-3</v>
      </c>
      <c r="J19" s="16">
        <f>'Data Sheet'!I25/'Data Sheet'!I$17</f>
        <v>1.3199560553185989E-2</v>
      </c>
      <c r="K19" s="16">
        <f>'Data Sheet'!J25/'Data Sheet'!J$17</f>
        <v>2.2094312548917298E-2</v>
      </c>
      <c r="L19" s="16">
        <f>'Data Sheet'!K25/'Data Sheet'!K$17</f>
        <v>7.6363467146491282E-2</v>
      </c>
    </row>
    <row r="20" spans="2:12" x14ac:dyDescent="0.35">
      <c r="B20" t="str">
        <f>'Data Sheet'!A26</f>
        <v>Depreciation</v>
      </c>
      <c r="C20" s="16">
        <f>'Data Sheet'!B26/'Data Sheet'!B$17</f>
        <v>1.3026958567034558E-2</v>
      </c>
      <c r="D20" s="16">
        <f>'Data Sheet'!C26/'Data Sheet'!C$17</f>
        <v>1.4629343086228723E-2</v>
      </c>
      <c r="E20" s="16">
        <f>'Data Sheet'!D26/'Data Sheet'!D$17</f>
        <v>1.437293309590435E-2</v>
      </c>
      <c r="F20" s="16">
        <f>'Data Sheet'!E26/'Data Sheet'!E$17</f>
        <v>2.5186637508483524E-2</v>
      </c>
      <c r="G20" s="16">
        <f>'Data Sheet'!F26/'Data Sheet'!F$17</f>
        <v>2.2837458535340648E-2</v>
      </c>
      <c r="H20" s="16">
        <f>'Data Sheet'!G26/'Data Sheet'!G$17</f>
        <v>2.0802349082866187E-2</v>
      </c>
      <c r="I20" s="16">
        <f>'Data Sheet'!H26/'Data Sheet'!H$17</f>
        <v>1.8768570485308684E-2</v>
      </c>
      <c r="J20" s="16">
        <f>'Data Sheet'!I26/'Data Sheet'!I$17</f>
        <v>1.9645857567532635E-2</v>
      </c>
      <c r="K20" s="16">
        <f>'Data Sheet'!J26/'Data Sheet'!J$17</f>
        <v>2.0431124445603965E-2</v>
      </c>
      <c r="L20" s="16">
        <f>'Data Sheet'!K26/'Data Sheet'!K$17</f>
        <v>2.0676924986039586E-2</v>
      </c>
    </row>
    <row r="21" spans="2:12" x14ac:dyDescent="0.35">
      <c r="B21" t="str">
        <f>'Data Sheet'!A27</f>
        <v>Interest</v>
      </c>
      <c r="C21" s="16">
        <f>'Data Sheet'!B27/'Data Sheet'!B$17</f>
        <v>1.0554248839032628E-3</v>
      </c>
      <c r="D21" s="16">
        <f>'Data Sheet'!C27/'Data Sheet'!C$17</f>
        <v>7.3146715431143621E-4</v>
      </c>
      <c r="E21" s="16">
        <f>'Data Sheet'!D27/'Data Sheet'!D$17</f>
        <v>8.3948104807936915E-4</v>
      </c>
      <c r="F21" s="16">
        <f>'Data Sheet'!E27/'Data Sheet'!E$17</f>
        <v>2.9660910439132291E-3</v>
      </c>
      <c r="G21" s="16">
        <f>'Data Sheet'!F27/'Data Sheet'!F$17</f>
        <v>2.4878795611125285E-3</v>
      </c>
      <c r="H21" s="16">
        <f>'Data Sheet'!G27/'Data Sheet'!G$17</f>
        <v>2.0211264920108303E-3</v>
      </c>
      <c r="I21" s="16">
        <f>'Data Sheet'!H27/'Data Sheet'!H$17</f>
        <v>1.881809177946517E-3</v>
      </c>
      <c r="J21" s="16">
        <f>'Data Sheet'!I27/'Data Sheet'!I$17</f>
        <v>5.3961483779242604E-3</v>
      </c>
      <c r="K21" s="16">
        <f>'Data Sheet'!J27/'Data Sheet'!J$17</f>
        <v>6.2124967388468566E-3</v>
      </c>
      <c r="L21" s="16">
        <f>'Data Sheet'!K27/'Data Sheet'!K$17</f>
        <v>6.3597443692994977E-3</v>
      </c>
    </row>
    <row r="22" spans="2:12" x14ac:dyDescent="0.35">
      <c r="B22" t="str">
        <f>'Data Sheet'!A28</f>
        <v>Profit before tax</v>
      </c>
      <c r="C22" s="16">
        <f>'Data Sheet'!B28/'Data Sheet'!B$17</f>
        <v>0.19501236354864002</v>
      </c>
      <c r="D22" s="16">
        <f>'Data Sheet'!C28/'Data Sheet'!C$17</f>
        <v>0.20554227036151357</v>
      </c>
      <c r="E22" s="16">
        <f>'Data Sheet'!D28/'Data Sheet'!D$17</f>
        <v>0.21887560417196641</v>
      </c>
      <c r="F22" s="16">
        <f>'Data Sheet'!E28/'Data Sheet'!E$17</f>
        <v>0.23037478319885379</v>
      </c>
      <c r="G22" s="16">
        <f>'Data Sheet'!F28/'Data Sheet'!F$17</f>
        <v>0.22550395509058432</v>
      </c>
      <c r="H22" s="16">
        <f>'Data Sheet'!G28/'Data Sheet'!G$17</f>
        <v>0.22649963772260992</v>
      </c>
      <c r="I22" s="16">
        <f>'Data Sheet'!H28/'Data Sheet'!H$17</f>
        <v>0.22027071640805546</v>
      </c>
      <c r="J22" s="16">
        <f>'Data Sheet'!I28/'Data Sheet'!I$17</f>
        <v>0.22499030632027917</v>
      </c>
      <c r="K22" s="16">
        <f>'Data Sheet'!J28/'Data Sheet'!J$17</f>
        <v>0.2351128358987738</v>
      </c>
      <c r="L22" s="16">
        <f>'Data Sheet'!K28/'Data Sheet'!K$17</f>
        <v>0.28260532357138424</v>
      </c>
    </row>
    <row r="23" spans="2:12" x14ac:dyDescent="0.35">
      <c r="B23" t="str">
        <f>'Data Sheet'!A29</f>
        <v>Tax</v>
      </c>
      <c r="C23" s="16">
        <f>'Data Sheet'!B29/'Data Sheet'!B$17</f>
        <v>5.9616428442192872E-2</v>
      </c>
      <c r="D23" s="16">
        <f>'Data Sheet'!C29/'Data Sheet'!C$17</f>
        <v>5.8489238992825994E-2</v>
      </c>
      <c r="E23" s="16">
        <f>'Data Sheet'!D29/'Data Sheet'!D$17</f>
        <v>6.4716357161027735E-2</v>
      </c>
      <c r="F23" s="16">
        <f>'Data Sheet'!E29/'Data Sheet'!E$17</f>
        <v>6.0553502752431945E-2</v>
      </c>
      <c r="G23" s="16">
        <f>'Data Sheet'!F29/'Data Sheet'!F$17</f>
        <v>5.5413796036403846E-2</v>
      </c>
      <c r="H23" s="16">
        <f>'Data Sheet'!G29/'Data Sheet'!G$17</f>
        <v>5.6953819166380655E-2</v>
      </c>
      <c r="I23" s="16">
        <f>'Data Sheet'!H29/'Data Sheet'!H$17</f>
        <v>5.2839220864971941E-2</v>
      </c>
      <c r="J23" s="16">
        <f>'Data Sheet'!I29/'Data Sheet'!I$17</f>
        <v>5.8872948171125761E-2</v>
      </c>
      <c r="K23" s="16">
        <f>'Data Sheet'!J29/'Data Sheet'!J$17</f>
        <v>6.1114009913905559E-2</v>
      </c>
      <c r="L23" s="16">
        <f>'Data Sheet'!K29/'Data Sheet'!K$17</f>
        <v>4.9016566358503447E-2</v>
      </c>
    </row>
    <row r="24" spans="2:12" x14ac:dyDescent="0.35">
      <c r="B24" t="str">
        <f>'Data Sheet'!A30</f>
        <v>Net profit</v>
      </c>
      <c r="C24" s="16">
        <f>'Data Sheet'!B30/'Data Sheet'!B$17</f>
        <v>0.13497376515288584</v>
      </c>
      <c r="D24" s="16">
        <f>'Data Sheet'!C30/'Data Sheet'!C$17</f>
        <v>0.14668729779153186</v>
      </c>
      <c r="E24" s="16">
        <f>'Data Sheet'!D30/'Data Sheet'!D$17</f>
        <v>0.15400661409310609</v>
      </c>
      <c r="F24" s="16">
        <f>'Data Sheet'!E30/'Data Sheet'!E$17</f>
        <v>0.16962018952819044</v>
      </c>
      <c r="G24" s="16">
        <f>'Data Sheet'!F30/'Data Sheet'!F$17</f>
        <v>0.17000510334268945</v>
      </c>
      <c r="H24" s="16">
        <f>'Data Sheet'!G30/'Data Sheet'!G$17</f>
        <v>0.16929794455249209</v>
      </c>
      <c r="I24" s="16">
        <f>'Data Sheet'!H30/'Data Sheet'!H$17</f>
        <v>0.16705183228788378</v>
      </c>
      <c r="J24" s="16">
        <f>'Data Sheet'!I30/'Data Sheet'!I$17</f>
        <v>0.16603657748481324</v>
      </c>
      <c r="K24" s="16">
        <f>'Data Sheet'!J30/'Data Sheet'!J$17</f>
        <v>0.17364009913905556</v>
      </c>
      <c r="L24" s="16">
        <f>'Data Sheet'!K30/'Data Sheet'!K$17</f>
        <v>0.23329403735186449</v>
      </c>
    </row>
    <row r="25" spans="2:12" x14ac:dyDescent="0.35">
      <c r="B25" t="str">
        <f>'Data Sheet'!A31</f>
        <v>Dividend Amount</v>
      </c>
      <c r="C25" s="16">
        <f>'Data Sheet'!B31/'Data Sheet'!B$17</f>
        <v>0.11072914781979373</v>
      </c>
      <c r="D25" s="16">
        <f>'Data Sheet'!C31/'Data Sheet'!C$17</f>
        <v>0.12153608102405401</v>
      </c>
      <c r="E25" s="16">
        <f>'Data Sheet'!D31/'Data Sheet'!D$17</f>
        <v>0.12088527092342916</v>
      </c>
      <c r="F25" s="16">
        <f>'Data Sheet'!E31/'Data Sheet'!E$17</f>
        <v>0.13573636980619863</v>
      </c>
      <c r="G25" s="16">
        <f>'Data Sheet'!F31/'Data Sheet'!F$17</f>
        <v>0.20237943352896148</v>
      </c>
      <c r="H25" s="16">
        <f>'Data Sheet'!G31/'Data Sheet'!G$17</f>
        <v>0.15234717614308049</v>
      </c>
      <c r="I25" s="16">
        <f>'Data Sheet'!H31/'Data Sheet'!H$17</f>
        <v>0.15128755364806867</v>
      </c>
      <c r="J25" s="16">
        <f>'Data Sheet'!I31/'Data Sheet'!I$17</f>
        <v>0.1594610314075223</v>
      </c>
      <c r="K25" s="16">
        <f>'Data Sheet'!J31/'Data Sheet'!J$17</f>
        <v>0.20308831202713279</v>
      </c>
      <c r="L25" s="16">
        <f>'Data Sheet'!K31/'Data Sheet'!K$17</f>
        <v>0.14945399267853818</v>
      </c>
    </row>
    <row r="26" spans="2:12" x14ac:dyDescent="0.35">
      <c r="B26" t="str">
        <f>'Data Sheet'!A34</f>
        <v>EBITDA</v>
      </c>
      <c r="C26" s="16">
        <f>'Data Sheet'!B34/'Data Sheet'!B$17</f>
        <v>0.20867257704601652</v>
      </c>
      <c r="D26" s="16">
        <f>'Data Sheet'!C34/'Data Sheet'!C$17</f>
        <v>0.22053734702489802</v>
      </c>
      <c r="E26" s="16">
        <f>'Data Sheet'!D34/'Data Sheet'!D$17</f>
        <v>0.23393538539811753</v>
      </c>
      <c r="F26" s="16">
        <f>'Data Sheet'!E34/'Data Sheet'!E$17</f>
        <v>0.25832642083301915</v>
      </c>
      <c r="G26" s="16">
        <f>'Data Sheet'!F34/'Data Sheet'!F$17</f>
        <v>0.25074423747554647</v>
      </c>
      <c r="H26" s="16">
        <f>'Data Sheet'!G34/'Data Sheet'!G$17</f>
        <v>0.24907523929374975</v>
      </c>
      <c r="I26" s="16">
        <f>'Data Sheet'!H34/'Data Sheet'!H$17</f>
        <v>0.24054143281611093</v>
      </c>
      <c r="J26" s="16">
        <f>'Data Sheet'!I34/'Data Sheet'!I$17</f>
        <v>0.24995153160139588</v>
      </c>
      <c r="K26" s="16">
        <f>'Data Sheet'!J34/'Data Sheet'!J$17</f>
        <v>0.26139773023741197</v>
      </c>
      <c r="L26" s="16">
        <f>'Data Sheet'!K34/'Data Sheet'!K$17</f>
        <v>0.30934727306570703</v>
      </c>
    </row>
    <row r="29" spans="2:12" x14ac:dyDescent="0.35">
      <c r="B29" s="247" t="str">
        <f>"Common Size Balance Sheet"&amp;" "&amp;"-"&amp;'Data Sheet'!$B$1</f>
        <v>Common Size Balance Sheet -HINDUSTAN UNILEVER LTD</v>
      </c>
      <c r="C29" s="247"/>
      <c r="D29" s="247"/>
      <c r="E29" s="247"/>
      <c r="F29" s="247"/>
      <c r="G29" s="247"/>
      <c r="H29" s="247"/>
      <c r="I29" s="247"/>
      <c r="J29" s="247"/>
      <c r="K29" s="247"/>
      <c r="L29" s="247"/>
    </row>
    <row r="30" spans="2:12" ht="4.5" customHeight="1" x14ac:dyDescent="0.35"/>
    <row r="31" spans="2:12" ht="15" thickBot="1" x14ac:dyDescent="0.4">
      <c r="B31" s="23" t="s">
        <v>292</v>
      </c>
      <c r="C31" s="110">
        <f>'Data Sheet'!B56</f>
        <v>42825</v>
      </c>
      <c r="D31" s="110">
        <f>'Data Sheet'!C56</f>
        <v>43190</v>
      </c>
      <c r="E31" s="110">
        <f>'Data Sheet'!D56</f>
        <v>43555</v>
      </c>
      <c r="F31" s="110">
        <f>'Data Sheet'!E56</f>
        <v>43921</v>
      </c>
      <c r="G31" s="110">
        <f>'Data Sheet'!F56</f>
        <v>44286</v>
      </c>
      <c r="H31" s="110">
        <f>'Data Sheet'!G56</f>
        <v>44651</v>
      </c>
      <c r="I31" s="110">
        <f>'Data Sheet'!H56</f>
        <v>45016</v>
      </c>
      <c r="J31" s="110">
        <f>'Data Sheet'!I56</f>
        <v>45382</v>
      </c>
      <c r="K31" s="110">
        <f>'Data Sheet'!J56</f>
        <v>45747</v>
      </c>
      <c r="L31" s="110">
        <f>'Data Sheet'!K56</f>
        <v>46112</v>
      </c>
    </row>
    <row r="32" spans="2:12" x14ac:dyDescent="0.35">
      <c r="B32" s="3"/>
      <c r="C32" s="98"/>
      <c r="D32" s="98"/>
      <c r="E32" s="98"/>
      <c r="F32" s="98"/>
      <c r="G32" s="98"/>
      <c r="H32" s="98"/>
      <c r="I32" s="98"/>
      <c r="J32" s="98"/>
      <c r="K32" s="98"/>
      <c r="L32" s="98"/>
    </row>
    <row r="33" spans="2:12" x14ac:dyDescent="0.35">
      <c r="B33" s="3" t="s">
        <v>114</v>
      </c>
      <c r="C33" s="16">
        <f>'Data Sheet'!B61/'Data Sheet'!B$61</f>
        <v>1</v>
      </c>
      <c r="D33" s="16">
        <f>'Data Sheet'!C61/'Data Sheet'!C$61</f>
        <v>1</v>
      </c>
      <c r="E33" s="16">
        <f>'Data Sheet'!D61/'Data Sheet'!D$61</f>
        <v>1</v>
      </c>
      <c r="F33" s="16">
        <f>'Data Sheet'!E61/'Data Sheet'!E$61</f>
        <v>1</v>
      </c>
      <c r="G33" s="16">
        <f>'Data Sheet'!F61/'Data Sheet'!F$61</f>
        <v>1</v>
      </c>
      <c r="H33" s="16">
        <f>'Data Sheet'!G61/'Data Sheet'!G$61</f>
        <v>1</v>
      </c>
      <c r="I33" s="16">
        <f>'Data Sheet'!H61/'Data Sheet'!H$61</f>
        <v>1</v>
      </c>
      <c r="J33" s="16">
        <f>'Data Sheet'!I61/'Data Sheet'!I$61</f>
        <v>1</v>
      </c>
      <c r="K33" s="16">
        <f>'Data Sheet'!J61/'Data Sheet'!J$61</f>
        <v>1</v>
      </c>
      <c r="L33" s="16">
        <f>'Data Sheet'!K61/'Data Sheet'!K$61</f>
        <v>1</v>
      </c>
    </row>
    <row r="34" spans="2:12" x14ac:dyDescent="0.35">
      <c r="B34" s="109" t="str">
        <f>'Data Sheet'!A57</f>
        <v>Equity Share Capital</v>
      </c>
      <c r="C34" s="16">
        <f>'Data Sheet'!B57/'Data Sheet'!B$61</f>
        <v>1.3752705972239909E-2</v>
      </c>
      <c r="D34" s="16">
        <f>'Data Sheet'!C57/'Data Sheet'!C$61</f>
        <v>1.2092710782667115E-2</v>
      </c>
      <c r="E34" s="16">
        <f>'Data Sheet'!D57/'Data Sheet'!D$61</f>
        <v>1.1594825272424714E-2</v>
      </c>
      <c r="F34" s="16">
        <f>'Data Sheet'!E57/'Data Sheet'!E$61</f>
        <v>1.0718007244578972E-2</v>
      </c>
      <c r="G34" s="16">
        <f>'Data Sheet'!F57/'Data Sheet'!F$61</f>
        <v>3.4186790805935409E-3</v>
      </c>
      <c r="H34" s="16">
        <f>'Data Sheet'!G57/'Data Sheet'!G$61</f>
        <v>3.3330496695316712E-3</v>
      </c>
      <c r="I34" s="16">
        <f>'Data Sheet'!H57/'Data Sheet'!H$61</f>
        <v>3.2157860886462223E-3</v>
      </c>
      <c r="J34" s="16">
        <f>'Data Sheet'!I57/'Data Sheet'!I$61</f>
        <v>2.9940501216731007E-3</v>
      </c>
      <c r="K34" s="16">
        <f>'Data Sheet'!J57/'Data Sheet'!J$61</f>
        <v>2.9425390982056772E-3</v>
      </c>
      <c r="L34" s="16">
        <f>'Data Sheet'!K57/'Data Sheet'!K$61</f>
        <v>2.9471519225463391E-3</v>
      </c>
    </row>
    <row r="35" spans="2:12" x14ac:dyDescent="0.35">
      <c r="B35" t="str">
        <f>'Data Sheet'!A58</f>
        <v>Reserves</v>
      </c>
      <c r="C35" s="16">
        <f>'Data Sheet'!B58/'Data Sheet'!B$61</f>
        <v>0.41563733604991721</v>
      </c>
      <c r="D35" s="16">
        <f>'Data Sheet'!C58/'Data Sheet'!C$61</f>
        <v>0.3955324151830702</v>
      </c>
      <c r="E35" s="16">
        <f>'Data Sheet'!D58/'Data Sheet'!D$61</f>
        <v>0.41070374147834021</v>
      </c>
      <c r="F35" s="16">
        <f>'Data Sheet'!E58/'Data Sheet'!E$61</f>
        <v>0.39760829653153379</v>
      </c>
      <c r="G35" s="16">
        <f>'Data Sheet'!F58/'Data Sheet'!F$61</f>
        <v>0.69012219959266807</v>
      </c>
      <c r="H35" s="16">
        <f>'Data Sheet'!G58/'Data Sheet'!G$61</f>
        <v>0.69250843899809944</v>
      </c>
      <c r="I35" s="16">
        <f>'Data Sheet'!H58/'Data Sheet'!H$61</f>
        <v>0.68515401562735201</v>
      </c>
      <c r="J35" s="16">
        <f>'Data Sheet'!I58/'Data Sheet'!I$61</f>
        <v>0.64955598873727527</v>
      </c>
      <c r="K35" s="16">
        <f>'Data Sheet'!J58/'Data Sheet'!J$61</f>
        <v>0.6156417865594831</v>
      </c>
      <c r="L35" s="16">
        <f>'Data Sheet'!K58/'Data Sheet'!K$61</f>
        <v>0.60829215681356441</v>
      </c>
    </row>
    <row r="36" spans="2:12" x14ac:dyDescent="0.35">
      <c r="B36" t="str">
        <f>'Data Sheet'!A59</f>
        <v>Borrowings</v>
      </c>
      <c r="C36" s="16">
        <f>'Data Sheet'!B59/'Data Sheet'!B$61</f>
        <v>1.7636572010696547E-2</v>
      </c>
      <c r="D36" s="16">
        <f>'Data Sheet'!C59/'Data Sheet'!C$61</f>
        <v>0</v>
      </c>
      <c r="E36" s="16">
        <f>'Data Sheet'!D59/'Data Sheet'!D$61</f>
        <v>5.3142949165279939E-3</v>
      </c>
      <c r="F36" s="16">
        <f>'Data Sheet'!E59/'Data Sheet'!E$61</f>
        <v>0</v>
      </c>
      <c r="G36" s="16">
        <f>'Data Sheet'!F59/'Data Sheet'!F$61</f>
        <v>0</v>
      </c>
      <c r="H36" s="16">
        <f>'Data Sheet'!G59/'Data Sheet'!G$61</f>
        <v>1.4793067256687375E-2</v>
      </c>
      <c r="I36" s="16">
        <f>'Data Sheet'!H59/'Data Sheet'!H$61</f>
        <v>1.668103507259466E-2</v>
      </c>
      <c r="J36" s="16">
        <f>'Data Sheet'!I59/'Data Sheet'!I$61</f>
        <v>1.8907108002395239E-2</v>
      </c>
      <c r="K36" s="16">
        <f>'Data Sheet'!J59/'Data Sheet'!J$61</f>
        <v>2.0635338016353005E-2</v>
      </c>
      <c r="L36" s="16">
        <f>'Data Sheet'!K59/'Data Sheet'!K$61</f>
        <v>1.8535704432014848E-2</v>
      </c>
    </row>
    <row r="37" spans="2:12" x14ac:dyDescent="0.35">
      <c r="B37" t="str">
        <f>'Data Sheet'!A60</f>
        <v>Other Liabilities</v>
      </c>
      <c r="C37" s="16">
        <f>'Data Sheet'!B60/'Data Sheet'!B$61</f>
        <v>0.55297338596714629</v>
      </c>
      <c r="D37" s="16">
        <f>'Data Sheet'!C60/'Data Sheet'!C$61</f>
        <v>0.5923748740342627</v>
      </c>
      <c r="E37" s="16">
        <f>'Data Sheet'!D60/'Data Sheet'!D$61</f>
        <v>0.57238713833270705</v>
      </c>
      <c r="F37" s="16">
        <f>'Data Sheet'!E60/'Data Sheet'!E$61</f>
        <v>0.59167369622388721</v>
      </c>
      <c r="G37" s="16">
        <f>'Data Sheet'!F60/'Data Sheet'!F$61</f>
        <v>0.30645912132673842</v>
      </c>
      <c r="H37" s="16">
        <f>'Data Sheet'!G60/'Data Sheet'!G$61</f>
        <v>0.28936544407568149</v>
      </c>
      <c r="I37" s="16">
        <f>'Data Sheet'!H60/'Data Sheet'!H$61</f>
        <v>0.29494916321140713</v>
      </c>
      <c r="J37" s="16">
        <f>'Data Sheet'!I60/'Data Sheet'!I$61</f>
        <v>0.32854285313865639</v>
      </c>
      <c r="K37" s="16">
        <f>'Data Sheet'!J60/'Data Sheet'!J$61</f>
        <v>0.36078033632595818</v>
      </c>
      <c r="L37" s="16">
        <f>'Data Sheet'!K60/'Data Sheet'!K$61</f>
        <v>0.37022498683187438</v>
      </c>
    </row>
    <row r="39" spans="2:12" x14ac:dyDescent="0.35">
      <c r="B39" s="3" t="s">
        <v>291</v>
      </c>
      <c r="C39" s="16">
        <f>'Data Sheet'!B75/'Data Sheet'!B$75</f>
        <v>1</v>
      </c>
      <c r="D39" s="16">
        <f>'Data Sheet'!C75/'Data Sheet'!C$75</f>
        <v>1</v>
      </c>
      <c r="E39" s="16">
        <f>'Data Sheet'!D75/'Data Sheet'!D$75</f>
        <v>1</v>
      </c>
      <c r="F39" s="16">
        <f>'Data Sheet'!E75/'Data Sheet'!E$75</f>
        <v>1</v>
      </c>
      <c r="G39" s="16">
        <f>'Data Sheet'!F75/'Data Sheet'!F$75</f>
        <v>1</v>
      </c>
      <c r="H39" s="16">
        <f>'Data Sheet'!G75/'Data Sheet'!G$75</f>
        <v>1</v>
      </c>
      <c r="I39" s="16">
        <f>'Data Sheet'!H75/'Data Sheet'!H$75</f>
        <v>1</v>
      </c>
      <c r="J39" s="16">
        <f>'Data Sheet'!I75/'Data Sheet'!I$75</f>
        <v>1</v>
      </c>
      <c r="K39" s="16">
        <f>'Data Sheet'!J75/'Data Sheet'!J$75</f>
        <v>1</v>
      </c>
      <c r="L39" s="16">
        <f>'Data Sheet'!K75/'Data Sheet'!K$75</f>
        <v>1</v>
      </c>
    </row>
    <row r="40" spans="2:12" x14ac:dyDescent="0.35">
      <c r="B40" t="str">
        <f>'Data Sheet'!A62</f>
        <v>Net Block</v>
      </c>
      <c r="C40" s="16">
        <f>'Data Sheet'!B62/'Data Sheet'!B$75</f>
        <v>0.2813574430154081</v>
      </c>
      <c r="D40" s="16">
        <f>'Data Sheet'!C62/'Data Sheet'!C$75</f>
        <v>0.25349904825887359</v>
      </c>
      <c r="E40" s="16">
        <f>'Data Sheet'!D62/'Data Sheet'!D$75</f>
        <v>0.25310000536797467</v>
      </c>
      <c r="F40" s="16">
        <f>'Data Sheet'!E62/'Data Sheet'!E$75</f>
        <v>0.27187019302337123</v>
      </c>
      <c r="G40" s="16">
        <f>'Data Sheet'!F62/'Data Sheet'!F$75</f>
        <v>0.74837067209775965</v>
      </c>
      <c r="H40" s="16">
        <f>'Data Sheet'!G62/'Data Sheet'!G$75</f>
        <v>0.73005134314810083</v>
      </c>
      <c r="I40" s="16">
        <f>'Data Sheet'!H62/'Data Sheet'!H$75</f>
        <v>0.720856083309386</v>
      </c>
      <c r="J40" s="16">
        <f>'Data Sheet'!I62/'Data Sheet'!I$75</f>
        <v>0.68473289250723035</v>
      </c>
      <c r="K40" s="16">
        <f>'Data Sheet'!J62/'Data Sheet'!J$75</f>
        <v>0.68035260383406582</v>
      </c>
      <c r="L40" s="16">
        <f>'Data Sheet'!K62/'Data Sheet'!K$75</f>
        <v>0.72020868343826028</v>
      </c>
    </row>
    <row r="41" spans="2:12" x14ac:dyDescent="0.35">
      <c r="B41" t="str">
        <f>'Data Sheet'!A63</f>
        <v>Capital Work in Progress</v>
      </c>
      <c r="C41" s="16">
        <f>'Data Sheet'!B63/'Data Sheet'!B$75</f>
        <v>1.458041512797657E-2</v>
      </c>
      <c r="D41" s="16">
        <f>'Data Sheet'!C63/'Data Sheet'!C$75</f>
        <v>2.5808979957451572E-2</v>
      </c>
      <c r="E41" s="16">
        <f>'Data Sheet'!D63/'Data Sheet'!D$75</f>
        <v>2.1793977132427936E-2</v>
      </c>
      <c r="F41" s="16">
        <f>'Data Sheet'!E63/'Data Sheet'!E$75</f>
        <v>2.9623381134322432E-2</v>
      </c>
      <c r="G41" s="16">
        <f>'Data Sheet'!F63/'Data Sheet'!F$75</f>
        <v>1.0837940064009311E-2</v>
      </c>
      <c r="H41" s="16">
        <f>'Data Sheet'!G63/'Data Sheet'!G$75</f>
        <v>1.8622528579128019E-2</v>
      </c>
      <c r="I41" s="16">
        <f>'Data Sheet'!H63/'Data Sheet'!H$75</f>
        <v>1.5490510009989463E-2</v>
      </c>
      <c r="J41" s="16">
        <f>'Data Sheet'!I63/'Data Sheet'!I$75</f>
        <v>1.305915478602097E-2</v>
      </c>
      <c r="K41" s="16">
        <f>'Data Sheet'!J63/'Data Sheet'!J$75</f>
        <v>1.263413595782778E-2</v>
      </c>
      <c r="L41" s="16">
        <f>'Data Sheet'!K63/'Data Sheet'!K$75</f>
        <v>1.1036143369535227E-2</v>
      </c>
    </row>
    <row r="42" spans="2:12" x14ac:dyDescent="0.35">
      <c r="B42" t="str">
        <f>'Data Sheet'!A64</f>
        <v>Investments</v>
      </c>
      <c r="C42" s="16">
        <f>'Data Sheet'!B64/'Data Sheet'!B$75</f>
        <v>0.24156373360499173</v>
      </c>
      <c r="D42" s="16">
        <f>'Data Sheet'!C64/'Data Sheet'!C$75</f>
        <v>0.16084425036390101</v>
      </c>
      <c r="E42" s="16">
        <f>'Data Sheet'!D64/'Data Sheet'!D$75</f>
        <v>0.14579419185141446</v>
      </c>
      <c r="F42" s="16">
        <f>'Data Sheet'!E64/'Data Sheet'!E$75</f>
        <v>6.2273606907160224E-2</v>
      </c>
      <c r="G42" s="16">
        <f>'Data Sheet'!F64/'Data Sheet'!F$75</f>
        <v>3.9409368635437883E-2</v>
      </c>
      <c r="H42" s="16">
        <f>'Data Sheet'!G64/'Data Sheet'!G$75</f>
        <v>4.9939012282642609E-2</v>
      </c>
      <c r="I42" s="16">
        <f>'Data Sheet'!H64/'Data Sheet'!H$75</f>
        <v>3.9437853223312398E-2</v>
      </c>
      <c r="J42" s="16">
        <f>'Data Sheet'!I64/'Data Sheet'!I$75</f>
        <v>5.8925454522289748E-2</v>
      </c>
      <c r="K42" s="16">
        <f>'Data Sheet'!J64/'Data Sheet'!J$75</f>
        <v>4.7706697719845238E-2</v>
      </c>
      <c r="L42" s="16">
        <f>'Data Sheet'!K64/'Data Sheet'!K$75</f>
        <v>5.4666532895231885E-2</v>
      </c>
    </row>
    <row r="43" spans="2:12" x14ac:dyDescent="0.35">
      <c r="B43" t="str">
        <f>'Data Sheet'!A65</f>
        <v>Other Assets</v>
      </c>
      <c r="C43" s="16">
        <f>'Data Sheet'!B74/'Data Sheet'!B$75</f>
        <v>0.1152425824525659</v>
      </c>
      <c r="D43" s="16">
        <f>'Data Sheet'!C74/'Data Sheet'!C$75</f>
        <v>0.15071100660620312</v>
      </c>
      <c r="E43" s="16">
        <f>'Data Sheet'!D74/'Data Sheet'!D$75</f>
        <v>0.14198292984057115</v>
      </c>
      <c r="F43" s="16">
        <f>'Data Sheet'!E74/'Data Sheet'!E$75</f>
        <v>0.18821019203096312</v>
      </c>
      <c r="G43" s="16">
        <f>'Data Sheet'!F74/'Data Sheet'!F$75</f>
        <v>5.8699447192318885E-2</v>
      </c>
      <c r="H43" s="16">
        <f>'Data Sheet'!G74/'Data Sheet'!G$75</f>
        <v>5.7030607324199359E-2</v>
      </c>
      <c r="I43" s="16">
        <f>'Data Sheet'!H74/'Data Sheet'!H$75</f>
        <v>5.9895726425551132E-2</v>
      </c>
      <c r="J43" s="16">
        <f>'Data Sheet'!I74/'Data Sheet'!I$75</f>
        <v>5.7549465530201682E-2</v>
      </c>
      <c r="K43" s="16">
        <f>'Data Sheet'!J74/'Data Sheet'!J$75</f>
        <v>6.1618020860723988E-2</v>
      </c>
      <c r="L43" s="16">
        <f>'Data Sheet'!K74/'Data Sheet'!K$75</f>
        <v>7.0919762221274676E-2</v>
      </c>
    </row>
    <row r="44" spans="2:12" x14ac:dyDescent="0.35">
      <c r="B44" t="str">
        <f>'Data Sheet'!A67</f>
        <v>Receivables</v>
      </c>
      <c r="C44" s="16">
        <f>'Data Sheet'!B67/'Data Sheet'!B$75</f>
        <v>6.9081879536482871E-2</v>
      </c>
      <c r="D44" s="16">
        <f>'Data Sheet'!C67/'Data Sheet'!C$75</f>
        <v>7.3340051505990364E-2</v>
      </c>
      <c r="E44" s="16">
        <f>'Data Sheet'!D67/'Data Sheet'!D$75</f>
        <v>9.748241988297815E-2</v>
      </c>
      <c r="F44" s="16">
        <f>'Data Sheet'!E67/'Data Sheet'!E$75</f>
        <v>5.7013844092690912E-2</v>
      </c>
      <c r="G44" s="16">
        <f>'Data Sheet'!F67/'Data Sheet'!F$75</f>
        <v>2.5574629036950829E-2</v>
      </c>
      <c r="H44" s="16">
        <f>'Data Sheet'!G67/'Data Sheet'!G$75</f>
        <v>3.1713613025841775E-2</v>
      </c>
      <c r="I44" s="16">
        <f>'Data Sheet'!H67/'Data Sheet'!H$75</f>
        <v>4.2133639859326465E-2</v>
      </c>
      <c r="J44" s="16">
        <f>'Data Sheet'!I67/'Data Sheet'!I$75</f>
        <v>3.8183694530443756E-2</v>
      </c>
      <c r="K44" s="16">
        <f>'Data Sheet'!J67/'Data Sheet'!J$75</f>
        <v>4.781939070658503E-2</v>
      </c>
      <c r="L44" s="16">
        <f>'Data Sheet'!K67/'Data Sheet'!K$75</f>
        <v>4.2376282324613108E-2</v>
      </c>
    </row>
    <row r="45" spans="2:12" x14ac:dyDescent="0.35">
      <c r="B45" t="str">
        <f>'Data Sheet'!A68</f>
        <v>Inventory</v>
      </c>
      <c r="C45" s="16">
        <f>'Data Sheet'!B68/'Data Sheet'!B$75</f>
        <v>0.16178530497898891</v>
      </c>
      <c r="D45" s="16">
        <f>'Data Sheet'!C68/'Data Sheet'!C$75</f>
        <v>0.14068973239278917</v>
      </c>
      <c r="E45" s="16">
        <f>'Data Sheet'!D68/'Data Sheet'!D$75</f>
        <v>0.13817166782972784</v>
      </c>
      <c r="F45" s="16">
        <f>'Data Sheet'!E68/'Data Sheet'!E$75</f>
        <v>0.13729965761921303</v>
      </c>
      <c r="G45" s="16">
        <f>'Data Sheet'!F68/'Data Sheet'!F$75</f>
        <v>5.2065755018911843E-2</v>
      </c>
      <c r="H45" s="16">
        <f>'Data Sheet'!G68/'Data Sheet'!G$75</f>
        <v>5.8094346580432873E-2</v>
      </c>
      <c r="I45" s="16">
        <f>'Data Sheet'!H68/'Data Sheet'!H$75</f>
        <v>5.8171517714191878E-2</v>
      </c>
      <c r="J45" s="16">
        <f>'Data Sheet'!I68/'Data Sheet'!I$75</f>
        <v>5.1242849316464729E-2</v>
      </c>
      <c r="K45" s="16">
        <f>'Data Sheet'!J68/'Data Sheet'!J$75</f>
        <v>5.5282170717353467E-2</v>
      </c>
      <c r="L45" s="16">
        <f>'Data Sheet'!K68/'Data Sheet'!K$75</f>
        <v>6.0059193859891141E-2</v>
      </c>
    </row>
    <row r="46" spans="2:12" x14ac:dyDescent="0.35">
      <c r="B46" t="str">
        <f>'Data Sheet'!A69</f>
        <v>Cash &amp; Bank</v>
      </c>
      <c r="C46" s="16">
        <f>'Data Sheet'!B69/'Data Sheet'!B$75</f>
        <v>0.11638864128358589</v>
      </c>
      <c r="D46" s="16">
        <f>'Data Sheet'!C69/'Data Sheet'!C$75</f>
        <v>0.19510693091479117</v>
      </c>
      <c r="E46" s="16">
        <f>'Data Sheet'!D69/'Data Sheet'!D$75</f>
        <v>0.20167480809490579</v>
      </c>
      <c r="F46" s="16">
        <f>'Data Sheet'!E69/'Data Sheet'!E$75</f>
        <v>0.25370912519227906</v>
      </c>
      <c r="G46" s="16">
        <f>'Data Sheet'!F69/'Data Sheet'!F$75</f>
        <v>6.5042187954611586E-2</v>
      </c>
      <c r="H46" s="16">
        <f>'Data Sheet'!G69/'Data Sheet'!G$75</f>
        <v>5.4548549059654498E-2</v>
      </c>
      <c r="I46" s="16">
        <f>'Data Sheet'!H69/'Data Sheet'!H$75</f>
        <v>6.4014669458242676E-2</v>
      </c>
      <c r="J46" s="16">
        <f>'Data Sheet'!I69/'Data Sheet'!I$75</f>
        <v>9.6306488807348795E-2</v>
      </c>
      <c r="K46" s="16">
        <f>'Data Sheet'!J69/'Data Sheet'!J$75</f>
        <v>9.4586980203598667E-2</v>
      </c>
      <c r="L46" s="16">
        <f>'Data Sheet'!K69/'Data Sheet'!K$75</f>
        <v>4.0733401891193656E-2</v>
      </c>
    </row>
    <row r="47" spans="2:12" ht="15" thickBot="1" x14ac:dyDescent="0.4">
      <c r="B47" s="198"/>
      <c r="C47" s="198"/>
      <c r="D47" s="198"/>
      <c r="E47" s="198"/>
      <c r="F47" s="198"/>
      <c r="G47" s="198"/>
      <c r="H47" s="198"/>
      <c r="I47" s="198"/>
      <c r="J47" s="198"/>
      <c r="K47" s="198"/>
      <c r="L47" s="198"/>
    </row>
    <row r="48" spans="2:12" ht="3" customHeight="1" x14ac:dyDescent="0.35">
      <c r="B48" s="249"/>
      <c r="C48" s="249"/>
      <c r="D48" s="249"/>
      <c r="E48" s="249"/>
      <c r="F48" s="249"/>
      <c r="G48" s="249"/>
      <c r="H48" s="249"/>
      <c r="I48" s="249"/>
      <c r="J48" s="249"/>
      <c r="K48" s="249"/>
      <c r="L48" s="249"/>
    </row>
  </sheetData>
  <mergeCells count="4">
    <mergeCell ref="B7:L7"/>
    <mergeCell ref="B29:L29"/>
    <mergeCell ref="N1:O1"/>
    <mergeCell ref="B48:L48"/>
  </mergeCells>
  <pageMargins left="0.7" right="0.7" top="0.75" bottom="0.75" header="0.3" footer="0.3"/>
  <pageSetup scale="6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041D-B23B-4340-97D6-12B308B5A4B7}">
  <sheetPr>
    <tabColor rgb="FF002060"/>
  </sheetPr>
  <dimension ref="A1"/>
  <sheetViews>
    <sheetView topLeftCell="Y1" workbookViewId="0">
      <selection activeCell="A2" sqref="A2"/>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9DD7-BC88-40AD-BE65-960F10C4EAB7}">
  <dimension ref="B1:Q49"/>
  <sheetViews>
    <sheetView showGridLines="0" topLeftCell="A27" zoomScaleNormal="100" workbookViewId="0">
      <selection activeCell="J32" sqref="J32"/>
    </sheetView>
  </sheetViews>
  <sheetFormatPr defaultRowHeight="14.5" x14ac:dyDescent="0.35"/>
  <cols>
    <col min="1" max="1" width="1.81640625" customWidth="1"/>
    <col min="2" max="2" width="28.6328125" customWidth="1"/>
    <col min="3" max="3" width="9.26953125" bestFit="1" customWidth="1"/>
    <col min="4" max="4" width="7.81640625" bestFit="1" customWidth="1"/>
    <col min="5" max="5" width="9.90625" bestFit="1" customWidth="1"/>
    <col min="6" max="6" width="10.6328125" bestFit="1" customWidth="1"/>
    <col min="7" max="7" width="29.90625" bestFit="1" customWidth="1"/>
    <col min="8" max="8" width="9.08984375" bestFit="1" customWidth="1"/>
    <col min="9" max="10" width="11.54296875" bestFit="1" customWidth="1"/>
    <col min="11" max="11" width="11.36328125" bestFit="1" customWidth="1"/>
  </cols>
  <sheetData>
    <row r="1" spans="2:17" x14ac:dyDescent="0.35">
      <c r="B1" s="47"/>
      <c r="C1" s="47"/>
      <c r="D1" s="47"/>
      <c r="E1" s="47"/>
      <c r="F1" s="47"/>
      <c r="G1" s="47"/>
      <c r="H1" s="47"/>
      <c r="I1" s="47"/>
      <c r="J1" s="47"/>
      <c r="K1" s="47"/>
      <c r="L1" s="47"/>
    </row>
    <row r="2" spans="2:17" ht="26" x14ac:dyDescent="0.6">
      <c r="B2" s="186" t="s">
        <v>289</v>
      </c>
    </row>
    <row r="3" spans="2:17" ht="18.5" x14ac:dyDescent="0.45">
      <c r="B3" s="188" t="s">
        <v>388</v>
      </c>
    </row>
    <row r="4" spans="2:17" ht="21" x14ac:dyDescent="0.5">
      <c r="B4" s="187" t="s">
        <v>389</v>
      </c>
    </row>
    <row r="5" spans="2:17" ht="18.5" x14ac:dyDescent="0.45">
      <c r="B5" s="188" t="s">
        <v>390</v>
      </c>
    </row>
    <row r="7" spans="2:17" x14ac:dyDescent="0.35">
      <c r="B7" s="47" t="s">
        <v>39</v>
      </c>
      <c r="C7" s="47"/>
      <c r="D7" s="47"/>
      <c r="E7" s="47"/>
      <c r="F7" s="47"/>
      <c r="G7" s="47"/>
      <c r="H7" s="47"/>
      <c r="I7" s="47"/>
      <c r="J7" s="47"/>
      <c r="K7" s="47"/>
      <c r="L7" s="47"/>
      <c r="M7" s="44"/>
      <c r="N7" s="44"/>
      <c r="O7" s="44"/>
      <c r="P7" s="44"/>
      <c r="Q7" s="44"/>
    </row>
    <row r="9" spans="2:17" x14ac:dyDescent="0.35">
      <c r="B9" s="14" t="s">
        <v>40</v>
      </c>
      <c r="C9" s="14"/>
    </row>
    <row r="11" spans="2:17" ht="15" thickBot="1" x14ac:dyDescent="0.4">
      <c r="B11" t="s">
        <v>41</v>
      </c>
    </row>
    <row r="12" spans="2:17" x14ac:dyDescent="0.35">
      <c r="B12" s="15"/>
      <c r="C12" s="15"/>
      <c r="D12" s="15"/>
      <c r="E12" s="15"/>
      <c r="F12" s="15"/>
      <c r="G12" s="15"/>
      <c r="H12" s="15"/>
      <c r="I12" s="15" t="s">
        <v>47</v>
      </c>
      <c r="J12" s="15" t="s">
        <v>47</v>
      </c>
      <c r="K12" s="15" t="s">
        <v>50</v>
      </c>
      <c r="L12" s="15" t="s">
        <v>51</v>
      </c>
    </row>
    <row r="13" spans="2:17" ht="17" thickBot="1" x14ac:dyDescent="0.4">
      <c r="B13" s="10" t="s">
        <v>42</v>
      </c>
      <c r="C13" s="10"/>
      <c r="D13" s="10"/>
      <c r="E13" s="10" t="s">
        <v>43</v>
      </c>
      <c r="F13" s="10" t="s">
        <v>44</v>
      </c>
      <c r="G13" s="10" t="s">
        <v>45</v>
      </c>
      <c r="H13" s="10" t="s">
        <v>46</v>
      </c>
      <c r="I13" s="10" t="s">
        <v>48</v>
      </c>
      <c r="J13" s="10" t="s">
        <v>49</v>
      </c>
      <c r="K13" s="10" t="s">
        <v>52</v>
      </c>
      <c r="L13" s="10" t="s">
        <v>53</v>
      </c>
    </row>
    <row r="15" spans="2:17" x14ac:dyDescent="0.35">
      <c r="B15" s="17" t="s">
        <v>88</v>
      </c>
      <c r="C15" s="17"/>
      <c r="E15" s="17" t="s">
        <v>55</v>
      </c>
      <c r="F15" s="36">
        <f>'Beta Comps'!F11</f>
        <v>1478</v>
      </c>
      <c r="G15" s="36">
        <f>'Beta Comps'!E11</f>
        <v>452766.24</v>
      </c>
      <c r="H15" s="19">
        <v>0.3</v>
      </c>
      <c r="I15" s="20">
        <f>F15/G15</f>
        <v>3.2643776620801057E-3</v>
      </c>
      <c r="J15" s="20">
        <f>F15/(F15+G15)</f>
        <v>3.2537561731107475E-3</v>
      </c>
      <c r="K15" s="9">
        <f>Levered_Raw_Beta</f>
        <v>0.55799676159634826</v>
      </c>
      <c r="L15" s="21">
        <f>K15/(1+(1-H15)*I15)</f>
        <v>0.55672461002971041</v>
      </c>
    </row>
    <row r="16" spans="2:17" x14ac:dyDescent="0.35">
      <c r="B16" s="17" t="s">
        <v>54</v>
      </c>
      <c r="C16" s="17"/>
      <c r="E16" s="17" t="s">
        <v>55</v>
      </c>
      <c r="F16" s="36">
        <f>'Beta Comps'!F12</f>
        <v>2399.06</v>
      </c>
      <c r="G16" s="36">
        <f>'Beta Comps'!E12</f>
        <v>325586.39</v>
      </c>
      <c r="H16" s="19">
        <v>0.3</v>
      </c>
      <c r="I16" s="20">
        <f t="shared" ref="I16:I19" si="0">F16/G16</f>
        <v>7.368428391616738E-3</v>
      </c>
      <c r="J16" s="20">
        <f t="shared" ref="J16:J19" si="1">F16/(F16+G16)</f>
        <v>7.3145317879192507E-3</v>
      </c>
      <c r="K16" s="18">
        <v>0.55000000000000004</v>
      </c>
      <c r="L16" s="21">
        <f t="shared" ref="L16:L19" si="2">K16/(1+(1-H16)*I16)</f>
        <v>0.54717771214738731</v>
      </c>
    </row>
    <row r="17" spans="2:14" x14ac:dyDescent="0.35">
      <c r="B17" s="17" t="s">
        <v>89</v>
      </c>
      <c r="C17" s="17"/>
      <c r="E17" s="17" t="s">
        <v>55</v>
      </c>
      <c r="F17" s="36">
        <f>'Beta Comps'!F13</f>
        <v>444.16</v>
      </c>
      <c r="G17" s="36">
        <f>'Beta Comps'!E13</f>
        <v>266743.71999999997</v>
      </c>
      <c r="H17" s="19">
        <v>0.3</v>
      </c>
      <c r="I17" s="20">
        <f t="shared" si="0"/>
        <v>1.6651188639042751E-3</v>
      </c>
      <c r="J17" s="20">
        <f t="shared" si="1"/>
        <v>1.6623508521419464E-3</v>
      </c>
      <c r="K17" s="18">
        <v>0.82</v>
      </c>
      <c r="L17" s="21">
        <f t="shared" si="2"/>
        <v>0.81904533451417527</v>
      </c>
    </row>
    <row r="18" spans="2:14" x14ac:dyDescent="0.35">
      <c r="B18" s="17" t="s">
        <v>90</v>
      </c>
      <c r="C18" s="17"/>
      <c r="E18" s="17" t="s">
        <v>55</v>
      </c>
      <c r="F18" s="36">
        <f>'Beta Comps'!F14</f>
        <v>2508.1799999999998</v>
      </c>
      <c r="G18" s="36">
        <f>'Beta Comps'!E14</f>
        <v>140879.66</v>
      </c>
      <c r="H18" s="19">
        <v>0.3</v>
      </c>
      <c r="I18" s="20">
        <f t="shared" si="0"/>
        <v>1.7803705659141994E-2</v>
      </c>
      <c r="J18" s="20">
        <f t="shared" si="1"/>
        <v>1.7492278285243714E-2</v>
      </c>
      <c r="K18" s="18">
        <v>1.06</v>
      </c>
      <c r="L18" s="21">
        <f>K18/(1+(1-H18)*I18)</f>
        <v>1.0469522590978932</v>
      </c>
    </row>
    <row r="19" spans="2:14" x14ac:dyDescent="0.35">
      <c r="B19" s="17" t="s">
        <v>91</v>
      </c>
      <c r="C19" s="17"/>
      <c r="E19" s="17" t="s">
        <v>55</v>
      </c>
      <c r="F19" s="36">
        <f>'Beta Comps'!F15</f>
        <v>1380.28</v>
      </c>
      <c r="G19" s="36">
        <f>'Beta Comps'!E15</f>
        <v>119518.85</v>
      </c>
      <c r="H19" s="19">
        <v>0.3</v>
      </c>
      <c r="I19" s="20">
        <f t="shared" si="0"/>
        <v>1.1548638562034357E-2</v>
      </c>
      <c r="J19" s="20">
        <f t="shared" si="1"/>
        <v>1.1416790178721716E-2</v>
      </c>
      <c r="K19" s="18">
        <v>0.52</v>
      </c>
      <c r="L19" s="21">
        <f t="shared" si="2"/>
        <v>0.51583000599095097</v>
      </c>
      <c r="N19" t="s">
        <v>56</v>
      </c>
    </row>
    <row r="20" spans="2:14" ht="15" thickBot="1" x14ac:dyDescent="0.4"/>
    <row r="21" spans="2:14" x14ac:dyDescent="0.35">
      <c r="G21" s="22" t="s">
        <v>57</v>
      </c>
      <c r="H21" s="24">
        <f>AVERAGE(H15:H19)</f>
        <v>0.3</v>
      </c>
      <c r="I21" s="24">
        <f t="shared" ref="I21:J21" si="3">AVERAGE(I15:I19)</f>
        <v>8.3300538277554931E-3</v>
      </c>
      <c r="J21" s="24">
        <f t="shared" si="3"/>
        <v>8.2279414554274743E-3</v>
      </c>
      <c r="K21" s="28">
        <f>AVERAGE(K15:K19)</f>
        <v>0.70159935231926962</v>
      </c>
      <c r="L21" s="28">
        <f>AVERAGE(L15:L19)</f>
        <v>0.69714598435602348</v>
      </c>
    </row>
    <row r="22" spans="2:14" ht="15" thickBot="1" x14ac:dyDescent="0.4">
      <c r="G22" s="23" t="s">
        <v>58</v>
      </c>
      <c r="H22" s="25">
        <f>MEDIAN(H15:H19)</f>
        <v>0.3</v>
      </c>
      <c r="I22" s="25">
        <f t="shared" ref="I22:J22" si="4">MEDIAN(I15:I19)</f>
        <v>7.368428391616738E-3</v>
      </c>
      <c r="J22" s="25">
        <f t="shared" si="4"/>
        <v>7.3145317879192507E-3</v>
      </c>
      <c r="K22" s="29">
        <f>MEDIAN(K15:K19)</f>
        <v>0.55799676159634826</v>
      </c>
      <c r="L22" s="29">
        <f>MEDIAN(L15:L19)</f>
        <v>0.55672461002971041</v>
      </c>
    </row>
    <row r="25" spans="2:14" ht="15" thickBot="1" x14ac:dyDescent="0.4">
      <c r="B25" s="23" t="s">
        <v>59</v>
      </c>
      <c r="C25" s="23"/>
      <c r="D25" s="10"/>
      <c r="E25" s="10"/>
      <c r="G25" s="23" t="s">
        <v>63</v>
      </c>
      <c r="H25" s="23"/>
      <c r="I25" s="3"/>
      <c r="J25" s="3"/>
    </row>
    <row r="26" spans="2:14" x14ac:dyDescent="0.35">
      <c r="E26" s="15"/>
    </row>
    <row r="27" spans="2:14" x14ac:dyDescent="0.35">
      <c r="B27" t="s">
        <v>60</v>
      </c>
      <c r="E27" s="41">
        <f>HistoricalFS!M26/WACC!F15</f>
        <v>0.24560216508795671</v>
      </c>
      <c r="G27" t="s">
        <v>64</v>
      </c>
      <c r="H27" s="19">
        <v>7.0209999999999995E-2</v>
      </c>
    </row>
    <row r="28" spans="2:14" x14ac:dyDescent="0.35">
      <c r="B28" t="s">
        <v>61</v>
      </c>
      <c r="E28" s="1">
        <f>H22</f>
        <v>0.3</v>
      </c>
      <c r="G28" t="s">
        <v>65</v>
      </c>
      <c r="H28" s="40">
        <f>Rm!F16-WACC!H27</f>
        <v>8.1282307692307709E-2</v>
      </c>
    </row>
    <row r="29" spans="2:14" ht="16.5" x14ac:dyDescent="0.35">
      <c r="B29" s="26" t="s">
        <v>62</v>
      </c>
      <c r="C29" s="26"/>
      <c r="D29" s="26"/>
      <c r="E29" s="30">
        <f>E27*(1-E28)</f>
        <v>0.17192151556156968</v>
      </c>
      <c r="G29" t="s">
        <v>66</v>
      </c>
      <c r="H29" s="9">
        <f>H38</f>
        <v>0.55959613982570866</v>
      </c>
      <c r="J29" t="s">
        <v>56</v>
      </c>
    </row>
    <row r="30" spans="2:14" x14ac:dyDescent="0.35">
      <c r="G30" s="26" t="s">
        <v>63</v>
      </c>
      <c r="H30" s="30">
        <f>H27+(H28*H29)</f>
        <v>0.11569526562074089</v>
      </c>
    </row>
    <row r="33" spans="2:10" ht="15" thickBot="1" x14ac:dyDescent="0.4">
      <c r="B33" s="23" t="s">
        <v>67</v>
      </c>
      <c r="C33" s="23"/>
      <c r="D33" s="10"/>
      <c r="E33" s="10"/>
      <c r="G33" s="23" t="s">
        <v>72</v>
      </c>
      <c r="H33" s="23"/>
      <c r="I33" s="3"/>
      <c r="J33" s="3"/>
    </row>
    <row r="35" spans="2:10" ht="15" thickBot="1" x14ac:dyDescent="0.4">
      <c r="C35" s="23"/>
      <c r="D35" s="23" t="s">
        <v>68</v>
      </c>
      <c r="E35" s="23" t="s">
        <v>69</v>
      </c>
      <c r="G35" t="s">
        <v>73</v>
      </c>
      <c r="H35" s="9">
        <f>L22</f>
        <v>0.55672461002971041</v>
      </c>
      <c r="J35" t="s">
        <v>56</v>
      </c>
    </row>
    <row r="36" spans="2:10" x14ac:dyDescent="0.35">
      <c r="B36" t="s">
        <v>44</v>
      </c>
      <c r="C36" s="37">
        <f>F15</f>
        <v>1478</v>
      </c>
      <c r="D36" s="16">
        <f>C36/$C$38</f>
        <v>3.2537561731107475E-3</v>
      </c>
      <c r="E36" s="1">
        <f>J22</f>
        <v>7.3145317879192507E-3</v>
      </c>
      <c r="G36" t="s">
        <v>74</v>
      </c>
      <c r="H36" s="1">
        <f>E40</f>
        <v>7.368428391616738E-3</v>
      </c>
    </row>
    <row r="37" spans="2:10" x14ac:dyDescent="0.35">
      <c r="B37" t="s">
        <v>70</v>
      </c>
      <c r="C37" s="37">
        <f>G15</f>
        <v>452766.24</v>
      </c>
      <c r="D37" s="16">
        <f>C37/$C$38</f>
        <v>0.99674624382688926</v>
      </c>
      <c r="E37" s="1">
        <f>E38-E36</f>
        <v>0.9926854682120807</v>
      </c>
      <c r="G37" t="s">
        <v>61</v>
      </c>
      <c r="H37" s="1">
        <f>E28</f>
        <v>0.3</v>
      </c>
    </row>
    <row r="38" spans="2:10" x14ac:dyDescent="0.35">
      <c r="B38" s="26" t="s">
        <v>71</v>
      </c>
      <c r="C38" s="33">
        <f>SUM(C36:C37)</f>
        <v>454244.24</v>
      </c>
      <c r="D38" s="31">
        <f>SUM(D36:D37)</f>
        <v>1</v>
      </c>
      <c r="E38" s="27">
        <f>D38</f>
        <v>1</v>
      </c>
      <c r="G38" s="26" t="s">
        <v>72</v>
      </c>
      <c r="H38" s="32">
        <f>H35*(1+(1-H37)*H36)</f>
        <v>0.55959613982570866</v>
      </c>
    </row>
    <row r="40" spans="2:10" ht="15" thickBot="1" x14ac:dyDescent="0.4">
      <c r="B40" t="s">
        <v>75</v>
      </c>
      <c r="D40" s="30">
        <f>D36/D37</f>
        <v>3.2643776620801053E-3</v>
      </c>
      <c r="E40" s="30">
        <f>E36/E37</f>
        <v>7.368428391616738E-3</v>
      </c>
      <c r="G40" s="23" t="s">
        <v>76</v>
      </c>
      <c r="H40" s="23"/>
      <c r="I40" s="3"/>
      <c r="J40" s="3"/>
    </row>
    <row r="42" spans="2:10" x14ac:dyDescent="0.35">
      <c r="B42" s="34" t="s">
        <v>77</v>
      </c>
      <c r="G42" t="s">
        <v>63</v>
      </c>
      <c r="H42" s="1">
        <f>H30</f>
        <v>0.11569526562074089</v>
      </c>
    </row>
    <row r="43" spans="2:10" x14ac:dyDescent="0.35">
      <c r="B43" s="35" t="s">
        <v>78</v>
      </c>
      <c r="G43" t="s">
        <v>99</v>
      </c>
      <c r="H43" s="1">
        <f>E37</f>
        <v>0.9926854682120807</v>
      </c>
    </row>
    <row r="44" spans="2:10" x14ac:dyDescent="0.35">
      <c r="B44" s="35" t="s">
        <v>79</v>
      </c>
    </row>
    <row r="45" spans="2:10" x14ac:dyDescent="0.35">
      <c r="B45" s="35" t="s">
        <v>80</v>
      </c>
      <c r="G45" t="s">
        <v>100</v>
      </c>
      <c r="H45" s="1">
        <f>E29</f>
        <v>0.17192151556156968</v>
      </c>
    </row>
    <row r="46" spans="2:10" x14ac:dyDescent="0.35">
      <c r="B46" s="35" t="s">
        <v>81</v>
      </c>
      <c r="G46" t="s">
        <v>101</v>
      </c>
      <c r="H46" s="1">
        <f>E36</f>
        <v>7.3145317879192507E-3</v>
      </c>
    </row>
    <row r="47" spans="2:10" x14ac:dyDescent="0.35">
      <c r="H47" s="1"/>
    </row>
    <row r="48" spans="2:10" x14ac:dyDescent="0.35">
      <c r="G48" s="42" t="s">
        <v>102</v>
      </c>
      <c r="H48" s="43">
        <f>(H42*H43)+(H45*H46)</f>
        <v>0.11610653431324856</v>
      </c>
    </row>
    <row r="49" spans="2:8" ht="15" thickBot="1" x14ac:dyDescent="0.4">
      <c r="B49" s="198"/>
      <c r="C49" s="198"/>
      <c r="D49" s="198"/>
      <c r="E49" s="198"/>
      <c r="F49" s="198"/>
      <c r="G49" s="198"/>
      <c r="H49" s="198"/>
    </row>
  </sheetData>
  <printOptions horizontalCentered="1"/>
  <pageMargins left="0.31496062992125984" right="0.31496062992125984" top="0.35433070866141736" bottom="0.35433070866141736" header="0.31496062992125984" footer="0.31496062992125984"/>
  <pageSetup scale="7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49DB1-E972-4C0E-8ECE-0EB3631E31E7}">
  <dimension ref="B1:Q118"/>
  <sheetViews>
    <sheetView showGridLines="0" topLeftCell="A5" zoomScale="76" zoomScaleNormal="90" workbookViewId="0">
      <selection activeCell="B1" sqref="B1:Q40"/>
    </sheetView>
  </sheetViews>
  <sheetFormatPr defaultRowHeight="14.5" x14ac:dyDescent="0.35"/>
  <cols>
    <col min="1" max="1" width="1.81640625" customWidth="1"/>
    <col min="2" max="2" width="14.81640625" bestFit="1" customWidth="1"/>
    <col min="3" max="3" width="11.453125" bestFit="1" customWidth="1"/>
    <col min="4" max="4" width="13.453125" bestFit="1" customWidth="1"/>
    <col min="6" max="6" width="11.453125" bestFit="1" customWidth="1"/>
    <col min="7" max="7" width="13.453125" bestFit="1" customWidth="1"/>
    <col min="8" max="8" width="14.36328125" customWidth="1"/>
    <col min="9" max="9" width="17.90625" bestFit="1" customWidth="1"/>
    <col min="10" max="10" width="11.36328125" bestFit="1" customWidth="1"/>
    <col min="11" max="11" width="11.1796875" customWidth="1"/>
    <col min="12" max="12" width="15.7265625" bestFit="1" customWidth="1"/>
    <col min="13" max="14" width="14.81640625" bestFit="1" customWidth="1"/>
    <col min="15" max="16" width="8.81640625" bestFit="1" customWidth="1"/>
    <col min="17" max="17" width="12.90625" bestFit="1" customWidth="1"/>
  </cols>
  <sheetData>
    <row r="1" spans="2:17" x14ac:dyDescent="0.35">
      <c r="B1" s="47"/>
      <c r="C1" s="47"/>
      <c r="D1" s="47"/>
      <c r="E1" s="47"/>
      <c r="F1" s="47"/>
      <c r="G1" s="47"/>
      <c r="H1" s="47"/>
      <c r="I1" s="47"/>
      <c r="J1" s="47"/>
      <c r="K1" s="47"/>
      <c r="L1" s="47"/>
      <c r="M1" s="47"/>
      <c r="N1" s="47"/>
      <c r="O1" s="47"/>
      <c r="P1" s="47"/>
      <c r="Q1" s="47"/>
    </row>
    <row r="2" spans="2:17" ht="26" x14ac:dyDescent="0.6">
      <c r="B2" s="186" t="s">
        <v>289</v>
      </c>
    </row>
    <row r="3" spans="2:17" ht="18.5" x14ac:dyDescent="0.45">
      <c r="B3" s="188" t="s">
        <v>388</v>
      </c>
    </row>
    <row r="4" spans="2:17" ht="21" x14ac:dyDescent="0.5">
      <c r="B4" s="187" t="s">
        <v>389</v>
      </c>
    </row>
    <row r="5" spans="2:17" ht="18.5" x14ac:dyDescent="0.45">
      <c r="B5" s="188" t="s">
        <v>390</v>
      </c>
    </row>
    <row r="6" spans="2:17" s="198" customFormat="1" ht="15" thickBot="1" x14ac:dyDescent="0.4"/>
    <row r="7" spans="2:17" x14ac:dyDescent="0.35">
      <c r="B7" s="247" t="s">
        <v>391</v>
      </c>
      <c r="C7" s="247"/>
      <c r="D7" s="247"/>
      <c r="E7" s="247"/>
      <c r="F7" s="247"/>
      <c r="G7" s="247"/>
      <c r="H7" s="247"/>
      <c r="I7" s="247"/>
      <c r="J7" s="247"/>
    </row>
    <row r="9" spans="2:17" s="4" customFormat="1" x14ac:dyDescent="0.35">
      <c r="B9" s="247" t="s">
        <v>3</v>
      </c>
      <c r="C9" s="247"/>
      <c r="D9" s="247"/>
      <c r="F9" s="247" t="s">
        <v>4</v>
      </c>
      <c r="G9" s="247"/>
      <c r="I9" s="247" t="s">
        <v>33</v>
      </c>
      <c r="J9" s="247"/>
      <c r="K9" s="13"/>
    </row>
    <row r="10" spans="2:17" s="4" customFormat="1" x14ac:dyDescent="0.35">
      <c r="B10" s="5"/>
    </row>
    <row r="11" spans="2:17" x14ac:dyDescent="0.35">
      <c r="B11" s="2" t="s">
        <v>0</v>
      </c>
      <c r="C11" s="2" t="s">
        <v>1</v>
      </c>
      <c r="D11" s="2" t="s">
        <v>2</v>
      </c>
      <c r="F11" s="2" t="s">
        <v>1</v>
      </c>
      <c r="G11" s="2" t="s">
        <v>2</v>
      </c>
      <c r="I11" s="3" t="s">
        <v>34</v>
      </c>
      <c r="J11" s="9">
        <f>M14</f>
        <v>0.55799676159634826</v>
      </c>
      <c r="L11" s="189" t="s">
        <v>5</v>
      </c>
      <c r="M11" s="190">
        <f>SLOPE(D13:D117,G13:G117)</f>
        <v>0.55799676159634892</v>
      </c>
    </row>
    <row r="12" spans="2:17" x14ac:dyDescent="0.35">
      <c r="B12" s="6">
        <v>45544</v>
      </c>
      <c r="C12" s="7">
        <v>2818</v>
      </c>
      <c r="F12" s="7">
        <v>25356.5</v>
      </c>
      <c r="I12" s="3" t="s">
        <v>35</v>
      </c>
      <c r="J12" s="8">
        <v>0.75</v>
      </c>
      <c r="L12" s="189" t="s">
        <v>6</v>
      </c>
      <c r="M12" s="190">
        <f>_xlfn.COVARIANCE.S(D12:D117,G12:G117)/_xlfn.VAR.S(G12:G117)</f>
        <v>0.55799676159634881</v>
      </c>
    </row>
    <row r="13" spans="2:17" x14ac:dyDescent="0.35">
      <c r="B13" s="6">
        <v>45551</v>
      </c>
      <c r="C13" s="7">
        <v>2860.9</v>
      </c>
      <c r="D13" s="8">
        <f>C13/C12-1</f>
        <v>1.5223562810503966E-2</v>
      </c>
      <c r="F13" s="7">
        <v>25790.95</v>
      </c>
      <c r="G13" s="8">
        <f>F13/F12-1</f>
        <v>1.7133673811448702E-2</v>
      </c>
      <c r="I13" s="3"/>
      <c r="L13" s="189"/>
      <c r="M13" s="189"/>
    </row>
    <row r="14" spans="2:17" x14ac:dyDescent="0.35">
      <c r="B14" s="6">
        <v>45558</v>
      </c>
      <c r="C14" s="7">
        <v>2850</v>
      </c>
      <c r="D14" s="1">
        <f t="shared" ref="D14:D77" si="0">C14/C13-1</f>
        <v>-3.8099898633296991E-3</v>
      </c>
      <c r="F14" s="7">
        <v>26178.95</v>
      </c>
      <c r="G14" s="8">
        <f t="shared" ref="G14:G77" si="1">F14/F13-1</f>
        <v>1.5044036764834123E-2</v>
      </c>
      <c r="I14" s="3" t="s">
        <v>36</v>
      </c>
      <c r="J14" s="9">
        <v>1</v>
      </c>
      <c r="L14" s="189" t="s">
        <v>7</v>
      </c>
      <c r="M14" s="190">
        <f>J37</f>
        <v>0.55799676159634826</v>
      </c>
    </row>
    <row r="15" spans="2:17" x14ac:dyDescent="0.35">
      <c r="B15" s="6">
        <v>45565</v>
      </c>
      <c r="C15" s="7">
        <v>2737.1</v>
      </c>
      <c r="D15" s="1">
        <f t="shared" si="0"/>
        <v>-3.9614035087719324E-2</v>
      </c>
      <c r="F15" s="7">
        <v>25014.6</v>
      </c>
      <c r="G15" s="8">
        <f t="shared" si="1"/>
        <v>-4.4476573735768743E-2</v>
      </c>
      <c r="I15" s="3" t="s">
        <v>37</v>
      </c>
      <c r="J15" s="8">
        <v>0.25</v>
      </c>
    </row>
    <row r="16" spans="2:17" x14ac:dyDescent="0.35">
      <c r="B16" s="6">
        <v>45572</v>
      </c>
      <c r="C16" s="7">
        <v>2674.12</v>
      </c>
      <c r="D16" s="1">
        <f t="shared" si="0"/>
        <v>-2.3009754850023767E-2</v>
      </c>
      <c r="F16" s="7">
        <v>24964.25</v>
      </c>
      <c r="G16" s="8">
        <f t="shared" si="1"/>
        <v>-2.0128245104857889E-3</v>
      </c>
    </row>
    <row r="17" spans="2:14" x14ac:dyDescent="0.35">
      <c r="B17" s="6">
        <v>45579</v>
      </c>
      <c r="C17" s="7">
        <v>2610.61</v>
      </c>
      <c r="D17" s="1">
        <f t="shared" si="0"/>
        <v>-2.3749869115821221E-2</v>
      </c>
      <c r="F17" s="7">
        <v>24854.05</v>
      </c>
      <c r="G17" s="8">
        <f t="shared" si="1"/>
        <v>-4.4143124668275524E-3</v>
      </c>
      <c r="I17" s="3" t="s">
        <v>38</v>
      </c>
      <c r="J17" s="9">
        <f>(Levered_Raw_Beta*Raw_Beta_Weight)+(Market_Beta*Market_Beta_Weight)</f>
        <v>0.66849757119726116</v>
      </c>
    </row>
    <row r="18" spans="2:14" x14ac:dyDescent="0.35">
      <c r="B18" s="6">
        <v>45586</v>
      </c>
      <c r="C18" s="7">
        <v>2428.9699999999998</v>
      </c>
      <c r="D18" s="1">
        <f t="shared" si="0"/>
        <v>-6.9577608298443727E-2</v>
      </c>
      <c r="F18" s="7">
        <v>24180.799999999999</v>
      </c>
      <c r="G18" s="8">
        <f t="shared" si="1"/>
        <v>-2.7088140564616281E-2</v>
      </c>
    </row>
    <row r="19" spans="2:14" x14ac:dyDescent="0.35">
      <c r="B19" s="6">
        <v>45593</v>
      </c>
      <c r="C19" s="7">
        <v>2438.0500000000002</v>
      </c>
      <c r="D19" s="1">
        <f t="shared" si="0"/>
        <v>3.7382100231786453E-3</v>
      </c>
      <c r="F19" s="7">
        <v>24304.35</v>
      </c>
      <c r="G19" s="8">
        <f t="shared" si="1"/>
        <v>5.1094256600276999E-3</v>
      </c>
    </row>
    <row r="20" spans="2:14" x14ac:dyDescent="0.35">
      <c r="B20" s="6">
        <v>45600</v>
      </c>
      <c r="C20" s="7">
        <v>2437.4499999999998</v>
      </c>
      <c r="D20" s="1">
        <f t="shared" si="0"/>
        <v>-2.4609831627753209E-4</v>
      </c>
      <c r="F20" s="7">
        <v>24148.2</v>
      </c>
      <c r="G20" s="8">
        <f t="shared" si="1"/>
        <v>-6.4247758117372822E-3</v>
      </c>
      <c r="I20" t="s">
        <v>8</v>
      </c>
    </row>
    <row r="21" spans="2:14" ht="15" thickBot="1" x14ac:dyDescent="0.4">
      <c r="B21" s="6">
        <v>45607</v>
      </c>
      <c r="C21" s="7">
        <v>2322.27</v>
      </c>
      <c r="D21" s="1">
        <f t="shared" si="0"/>
        <v>-4.7254302652362079E-2</v>
      </c>
      <c r="F21" s="7">
        <v>23532.7</v>
      </c>
      <c r="G21" s="8">
        <f t="shared" si="1"/>
        <v>-2.5488442202731498E-2</v>
      </c>
    </row>
    <row r="22" spans="2:14" x14ac:dyDescent="0.35">
      <c r="B22" s="6">
        <v>45614</v>
      </c>
      <c r="C22" s="7">
        <v>2376.75</v>
      </c>
      <c r="D22" s="1">
        <f t="shared" si="0"/>
        <v>2.3459804415507213E-2</v>
      </c>
      <c r="F22" s="7">
        <v>23907.25</v>
      </c>
      <c r="G22" s="8">
        <f t="shared" si="1"/>
        <v>1.5916150717937061E-2</v>
      </c>
      <c r="I22" s="12" t="s">
        <v>9</v>
      </c>
      <c r="J22" s="12"/>
    </row>
    <row r="23" spans="2:14" x14ac:dyDescent="0.35">
      <c r="B23" s="6">
        <v>45621</v>
      </c>
      <c r="C23" s="7">
        <v>2426.23</v>
      </c>
      <c r="D23" s="1">
        <f t="shared" si="0"/>
        <v>2.0818344377826925E-2</v>
      </c>
      <c r="F23" s="7">
        <v>24131.1</v>
      </c>
      <c r="G23" s="8">
        <f t="shared" si="1"/>
        <v>9.3632684645870157E-3</v>
      </c>
      <c r="I23" t="s">
        <v>10</v>
      </c>
      <c r="J23">
        <v>0.38670268037490496</v>
      </c>
    </row>
    <row r="24" spans="2:14" x14ac:dyDescent="0.35">
      <c r="B24" s="6">
        <v>45628</v>
      </c>
      <c r="C24" s="7">
        <v>2414.2199999999998</v>
      </c>
      <c r="D24" s="1">
        <f t="shared" si="0"/>
        <v>-4.9500665641757369E-3</v>
      </c>
      <c r="F24" s="7">
        <v>24677.8</v>
      </c>
      <c r="G24" s="8">
        <f t="shared" si="1"/>
        <v>2.2655411481449228E-2</v>
      </c>
      <c r="I24" t="s">
        <v>11</v>
      </c>
      <c r="J24">
        <v>0.14953896300913591</v>
      </c>
    </row>
    <row r="25" spans="2:14" x14ac:dyDescent="0.35">
      <c r="B25" s="6">
        <v>45635</v>
      </c>
      <c r="C25" s="7">
        <v>2323.15</v>
      </c>
      <c r="D25" s="1">
        <f t="shared" si="0"/>
        <v>-3.7722328536752947E-2</v>
      </c>
      <c r="F25" s="7">
        <v>24768.3</v>
      </c>
      <c r="G25" s="8">
        <f t="shared" si="1"/>
        <v>3.6672636944945491E-3</v>
      </c>
      <c r="I25" t="s">
        <v>12</v>
      </c>
      <c r="J25">
        <v>0.14128205973737995</v>
      </c>
    </row>
    <row r="26" spans="2:14" x14ac:dyDescent="0.35">
      <c r="B26" s="6">
        <v>45642</v>
      </c>
      <c r="C26" s="7">
        <v>2268.52</v>
      </c>
      <c r="D26" s="1">
        <f t="shared" si="0"/>
        <v>-2.3515485440027573E-2</v>
      </c>
      <c r="F26" s="7">
        <v>23587.5</v>
      </c>
      <c r="G26" s="8">
        <f t="shared" si="1"/>
        <v>-4.7673841159869612E-2</v>
      </c>
      <c r="I26" t="s">
        <v>13</v>
      </c>
      <c r="J26">
        <v>2.4584417360693667E-2</v>
      </c>
    </row>
    <row r="27" spans="2:14" ht="15" thickBot="1" x14ac:dyDescent="0.4">
      <c r="B27" s="6">
        <v>45649</v>
      </c>
      <c r="C27" s="7">
        <v>2275.67</v>
      </c>
      <c r="D27" s="1">
        <f t="shared" si="0"/>
        <v>3.1518346763528271E-3</v>
      </c>
      <c r="F27" s="7">
        <v>23813.4</v>
      </c>
      <c r="G27" s="8">
        <f t="shared" si="1"/>
        <v>9.5771065182830295E-3</v>
      </c>
      <c r="I27" s="10" t="s">
        <v>14</v>
      </c>
      <c r="J27" s="10">
        <v>105</v>
      </c>
    </row>
    <row r="28" spans="2:14" x14ac:dyDescent="0.35">
      <c r="B28" s="6">
        <v>45656</v>
      </c>
      <c r="C28" s="7">
        <v>2338.85</v>
      </c>
      <c r="D28" s="1">
        <f t="shared" si="0"/>
        <v>2.7763252141127515E-2</v>
      </c>
      <c r="F28" s="7">
        <v>24004.75</v>
      </c>
      <c r="G28" s="8">
        <f t="shared" si="1"/>
        <v>8.035391838208783E-3</v>
      </c>
    </row>
    <row r="29" spans="2:14" ht="15" thickBot="1" x14ac:dyDescent="0.4">
      <c r="B29" s="6">
        <v>45663</v>
      </c>
      <c r="C29" s="7">
        <v>2373.64</v>
      </c>
      <c r="D29" s="1">
        <f t="shared" si="0"/>
        <v>1.487483164803205E-2</v>
      </c>
      <c r="F29" s="7">
        <v>23431.5</v>
      </c>
      <c r="G29" s="8">
        <f t="shared" si="1"/>
        <v>-2.3880690280048689E-2</v>
      </c>
      <c r="I29" t="s">
        <v>15</v>
      </c>
    </row>
    <row r="30" spans="2:14" x14ac:dyDescent="0.35">
      <c r="B30" s="6">
        <v>45670</v>
      </c>
      <c r="C30" s="7">
        <v>2288.06</v>
      </c>
      <c r="D30" s="1">
        <f t="shared" si="0"/>
        <v>-3.6054330058475581E-2</v>
      </c>
      <c r="F30" s="7">
        <v>23203.200000000001</v>
      </c>
      <c r="G30" s="8">
        <f t="shared" si="1"/>
        <v>-9.7432942833365344E-3</v>
      </c>
      <c r="I30" s="11"/>
      <c r="J30" s="11" t="s">
        <v>20</v>
      </c>
      <c r="K30" s="11" t="s">
        <v>21</v>
      </c>
      <c r="L30" s="11" t="s">
        <v>22</v>
      </c>
      <c r="M30" s="11" t="s">
        <v>23</v>
      </c>
      <c r="N30" s="11" t="s">
        <v>24</v>
      </c>
    </row>
    <row r="31" spans="2:14" x14ac:dyDescent="0.35">
      <c r="B31" s="6">
        <v>45677</v>
      </c>
      <c r="C31" s="7">
        <v>2301.77</v>
      </c>
      <c r="D31" s="1">
        <f t="shared" si="0"/>
        <v>5.9919757349020664E-3</v>
      </c>
      <c r="F31" s="7">
        <v>23092.2</v>
      </c>
      <c r="G31" s="8">
        <f t="shared" si="1"/>
        <v>-4.7838229209764549E-3</v>
      </c>
      <c r="I31" t="s">
        <v>16</v>
      </c>
      <c r="J31">
        <v>1</v>
      </c>
      <c r="K31">
        <v>1.0946039425925619E-2</v>
      </c>
      <c r="L31">
        <v>1.0946039425925619E-2</v>
      </c>
      <c r="M31">
        <v>18.110780529627551</v>
      </c>
      <c r="N31">
        <v>4.6056216463290984E-5</v>
      </c>
    </row>
    <row r="32" spans="2:14" x14ac:dyDescent="0.35">
      <c r="B32" s="6">
        <v>45684</v>
      </c>
      <c r="C32" s="7">
        <v>2435.85</v>
      </c>
      <c r="D32" s="1">
        <f t="shared" si="0"/>
        <v>5.8250824365596809E-2</v>
      </c>
      <c r="F32" s="7">
        <v>23482.15</v>
      </c>
      <c r="G32" s="8">
        <f t="shared" si="1"/>
        <v>1.6886654368141629E-2</v>
      </c>
      <c r="I32" t="s">
        <v>17</v>
      </c>
      <c r="J32">
        <v>103</v>
      </c>
      <c r="K32">
        <v>6.225253842737194E-2</v>
      </c>
      <c r="L32">
        <v>6.0439357696477614E-4</v>
      </c>
    </row>
    <row r="33" spans="2:17" ht="15" thickBot="1" x14ac:dyDescent="0.4">
      <c r="B33" s="6">
        <v>45691</v>
      </c>
      <c r="C33" s="7">
        <v>2297.63</v>
      </c>
      <c r="D33" s="1">
        <f t="shared" si="0"/>
        <v>-5.6744052384177901E-2</v>
      </c>
      <c r="F33" s="7">
        <v>23559.95</v>
      </c>
      <c r="G33" s="8">
        <f t="shared" si="1"/>
        <v>3.3131548857323612E-3</v>
      </c>
      <c r="I33" s="10" t="s">
        <v>18</v>
      </c>
      <c r="J33" s="10">
        <v>104</v>
      </c>
      <c r="K33" s="10">
        <v>7.3198577853297558E-2</v>
      </c>
      <c r="L33" s="10"/>
      <c r="M33" s="10"/>
      <c r="N33" s="10"/>
    </row>
    <row r="34" spans="2:17" ht="15" thickBot="1" x14ac:dyDescent="0.4">
      <c r="B34" s="6">
        <v>45698</v>
      </c>
      <c r="C34" s="7">
        <v>2253.41</v>
      </c>
      <c r="D34" s="1">
        <f t="shared" si="0"/>
        <v>-1.9245918620491631E-2</v>
      </c>
      <c r="F34" s="7">
        <v>22929.25</v>
      </c>
      <c r="G34" s="8">
        <f t="shared" si="1"/>
        <v>-2.6770005878620329E-2</v>
      </c>
    </row>
    <row r="35" spans="2:17" x14ac:dyDescent="0.35">
      <c r="B35" s="6">
        <v>45705</v>
      </c>
      <c r="C35" s="7">
        <v>2178.86</v>
      </c>
      <c r="D35" s="1">
        <f t="shared" si="0"/>
        <v>-3.3083193914999809E-2</v>
      </c>
      <c r="F35" s="7">
        <v>22795.9</v>
      </c>
      <c r="G35" s="8">
        <f t="shared" si="1"/>
        <v>-5.8157157342695331E-3</v>
      </c>
      <c r="I35" s="11"/>
      <c r="J35" s="11" t="s">
        <v>25</v>
      </c>
      <c r="K35" s="11" t="s">
        <v>13</v>
      </c>
      <c r="L35" s="11" t="s">
        <v>26</v>
      </c>
      <c r="M35" s="11" t="s">
        <v>27</v>
      </c>
      <c r="N35" s="11" t="s">
        <v>28</v>
      </c>
      <c r="O35" s="11" t="s">
        <v>29</v>
      </c>
      <c r="P35" s="11" t="s">
        <v>30</v>
      </c>
      <c r="Q35" s="11" t="s">
        <v>31</v>
      </c>
    </row>
    <row r="36" spans="2:17" x14ac:dyDescent="0.35">
      <c r="B36" s="6">
        <v>45712</v>
      </c>
      <c r="C36" s="7">
        <v>2128.9</v>
      </c>
      <c r="D36" s="1">
        <f t="shared" si="0"/>
        <v>-2.2929421807734385E-2</v>
      </c>
      <c r="F36" s="7">
        <v>22124.7</v>
      </c>
      <c r="G36" s="8">
        <f t="shared" si="1"/>
        <v>-2.9443891226053842E-2</v>
      </c>
      <c r="I36" t="s">
        <v>19</v>
      </c>
      <c r="J36">
        <v>-2.8477327176180895E-3</v>
      </c>
      <c r="K36">
        <v>2.4004117964735111E-3</v>
      </c>
      <c r="L36">
        <v>-1.1863517425642325</v>
      </c>
      <c r="M36">
        <v>0.23821273711234822</v>
      </c>
      <c r="N36">
        <v>-7.6083833662552534E-3</v>
      </c>
      <c r="O36">
        <v>1.9129179310190744E-3</v>
      </c>
      <c r="P36">
        <v>-7.6083833662552534E-3</v>
      </c>
      <c r="Q36">
        <v>1.9129179310190744E-3</v>
      </c>
    </row>
    <row r="37" spans="2:17" x14ac:dyDescent="0.35">
      <c r="B37" s="6">
        <v>45719</v>
      </c>
      <c r="C37" s="7">
        <v>2142.8000000000002</v>
      </c>
      <c r="D37" s="1">
        <f t="shared" si="0"/>
        <v>6.5291934802009788E-3</v>
      </c>
      <c r="F37" s="7">
        <v>22552.5</v>
      </c>
      <c r="G37" s="8">
        <f t="shared" si="1"/>
        <v>1.9335855401429125E-2</v>
      </c>
      <c r="I37" t="s">
        <v>32</v>
      </c>
      <c r="J37">
        <v>0.55799676159634826</v>
      </c>
      <c r="K37">
        <v>0.13111823502769454</v>
      </c>
      <c r="L37">
        <v>4.2556762717137646</v>
      </c>
      <c r="M37">
        <v>4.6056216463290984E-5</v>
      </c>
      <c r="N37">
        <v>0.29795466733994208</v>
      </c>
      <c r="O37">
        <v>0.81803885585275449</v>
      </c>
      <c r="P37">
        <v>0.29795466733994208</v>
      </c>
      <c r="Q37">
        <v>0.81803885585275449</v>
      </c>
    </row>
    <row r="38" spans="2:17" ht="15" thickBot="1" x14ac:dyDescent="0.4">
      <c r="B38" s="6">
        <v>45726</v>
      </c>
      <c r="C38" s="7">
        <v>2113.88</v>
      </c>
      <c r="D38" s="1">
        <f t="shared" si="0"/>
        <v>-1.3496359902930744E-2</v>
      </c>
      <c r="F38" s="7">
        <v>22397.200000000001</v>
      </c>
      <c r="G38" s="8">
        <f t="shared" si="1"/>
        <v>-6.8861545283227521E-3</v>
      </c>
      <c r="I38" s="198"/>
      <c r="J38" s="198"/>
      <c r="K38" s="198"/>
      <c r="L38" s="198"/>
      <c r="M38" s="198"/>
      <c r="N38" s="198"/>
      <c r="O38" s="198"/>
      <c r="P38" s="198"/>
      <c r="Q38" s="198"/>
    </row>
    <row r="39" spans="2:17" x14ac:dyDescent="0.35">
      <c r="B39" s="6">
        <v>45733</v>
      </c>
      <c r="C39" s="7">
        <v>2183.2800000000002</v>
      </c>
      <c r="D39" s="1">
        <f t="shared" si="0"/>
        <v>3.2830624254924556E-2</v>
      </c>
      <c r="F39" s="7">
        <v>23350.400000000001</v>
      </c>
      <c r="G39" s="8">
        <f t="shared" si="1"/>
        <v>4.2558891289982803E-2</v>
      </c>
    </row>
    <row r="40" spans="2:17" x14ac:dyDescent="0.35">
      <c r="B40" s="6">
        <v>45740</v>
      </c>
      <c r="C40" s="7">
        <v>2195.58</v>
      </c>
      <c r="D40" s="1">
        <f t="shared" si="0"/>
        <v>5.6337254039791063E-3</v>
      </c>
      <c r="F40" s="7">
        <v>23519.35</v>
      </c>
      <c r="G40" s="8">
        <f t="shared" si="1"/>
        <v>7.2354220912702605E-3</v>
      </c>
    </row>
    <row r="41" spans="2:17" x14ac:dyDescent="0.35">
      <c r="B41" s="6">
        <v>45747</v>
      </c>
      <c r="C41" s="7">
        <v>2181.6799999999998</v>
      </c>
      <c r="D41" s="1">
        <f t="shared" si="0"/>
        <v>-6.3309011741772281E-3</v>
      </c>
      <c r="F41" s="7">
        <v>22904.45</v>
      </c>
      <c r="G41" s="8">
        <f t="shared" si="1"/>
        <v>-2.6144430011883713E-2</v>
      </c>
    </row>
    <row r="42" spans="2:17" x14ac:dyDescent="0.35">
      <c r="B42" s="6">
        <v>45754</v>
      </c>
      <c r="C42" s="7">
        <v>2299.87</v>
      </c>
      <c r="D42" s="1">
        <f t="shared" si="0"/>
        <v>5.4173847677019493E-2</v>
      </c>
      <c r="F42" s="7">
        <v>22828.55</v>
      </c>
      <c r="G42" s="8">
        <f t="shared" si="1"/>
        <v>-3.3137665388167648E-3</v>
      </c>
    </row>
    <row r="43" spans="2:17" x14ac:dyDescent="0.35">
      <c r="B43" s="6">
        <v>45761</v>
      </c>
      <c r="C43" s="7">
        <v>2308.4699999999998</v>
      </c>
      <c r="D43" s="1">
        <f t="shared" si="0"/>
        <v>3.7393417888835767E-3</v>
      </c>
      <c r="F43" s="7">
        <v>23851.65</v>
      </c>
      <c r="G43" s="8">
        <f t="shared" si="1"/>
        <v>4.4816687875489425E-2</v>
      </c>
    </row>
    <row r="44" spans="2:17" x14ac:dyDescent="0.35">
      <c r="B44" s="6">
        <v>45768</v>
      </c>
      <c r="C44" s="7">
        <v>2266.87</v>
      </c>
      <c r="D44" s="1">
        <f t="shared" si="0"/>
        <v>-1.8020593726580825E-2</v>
      </c>
      <c r="F44" s="7">
        <v>24039.35</v>
      </c>
      <c r="G44" s="8">
        <f t="shared" si="1"/>
        <v>7.86947653516612E-3</v>
      </c>
    </row>
    <row r="45" spans="2:17" x14ac:dyDescent="0.35">
      <c r="B45" s="6">
        <v>45775</v>
      </c>
      <c r="C45" s="7">
        <v>2253.65</v>
      </c>
      <c r="D45" s="1">
        <f t="shared" si="0"/>
        <v>-5.8318297917391293E-3</v>
      </c>
      <c r="F45" s="7">
        <v>24346.7</v>
      </c>
      <c r="G45" s="8">
        <f t="shared" si="1"/>
        <v>1.2785287455775673E-2</v>
      </c>
    </row>
    <row r="46" spans="2:17" x14ac:dyDescent="0.35">
      <c r="B46" s="6">
        <v>45782</v>
      </c>
      <c r="C46" s="7">
        <v>2267.5500000000002</v>
      </c>
      <c r="D46" s="1">
        <f t="shared" si="0"/>
        <v>6.1677722805226765E-3</v>
      </c>
      <c r="F46" s="7">
        <v>24008</v>
      </c>
      <c r="G46" s="8">
        <f t="shared" si="1"/>
        <v>-1.391153626569519E-2</v>
      </c>
    </row>
    <row r="47" spans="2:17" x14ac:dyDescent="0.35">
      <c r="B47" s="6">
        <v>45789</v>
      </c>
      <c r="C47" s="7">
        <v>2314.69</v>
      </c>
      <c r="D47" s="1">
        <f t="shared" si="0"/>
        <v>2.0788957244603168E-2</v>
      </c>
      <c r="F47" s="7">
        <v>25019.8</v>
      </c>
      <c r="G47" s="8">
        <f t="shared" si="1"/>
        <v>4.2144285238253865E-2</v>
      </c>
    </row>
    <row r="48" spans="2:17" x14ac:dyDescent="0.35">
      <c r="B48" s="6">
        <v>45796</v>
      </c>
      <c r="C48" s="7">
        <v>2293.11</v>
      </c>
      <c r="D48" s="1">
        <f t="shared" si="0"/>
        <v>-9.3230626995407517E-3</v>
      </c>
      <c r="F48" s="7">
        <v>24853.15</v>
      </c>
      <c r="G48" s="8">
        <f t="shared" si="1"/>
        <v>-6.660724706032739E-3</v>
      </c>
    </row>
    <row r="49" spans="2:7" x14ac:dyDescent="0.35">
      <c r="B49" s="6">
        <v>45803</v>
      </c>
      <c r="C49" s="7">
        <v>2282.52</v>
      </c>
      <c r="D49" s="1">
        <f t="shared" si="0"/>
        <v>-4.6181822939153072E-3</v>
      </c>
      <c r="F49" s="7">
        <v>24750.7</v>
      </c>
      <c r="G49" s="8">
        <f t="shared" si="1"/>
        <v>-4.1222138843567402E-3</v>
      </c>
    </row>
    <row r="50" spans="2:7" x14ac:dyDescent="0.35">
      <c r="B50" s="6">
        <v>45810</v>
      </c>
      <c r="C50" s="7">
        <v>2322.86</v>
      </c>
      <c r="D50" s="1">
        <f t="shared" si="0"/>
        <v>1.7673448644480727E-2</v>
      </c>
      <c r="F50" s="7">
        <v>25003.05</v>
      </c>
      <c r="G50" s="8">
        <f t="shared" si="1"/>
        <v>1.0195671233540704E-2</v>
      </c>
    </row>
    <row r="51" spans="2:7" x14ac:dyDescent="0.35">
      <c r="B51" s="6">
        <v>45817</v>
      </c>
      <c r="C51" s="7">
        <v>2254.04</v>
      </c>
      <c r="D51" s="1">
        <f t="shared" si="0"/>
        <v>-2.9627269831156489E-2</v>
      </c>
      <c r="F51" s="7">
        <v>24718.6</v>
      </c>
      <c r="G51" s="8">
        <f t="shared" si="1"/>
        <v>-1.1376612053329516E-2</v>
      </c>
    </row>
    <row r="52" spans="2:7" x14ac:dyDescent="0.35">
      <c r="B52" s="6">
        <v>45824</v>
      </c>
      <c r="C52" s="7">
        <v>2241.6</v>
      </c>
      <c r="D52" s="1">
        <f t="shared" si="0"/>
        <v>-5.5189792550265349E-3</v>
      </c>
      <c r="F52" s="7">
        <v>25112.400000000001</v>
      </c>
      <c r="G52" s="8">
        <f t="shared" si="1"/>
        <v>1.5931322971365791E-2</v>
      </c>
    </row>
    <row r="53" spans="2:7" x14ac:dyDescent="0.35">
      <c r="B53" s="6">
        <v>45831</v>
      </c>
      <c r="C53" s="7">
        <v>2265.86</v>
      </c>
      <c r="D53" s="1">
        <f t="shared" si="0"/>
        <v>1.082262669521783E-2</v>
      </c>
      <c r="F53" s="7">
        <v>25637.8</v>
      </c>
      <c r="G53" s="8">
        <f t="shared" si="1"/>
        <v>2.092193498032846E-2</v>
      </c>
    </row>
    <row r="54" spans="2:7" x14ac:dyDescent="0.35">
      <c r="B54" s="6">
        <v>45838</v>
      </c>
      <c r="C54" s="7">
        <v>2297.6799999999998</v>
      </c>
      <c r="D54" s="1">
        <f t="shared" si="0"/>
        <v>1.404323303293209E-2</v>
      </c>
      <c r="F54" s="7">
        <v>25461</v>
      </c>
      <c r="G54" s="8">
        <f t="shared" si="1"/>
        <v>-6.8960675252947023E-3</v>
      </c>
    </row>
    <row r="55" spans="2:7" x14ac:dyDescent="0.35">
      <c r="B55" s="6">
        <v>45845</v>
      </c>
      <c r="C55" s="7">
        <v>2474.7800000000002</v>
      </c>
      <c r="D55" s="1">
        <f t="shared" si="0"/>
        <v>7.7077747989276357E-2</v>
      </c>
      <c r="F55" s="7">
        <v>25149.85</v>
      </c>
      <c r="G55" s="8">
        <f t="shared" si="1"/>
        <v>-1.2220651192019205E-2</v>
      </c>
    </row>
    <row r="56" spans="2:7" x14ac:dyDescent="0.35">
      <c r="B56" s="6">
        <v>45852</v>
      </c>
      <c r="C56" s="7">
        <v>2445.31</v>
      </c>
      <c r="D56" s="1">
        <f t="shared" si="0"/>
        <v>-1.1908129207444773E-2</v>
      </c>
      <c r="F56" s="7">
        <v>24968.400000000001</v>
      </c>
      <c r="G56" s="8">
        <f t="shared" si="1"/>
        <v>-7.214754759968578E-3</v>
      </c>
    </row>
    <row r="57" spans="2:7" x14ac:dyDescent="0.35">
      <c r="B57" s="6">
        <v>45859</v>
      </c>
      <c r="C57" s="7">
        <v>2372.4299999999998</v>
      </c>
      <c r="D57" s="1">
        <f t="shared" si="0"/>
        <v>-2.9803992131877011E-2</v>
      </c>
      <c r="F57" s="7">
        <v>24837</v>
      </c>
      <c r="G57" s="8">
        <f t="shared" si="1"/>
        <v>-5.2626519921180615E-3</v>
      </c>
    </row>
    <row r="58" spans="2:7" x14ac:dyDescent="0.35">
      <c r="B58" s="6">
        <v>45866</v>
      </c>
      <c r="C58" s="7">
        <v>2508.27</v>
      </c>
      <c r="D58" s="1">
        <f t="shared" si="0"/>
        <v>5.7257748384567764E-2</v>
      </c>
      <c r="F58" s="7">
        <v>24565.35</v>
      </c>
      <c r="G58" s="8">
        <f t="shared" si="1"/>
        <v>-1.0937311269477057E-2</v>
      </c>
    </row>
    <row r="59" spans="2:7" x14ac:dyDescent="0.35">
      <c r="B59" s="6">
        <v>45873</v>
      </c>
      <c r="C59" s="7">
        <v>2454.15</v>
      </c>
      <c r="D59" s="1">
        <f t="shared" si="0"/>
        <v>-2.1576624526067678E-2</v>
      </c>
      <c r="F59" s="7">
        <v>24363.3</v>
      </c>
      <c r="G59" s="8">
        <f t="shared" si="1"/>
        <v>-8.2249998473459263E-3</v>
      </c>
    </row>
    <row r="60" spans="2:7" x14ac:dyDescent="0.35">
      <c r="B60" s="6">
        <v>45880</v>
      </c>
      <c r="C60" s="7">
        <v>2436.4699999999998</v>
      </c>
      <c r="D60" s="1">
        <f t="shared" si="0"/>
        <v>-7.204123627325254E-3</v>
      </c>
      <c r="F60" s="7">
        <v>24631.3</v>
      </c>
      <c r="G60" s="8">
        <f t="shared" si="1"/>
        <v>1.100015186776826E-2</v>
      </c>
    </row>
    <row r="61" spans="2:7" x14ac:dyDescent="0.35">
      <c r="B61" s="6">
        <v>45887</v>
      </c>
      <c r="C61" s="7">
        <v>2583.11</v>
      </c>
      <c r="D61" s="1">
        <f t="shared" si="0"/>
        <v>6.0185432203146538E-2</v>
      </c>
      <c r="F61" s="7">
        <v>24870.1</v>
      </c>
      <c r="G61" s="8">
        <f t="shared" si="1"/>
        <v>9.6949815884666002E-3</v>
      </c>
    </row>
    <row r="62" spans="2:7" x14ac:dyDescent="0.35">
      <c r="B62" s="6">
        <v>45894</v>
      </c>
      <c r="C62" s="7">
        <v>2612.48</v>
      </c>
      <c r="D62" s="1">
        <f t="shared" si="0"/>
        <v>1.1370015214218432E-2</v>
      </c>
      <c r="F62" s="7">
        <v>24426.85</v>
      </c>
      <c r="G62" s="8">
        <f t="shared" si="1"/>
        <v>-1.7822606262138052E-2</v>
      </c>
    </row>
    <row r="63" spans="2:7" x14ac:dyDescent="0.35">
      <c r="B63" s="6">
        <v>45901</v>
      </c>
      <c r="C63" s="7">
        <v>2586.5500000000002</v>
      </c>
      <c r="D63" s="1">
        <f t="shared" si="0"/>
        <v>-9.9254348358647215E-3</v>
      </c>
      <c r="F63" s="7">
        <v>24741</v>
      </c>
      <c r="G63" s="8">
        <f t="shared" si="1"/>
        <v>1.2860847796584585E-2</v>
      </c>
    </row>
    <row r="64" spans="2:7" x14ac:dyDescent="0.35">
      <c r="B64" s="6">
        <v>45908</v>
      </c>
      <c r="C64" s="7">
        <v>2534.59</v>
      </c>
      <c r="D64" s="1">
        <f t="shared" si="0"/>
        <v>-2.0088534921033796E-2</v>
      </c>
      <c r="F64" s="7">
        <v>25114</v>
      </c>
      <c r="G64" s="8">
        <f t="shared" si="1"/>
        <v>1.5076189321369338E-2</v>
      </c>
    </row>
    <row r="65" spans="2:7" x14ac:dyDescent="0.35">
      <c r="B65" s="6">
        <v>45915</v>
      </c>
      <c r="C65" s="7">
        <v>2514.06</v>
      </c>
      <c r="D65" s="1">
        <f t="shared" si="0"/>
        <v>-8.0999293771379932E-3</v>
      </c>
      <c r="F65" s="7">
        <v>25327.05</v>
      </c>
      <c r="G65" s="8">
        <f t="shared" si="1"/>
        <v>8.4833160786812467E-3</v>
      </c>
    </row>
    <row r="66" spans="2:7" x14ac:dyDescent="0.35">
      <c r="B66" s="6">
        <v>45922</v>
      </c>
      <c r="C66" s="7">
        <v>2467.11</v>
      </c>
      <c r="D66" s="1">
        <f t="shared" si="0"/>
        <v>-1.867497195770973E-2</v>
      </c>
      <c r="F66" s="7">
        <v>24654.7</v>
      </c>
      <c r="G66" s="8">
        <f t="shared" si="1"/>
        <v>-2.6546715863079107E-2</v>
      </c>
    </row>
    <row r="67" spans="2:7" x14ac:dyDescent="0.35">
      <c r="B67" s="6">
        <v>45929</v>
      </c>
      <c r="C67" s="7">
        <v>2499.63</v>
      </c>
      <c r="D67" s="1">
        <f t="shared" si="0"/>
        <v>1.3181414691683768E-2</v>
      </c>
      <c r="F67" s="7">
        <v>24894.25</v>
      </c>
      <c r="G67" s="8">
        <f t="shared" si="1"/>
        <v>9.7162001565624934E-3</v>
      </c>
    </row>
    <row r="68" spans="2:7" x14ac:dyDescent="0.35">
      <c r="B68" s="6">
        <v>45936</v>
      </c>
      <c r="C68" s="7">
        <v>2483.91</v>
      </c>
      <c r="D68" s="1">
        <f t="shared" si="0"/>
        <v>-6.2889307617528534E-3</v>
      </c>
      <c r="F68" s="7">
        <v>25285.35</v>
      </c>
      <c r="G68" s="8">
        <f t="shared" si="1"/>
        <v>1.5710455225604214E-2</v>
      </c>
    </row>
    <row r="69" spans="2:7" x14ac:dyDescent="0.35">
      <c r="B69" s="6">
        <v>45943</v>
      </c>
      <c r="C69" s="7">
        <v>2557.38</v>
      </c>
      <c r="D69" s="1">
        <f t="shared" si="0"/>
        <v>2.9578366365931252E-2</v>
      </c>
      <c r="F69" s="7">
        <v>25709.85</v>
      </c>
      <c r="G69" s="8">
        <f t="shared" si="1"/>
        <v>1.6788377459675319E-2</v>
      </c>
    </row>
    <row r="70" spans="2:7" x14ac:dyDescent="0.35">
      <c r="B70" s="6">
        <v>45950</v>
      </c>
      <c r="C70" s="7">
        <v>2471.63</v>
      </c>
      <c r="D70" s="1">
        <f t="shared" si="0"/>
        <v>-3.3530410029014024E-2</v>
      </c>
      <c r="F70" s="7">
        <v>25795.15</v>
      </c>
      <c r="G70" s="8">
        <f t="shared" si="1"/>
        <v>3.3177945417808274E-3</v>
      </c>
    </row>
    <row r="71" spans="2:7" x14ac:dyDescent="0.35">
      <c r="B71" s="6">
        <v>45957</v>
      </c>
      <c r="C71" s="7">
        <v>2421.64</v>
      </c>
      <c r="D71" s="1">
        <f t="shared" si="0"/>
        <v>-2.0225519191788499E-2</v>
      </c>
      <c r="F71" s="7">
        <v>25722.1</v>
      </c>
      <c r="G71" s="8">
        <f t="shared" si="1"/>
        <v>-2.8319277073404203E-3</v>
      </c>
    </row>
    <row r="72" spans="2:7" x14ac:dyDescent="0.35">
      <c r="B72" s="6">
        <v>45964</v>
      </c>
      <c r="C72" s="7">
        <v>2389.69</v>
      </c>
      <c r="D72" s="1">
        <f t="shared" si="0"/>
        <v>-1.3193538263325588E-2</v>
      </c>
      <c r="F72" s="7">
        <v>25492.3</v>
      </c>
      <c r="G72" s="8">
        <f t="shared" si="1"/>
        <v>-8.9339517379996014E-3</v>
      </c>
    </row>
    <row r="73" spans="2:7" x14ac:dyDescent="0.35">
      <c r="B73" s="6">
        <v>45971</v>
      </c>
      <c r="C73" s="7">
        <v>2403.2600000000002</v>
      </c>
      <c r="D73" s="1">
        <f t="shared" si="0"/>
        <v>5.6785608175120572E-3</v>
      </c>
      <c r="F73" s="7">
        <v>25910.05</v>
      </c>
      <c r="G73" s="8">
        <f t="shared" si="1"/>
        <v>1.6387301263518728E-2</v>
      </c>
    </row>
    <row r="74" spans="2:7" x14ac:dyDescent="0.35">
      <c r="B74" s="6">
        <v>45978</v>
      </c>
      <c r="C74" s="7">
        <v>2409.19</v>
      </c>
      <c r="D74" s="1">
        <f t="shared" si="0"/>
        <v>2.4674816707306313E-3</v>
      </c>
      <c r="F74" s="7">
        <v>26068.15</v>
      </c>
      <c r="G74" s="8">
        <f t="shared" si="1"/>
        <v>6.1018793865701415E-3</v>
      </c>
    </row>
    <row r="75" spans="2:7" x14ac:dyDescent="0.35">
      <c r="B75" s="6">
        <v>45985</v>
      </c>
      <c r="C75" s="7">
        <v>2441.7600000000002</v>
      </c>
      <c r="D75" s="1">
        <f t="shared" si="0"/>
        <v>1.3519066574242844E-2</v>
      </c>
      <c r="F75" s="7">
        <v>26202.95</v>
      </c>
      <c r="G75" s="8">
        <f t="shared" si="1"/>
        <v>5.1710612375637233E-3</v>
      </c>
    </row>
    <row r="76" spans="2:7" x14ac:dyDescent="0.35">
      <c r="B76" s="6">
        <v>45992</v>
      </c>
      <c r="C76" s="7">
        <v>2315.0500000000002</v>
      </c>
      <c r="D76" s="1">
        <f t="shared" si="0"/>
        <v>-5.1892896926806875E-2</v>
      </c>
      <c r="F76" s="7">
        <v>26186.45</v>
      </c>
      <c r="G76" s="8">
        <f t="shared" si="1"/>
        <v>-6.297000910202577E-4</v>
      </c>
    </row>
    <row r="77" spans="2:7" x14ac:dyDescent="0.35">
      <c r="B77" s="6">
        <v>45999</v>
      </c>
      <c r="C77" s="7">
        <v>2237.84</v>
      </c>
      <c r="D77" s="1">
        <f t="shared" si="0"/>
        <v>-3.3351331504719139E-2</v>
      </c>
      <c r="F77" s="7">
        <v>26046.95</v>
      </c>
      <c r="G77" s="8">
        <f t="shared" si="1"/>
        <v>-5.3271825696113995E-3</v>
      </c>
    </row>
    <row r="78" spans="2:7" x14ac:dyDescent="0.35">
      <c r="B78" s="6">
        <v>46006</v>
      </c>
      <c r="C78" s="7">
        <v>2257.04</v>
      </c>
      <c r="D78" s="1">
        <f t="shared" ref="D78:D117" si="2">C78/C77-1</f>
        <v>8.5797018553603888E-3</v>
      </c>
      <c r="F78" s="7">
        <v>25966.400000000001</v>
      </c>
      <c r="G78" s="8">
        <f t="shared" ref="G78:G117" si="3">F78/F77-1</f>
        <v>-3.0924925951022475E-3</v>
      </c>
    </row>
    <row r="79" spans="2:7" x14ac:dyDescent="0.35">
      <c r="B79" s="6">
        <v>46013</v>
      </c>
      <c r="C79" s="7">
        <v>2262.39</v>
      </c>
      <c r="D79" s="1">
        <f t="shared" si="2"/>
        <v>2.3703611810157454E-3</v>
      </c>
      <c r="F79" s="7">
        <v>26042.3</v>
      </c>
      <c r="G79" s="8">
        <f t="shared" si="3"/>
        <v>2.9230081952060782E-3</v>
      </c>
    </row>
    <row r="80" spans="2:7" x14ac:dyDescent="0.35">
      <c r="B80" s="6">
        <v>46020</v>
      </c>
      <c r="C80" s="7">
        <v>2324.36</v>
      </c>
      <c r="D80" s="1">
        <f t="shared" si="2"/>
        <v>2.7391386984560784E-2</v>
      </c>
      <c r="F80" s="7">
        <v>26328.55</v>
      </c>
      <c r="G80" s="8">
        <f t="shared" si="3"/>
        <v>1.0991732681061128E-2</v>
      </c>
    </row>
    <row r="81" spans="2:7" x14ac:dyDescent="0.35">
      <c r="B81" s="6">
        <v>46027</v>
      </c>
      <c r="C81" s="7">
        <v>2348.71</v>
      </c>
      <c r="D81" s="1">
        <f t="shared" si="2"/>
        <v>1.047600199624843E-2</v>
      </c>
      <c r="F81" s="7">
        <v>25683.3</v>
      </c>
      <c r="G81" s="8">
        <f t="shared" si="3"/>
        <v>-2.4507616256877029E-2</v>
      </c>
    </row>
    <row r="82" spans="2:7" x14ac:dyDescent="0.35">
      <c r="B82" s="6">
        <v>46034</v>
      </c>
      <c r="C82" s="7">
        <v>2336.63</v>
      </c>
      <c r="D82" s="1">
        <f t="shared" si="2"/>
        <v>-5.1432488472394899E-3</v>
      </c>
      <c r="F82" s="7">
        <v>25694.35</v>
      </c>
      <c r="G82" s="8">
        <f t="shared" si="3"/>
        <v>4.3024066222008273E-4</v>
      </c>
    </row>
    <row r="83" spans="2:7" x14ac:dyDescent="0.35">
      <c r="B83" s="6">
        <v>46041</v>
      </c>
      <c r="C83" s="7">
        <v>2385.2399999999998</v>
      </c>
      <c r="D83" s="1">
        <f t="shared" si="2"/>
        <v>2.0803464818991202E-2</v>
      </c>
      <c r="F83" s="7">
        <v>25048.65</v>
      </c>
      <c r="G83" s="8">
        <f t="shared" si="3"/>
        <v>-2.5130038315816394E-2</v>
      </c>
    </row>
    <row r="84" spans="2:7" x14ac:dyDescent="0.35">
      <c r="B84" s="6">
        <v>46048</v>
      </c>
      <c r="C84" s="7">
        <v>2327.0300000000002</v>
      </c>
      <c r="D84" s="1">
        <f t="shared" si="2"/>
        <v>-2.4404252821518813E-2</v>
      </c>
      <c r="F84" s="7">
        <v>24825.45</v>
      </c>
      <c r="G84" s="8">
        <f t="shared" si="3"/>
        <v>-8.9106598559204331E-3</v>
      </c>
    </row>
    <row r="85" spans="2:7" x14ac:dyDescent="0.35">
      <c r="B85" s="6">
        <v>46055</v>
      </c>
      <c r="C85" s="7">
        <v>2399.79</v>
      </c>
      <c r="D85" s="1">
        <f t="shared" si="2"/>
        <v>3.1267323584139417E-2</v>
      </c>
      <c r="F85" s="7">
        <v>25693.7</v>
      </c>
      <c r="G85" s="8">
        <f t="shared" si="3"/>
        <v>3.4974189793135713E-2</v>
      </c>
    </row>
    <row r="86" spans="2:7" x14ac:dyDescent="0.35">
      <c r="B86" s="6">
        <v>46062</v>
      </c>
      <c r="C86" s="7">
        <v>2281.9899999999998</v>
      </c>
      <c r="D86" s="1">
        <f t="shared" si="2"/>
        <v>-4.9087628500827263E-2</v>
      </c>
      <c r="F86" s="7">
        <v>25471.1</v>
      </c>
      <c r="G86" s="8">
        <f t="shared" si="3"/>
        <v>-8.6636023616685209E-3</v>
      </c>
    </row>
    <row r="87" spans="2:7" x14ac:dyDescent="0.35">
      <c r="B87" s="6">
        <v>46069</v>
      </c>
      <c r="C87" s="7">
        <v>2291.1999999999998</v>
      </c>
      <c r="D87" s="1">
        <f t="shared" si="2"/>
        <v>4.0359510777874252E-3</v>
      </c>
      <c r="F87" s="7">
        <v>25571.25</v>
      </c>
      <c r="G87" s="8">
        <f t="shared" si="3"/>
        <v>3.9319071418195684E-3</v>
      </c>
    </row>
    <row r="88" spans="2:7" x14ac:dyDescent="0.35">
      <c r="B88" s="6">
        <v>46076</v>
      </c>
      <c r="C88" s="7">
        <v>2314.56</v>
      </c>
      <c r="D88" s="1">
        <f t="shared" si="2"/>
        <v>1.0195530726257118E-2</v>
      </c>
      <c r="F88" s="7">
        <v>25178.65</v>
      </c>
      <c r="G88" s="8">
        <f t="shared" si="3"/>
        <v>-1.5353179840641329E-2</v>
      </c>
    </row>
    <row r="89" spans="2:7" x14ac:dyDescent="0.35">
      <c r="B89" s="6">
        <v>46083</v>
      </c>
      <c r="C89" s="7">
        <v>2203.29</v>
      </c>
      <c r="D89" s="1">
        <f t="shared" si="2"/>
        <v>-4.8073931978432127E-2</v>
      </c>
      <c r="F89" s="7">
        <v>24450.45</v>
      </c>
      <c r="G89" s="8">
        <f t="shared" si="3"/>
        <v>-2.892132818876314E-2</v>
      </c>
    </row>
    <row r="90" spans="2:7" x14ac:dyDescent="0.35">
      <c r="B90" s="6">
        <v>46090</v>
      </c>
      <c r="C90" s="7">
        <v>2138.25</v>
      </c>
      <c r="D90" s="1">
        <f t="shared" si="2"/>
        <v>-2.9519491306183032E-2</v>
      </c>
      <c r="F90" s="7">
        <v>23151.1</v>
      </c>
      <c r="G90" s="8">
        <f t="shared" si="3"/>
        <v>-5.3142171207482991E-2</v>
      </c>
    </row>
    <row r="91" spans="2:7" x14ac:dyDescent="0.35">
      <c r="B91" s="6">
        <v>46097</v>
      </c>
      <c r="C91" s="7">
        <v>2061.73</v>
      </c>
      <c r="D91" s="1">
        <f t="shared" si="2"/>
        <v>-3.5786273822050685E-2</v>
      </c>
      <c r="F91" s="7">
        <v>23114.5</v>
      </c>
      <c r="G91" s="8">
        <f t="shared" si="3"/>
        <v>-1.5809184012853805E-3</v>
      </c>
    </row>
    <row r="92" spans="2:7" x14ac:dyDescent="0.35">
      <c r="B92" s="6">
        <v>46104</v>
      </c>
      <c r="C92" s="7">
        <v>2053.5100000000002</v>
      </c>
      <c r="D92" s="1">
        <f t="shared" si="2"/>
        <v>-3.9869430041760134E-3</v>
      </c>
      <c r="F92" s="7">
        <v>22819.599999999999</v>
      </c>
      <c r="G92" s="8">
        <f t="shared" si="3"/>
        <v>-1.275822535637805E-2</v>
      </c>
    </row>
    <row r="93" spans="2:7" x14ac:dyDescent="0.35">
      <c r="B93" s="6">
        <v>46111</v>
      </c>
      <c r="C93" s="7">
        <v>2044.5</v>
      </c>
      <c r="D93" s="1">
        <f t="shared" si="2"/>
        <v>-4.3876095076236243E-3</v>
      </c>
      <c r="F93" s="7">
        <v>22713.1</v>
      </c>
      <c r="G93" s="8">
        <f t="shared" si="3"/>
        <v>-4.6670406142088616E-3</v>
      </c>
    </row>
    <row r="94" spans="2:7" x14ac:dyDescent="0.35">
      <c r="B94" s="6">
        <v>46118</v>
      </c>
      <c r="C94" s="7">
        <v>2133.6</v>
      </c>
      <c r="D94" s="1">
        <f t="shared" si="2"/>
        <v>4.3580337490829013E-2</v>
      </c>
      <c r="F94" s="7">
        <v>24050.6</v>
      </c>
      <c r="G94" s="8">
        <f t="shared" si="3"/>
        <v>5.8886721759689342E-2</v>
      </c>
    </row>
    <row r="95" spans="2:7" x14ac:dyDescent="0.35">
      <c r="B95" s="6">
        <v>46125</v>
      </c>
      <c r="C95" s="7">
        <v>2218.2399999999998</v>
      </c>
      <c r="D95" s="1">
        <f t="shared" si="2"/>
        <v>3.9670041244844301E-2</v>
      </c>
      <c r="F95" s="7">
        <v>24353.55</v>
      </c>
      <c r="G95" s="8">
        <f t="shared" si="3"/>
        <v>1.2596359342386565E-2</v>
      </c>
    </row>
    <row r="96" spans="2:7" x14ac:dyDescent="0.35">
      <c r="B96" s="6">
        <v>46132</v>
      </c>
      <c r="C96" s="7">
        <v>2303.87</v>
      </c>
      <c r="D96" s="1">
        <f t="shared" si="2"/>
        <v>3.8602675995383695E-2</v>
      </c>
      <c r="F96" s="7">
        <v>23897.95</v>
      </c>
      <c r="G96" s="8">
        <f t="shared" si="3"/>
        <v>-1.8707744866764742E-2</v>
      </c>
    </row>
    <row r="97" spans="2:7" x14ac:dyDescent="0.35">
      <c r="B97" s="6">
        <v>46139</v>
      </c>
      <c r="C97" s="7">
        <v>2228.2399999999998</v>
      </c>
      <c r="D97" s="1">
        <f t="shared" si="2"/>
        <v>-3.2827373072265464E-2</v>
      </c>
      <c r="F97" s="7">
        <v>23997.55</v>
      </c>
      <c r="G97" s="8">
        <f t="shared" si="3"/>
        <v>4.167721499124255E-3</v>
      </c>
    </row>
    <row r="98" spans="2:7" x14ac:dyDescent="0.35">
      <c r="B98" s="6">
        <v>46146</v>
      </c>
      <c r="C98" s="7">
        <v>2264.66</v>
      </c>
      <c r="D98" s="1">
        <f t="shared" si="2"/>
        <v>1.6344738448281992E-2</v>
      </c>
      <c r="F98" s="7">
        <v>24176.15</v>
      </c>
      <c r="G98" s="8">
        <f t="shared" si="3"/>
        <v>7.4424264143633234E-3</v>
      </c>
    </row>
    <row r="99" spans="2:7" x14ac:dyDescent="0.35">
      <c r="B99" s="6">
        <v>46153</v>
      </c>
      <c r="C99" s="7">
        <v>2249.3200000000002</v>
      </c>
      <c r="D99" s="1">
        <f t="shared" si="2"/>
        <v>-6.7736437257688298E-3</v>
      </c>
      <c r="F99" s="7">
        <v>23643.5</v>
      </c>
      <c r="G99" s="8">
        <f t="shared" si="3"/>
        <v>-2.2032043977225579E-2</v>
      </c>
    </row>
    <row r="100" spans="2:7" x14ac:dyDescent="0.35">
      <c r="B100" s="6">
        <v>46160</v>
      </c>
      <c r="C100" s="7">
        <v>2181.41</v>
      </c>
      <c r="D100" s="1">
        <f t="shared" si="2"/>
        <v>-3.0191346718119405E-2</v>
      </c>
      <c r="F100" s="7">
        <v>23719.3</v>
      </c>
      <c r="G100" s="8">
        <f t="shared" si="3"/>
        <v>3.2059551250871454E-3</v>
      </c>
    </row>
    <row r="101" spans="2:7" x14ac:dyDescent="0.35">
      <c r="B101" s="6">
        <v>46167</v>
      </c>
      <c r="C101" s="7">
        <v>2131.8200000000002</v>
      </c>
      <c r="D101" s="1">
        <f t="shared" si="2"/>
        <v>-2.2733002965971361E-2</v>
      </c>
      <c r="F101" s="7">
        <v>23547.75</v>
      </c>
      <c r="G101" s="8">
        <f t="shared" si="3"/>
        <v>-7.2325068615008981E-3</v>
      </c>
    </row>
    <row r="102" spans="2:7" x14ac:dyDescent="0.35">
      <c r="B102" s="6">
        <v>46174</v>
      </c>
      <c r="C102" s="7">
        <v>2100.14</v>
      </c>
      <c r="D102" s="1">
        <f t="shared" si="2"/>
        <v>-1.4860541696766316E-2</v>
      </c>
      <c r="F102" s="7">
        <v>23366.7</v>
      </c>
      <c r="G102" s="8">
        <f t="shared" si="3"/>
        <v>-7.6886326719113329E-3</v>
      </c>
    </row>
    <row r="103" spans="2:7" x14ac:dyDescent="0.35">
      <c r="B103" s="6">
        <v>46181</v>
      </c>
      <c r="C103" s="7">
        <v>2146.96</v>
      </c>
      <c r="D103" s="1">
        <f t="shared" si="2"/>
        <v>2.2293751845115173E-2</v>
      </c>
      <c r="F103" s="7">
        <v>23622.9</v>
      </c>
      <c r="G103" s="8">
        <f t="shared" si="3"/>
        <v>1.0964321020940027E-2</v>
      </c>
    </row>
    <row r="104" spans="2:7" x14ac:dyDescent="0.35">
      <c r="B104" s="6">
        <v>46188</v>
      </c>
      <c r="C104" s="7">
        <v>2172.5</v>
      </c>
      <c r="D104" s="1">
        <f t="shared" si="2"/>
        <v>1.1895890002608267E-2</v>
      </c>
      <c r="F104" s="7">
        <v>24013.1</v>
      </c>
      <c r="G104" s="8">
        <f t="shared" si="3"/>
        <v>1.6517870371546062E-2</v>
      </c>
    </row>
    <row r="105" spans="2:7" x14ac:dyDescent="0.35">
      <c r="B105" s="6">
        <v>46195</v>
      </c>
      <c r="C105" s="7">
        <v>2174.1999999999998</v>
      </c>
      <c r="D105" s="1">
        <f t="shared" si="2"/>
        <v>7.8250863060991271E-4</v>
      </c>
      <c r="F105" s="7">
        <v>24056</v>
      </c>
      <c r="G105" s="8">
        <f t="shared" si="3"/>
        <v>1.7865248551833801E-3</v>
      </c>
    </row>
    <row r="106" spans="2:7" x14ac:dyDescent="0.35">
      <c r="B106" s="6">
        <v>46202</v>
      </c>
      <c r="C106" s="7">
        <v>2201.1999999999998</v>
      </c>
      <c r="D106" s="1">
        <f t="shared" si="2"/>
        <v>1.2418360776377479E-2</v>
      </c>
      <c r="F106" s="7">
        <v>24270.85</v>
      </c>
      <c r="G106" s="8">
        <f t="shared" si="3"/>
        <v>8.9312437645492349E-3</v>
      </c>
    </row>
    <row r="107" spans="2:7" x14ac:dyDescent="0.35">
      <c r="B107" s="6">
        <v>46209</v>
      </c>
      <c r="C107" s="7">
        <v>2150.6</v>
      </c>
      <c r="D107" s="1">
        <f t="shared" si="2"/>
        <v>-2.2987461384699204E-2</v>
      </c>
      <c r="F107" s="7">
        <v>24206.9</v>
      </c>
      <c r="G107" s="8">
        <f t="shared" si="3"/>
        <v>-2.6348479760699428E-3</v>
      </c>
    </row>
    <row r="108" spans="2:7" x14ac:dyDescent="0.35">
      <c r="B108" s="6">
        <v>46216</v>
      </c>
      <c r="C108" s="7">
        <v>2143.8000000000002</v>
      </c>
      <c r="D108" s="1">
        <f t="shared" si="2"/>
        <v>-3.1619083046590113E-3</v>
      </c>
      <c r="F108" s="7">
        <v>24334.3</v>
      </c>
      <c r="G108" s="8">
        <f t="shared" si="3"/>
        <v>5.262962213253175E-3</v>
      </c>
    </row>
    <row r="109" spans="2:7" x14ac:dyDescent="0.35">
      <c r="B109" s="6">
        <v>46223</v>
      </c>
      <c r="C109" s="7">
        <v>2145</v>
      </c>
      <c r="D109" s="1">
        <f t="shared" si="2"/>
        <v>5.5975370836813809E-4</v>
      </c>
      <c r="F109" s="7">
        <v>23767.45</v>
      </c>
      <c r="G109" s="8">
        <f t="shared" si="3"/>
        <v>-2.3294280090242925E-2</v>
      </c>
    </row>
    <row r="110" spans="2:7" x14ac:dyDescent="0.35">
      <c r="B110" s="6">
        <v>46230</v>
      </c>
      <c r="C110" s="7">
        <v>2101.3000000000002</v>
      </c>
      <c r="D110" s="1">
        <f t="shared" si="2"/>
        <v>-2.0372960372960325E-2</v>
      </c>
      <c r="F110" s="7">
        <v>24383.599999999999</v>
      </c>
      <c r="G110" s="8">
        <f t="shared" si="3"/>
        <v>2.5924110495656683E-2</v>
      </c>
    </row>
    <row r="111" spans="2:7" x14ac:dyDescent="0.35">
      <c r="B111" s="6">
        <v>46237</v>
      </c>
      <c r="C111" s="7">
        <v>2096</v>
      </c>
      <c r="D111" s="1">
        <f t="shared" si="2"/>
        <v>-2.5222481321087731E-3</v>
      </c>
      <c r="F111" s="7">
        <v>24570.65</v>
      </c>
      <c r="G111" s="8">
        <f t="shared" si="3"/>
        <v>7.6711396184321323E-3</v>
      </c>
    </row>
    <row r="112" spans="2:7" x14ac:dyDescent="0.35">
      <c r="B112" s="6">
        <v>46244</v>
      </c>
      <c r="C112" s="7">
        <v>2077</v>
      </c>
      <c r="D112" s="1">
        <f t="shared" si="2"/>
        <v>-9.0648854961832281E-3</v>
      </c>
      <c r="F112" s="7">
        <v>24366</v>
      </c>
      <c r="G112" s="8">
        <f t="shared" si="3"/>
        <v>-8.3290429842108882E-3</v>
      </c>
    </row>
    <row r="113" spans="2:7" x14ac:dyDescent="0.35">
      <c r="B113" s="6">
        <v>46251</v>
      </c>
      <c r="C113" s="7">
        <v>2015</v>
      </c>
      <c r="D113" s="1">
        <f t="shared" si="2"/>
        <v>-2.9850746268656692E-2</v>
      </c>
      <c r="F113" s="7">
        <v>24252</v>
      </c>
      <c r="G113" s="8">
        <f t="shared" si="3"/>
        <v>-4.6786505786752253E-3</v>
      </c>
    </row>
    <row r="114" spans="2:7" x14ac:dyDescent="0.35">
      <c r="B114" s="6">
        <v>46258</v>
      </c>
      <c r="C114" s="7">
        <v>2010.4</v>
      </c>
      <c r="D114" s="1">
        <f t="shared" si="2"/>
        <v>-2.2828784119106604E-3</v>
      </c>
      <c r="F114" s="7">
        <v>24175.65</v>
      </c>
      <c r="G114" s="8">
        <f t="shared" si="3"/>
        <v>-3.1481939633843936E-3</v>
      </c>
    </row>
    <row r="115" spans="2:7" x14ac:dyDescent="0.35">
      <c r="B115" s="6">
        <v>46265</v>
      </c>
      <c r="C115" s="7">
        <v>1973.4</v>
      </c>
      <c r="D115" s="1">
        <f t="shared" si="2"/>
        <v>-1.8404297652208523E-2</v>
      </c>
      <c r="F115" s="7">
        <v>23897.7</v>
      </c>
      <c r="G115" s="8">
        <f t="shared" si="3"/>
        <v>-1.1497105558692322E-2</v>
      </c>
    </row>
    <row r="116" spans="2:7" x14ac:dyDescent="0.35">
      <c r="B116" s="6">
        <v>46272</v>
      </c>
      <c r="C116" s="7">
        <v>1945</v>
      </c>
      <c r="D116" s="1">
        <f t="shared" si="2"/>
        <v>-1.439140569575359E-2</v>
      </c>
      <c r="F116" s="7">
        <v>23431.5</v>
      </c>
      <c r="G116" s="8">
        <f t="shared" si="3"/>
        <v>-1.950815350431212E-2</v>
      </c>
    </row>
    <row r="117" spans="2:7" x14ac:dyDescent="0.35">
      <c r="B117" s="6">
        <v>46275</v>
      </c>
      <c r="C117" s="7">
        <v>1945.8</v>
      </c>
      <c r="D117" s="1">
        <f t="shared" si="2"/>
        <v>4.1131105398450885E-4</v>
      </c>
      <c r="F117" s="7">
        <v>23434.05</v>
      </c>
      <c r="G117" s="8">
        <f t="shared" si="3"/>
        <v>1.0882785993215904E-4</v>
      </c>
    </row>
    <row r="118" spans="2:7" ht="15" thickBot="1" x14ac:dyDescent="0.4">
      <c r="B118" s="198"/>
      <c r="C118" s="198"/>
      <c r="D118" s="198"/>
      <c r="E118" s="198"/>
      <c r="F118" s="198"/>
      <c r="G118" s="198"/>
    </row>
  </sheetData>
  <mergeCells count="4">
    <mergeCell ref="I9:J9"/>
    <mergeCell ref="B9:D9"/>
    <mergeCell ref="F9:G9"/>
    <mergeCell ref="B7:J7"/>
  </mergeCells>
  <printOptions horizontalCentered="1" verticalCentered="1"/>
  <pageMargins left="0.11811023622047245" right="0.11811023622047245" top="0.15748031496062992" bottom="0.15748031496062992" header="0.31496062992125984" footer="0.31496062992125984"/>
  <pageSetup scale="65"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F1CFE-63B1-48EF-B69F-F0F7CCDF7BB5}">
  <dimension ref="B10:G15"/>
  <sheetViews>
    <sheetView showGridLines="0" workbookViewId="0">
      <selection activeCell="D11" sqref="D11"/>
    </sheetView>
  </sheetViews>
  <sheetFormatPr defaultRowHeight="14.5" x14ac:dyDescent="0.35"/>
  <cols>
    <col min="1" max="1" width="1.81640625" customWidth="1"/>
    <col min="3" max="3" width="14.81640625" bestFit="1" customWidth="1"/>
    <col min="4" max="4" width="7.54296875" bestFit="1" customWidth="1"/>
    <col min="5" max="5" width="13.7265625" bestFit="1" customWidth="1"/>
    <col min="6" max="6" width="10.08984375" bestFit="1" customWidth="1"/>
    <col min="7" max="7" width="8.6328125" bestFit="1" customWidth="1"/>
    <col min="15" max="15" width="5.1796875" bestFit="1" customWidth="1"/>
  </cols>
  <sheetData>
    <row r="10" spans="2:7" x14ac:dyDescent="0.35">
      <c r="B10" t="s">
        <v>82</v>
      </c>
      <c r="C10" t="s">
        <v>83</v>
      </c>
      <c r="D10" t="s">
        <v>84</v>
      </c>
      <c r="E10" t="s">
        <v>85</v>
      </c>
      <c r="F10" t="s">
        <v>86</v>
      </c>
      <c r="G10" t="s">
        <v>87</v>
      </c>
    </row>
    <row r="11" spans="2:7" x14ac:dyDescent="0.35">
      <c r="B11">
        <v>1</v>
      </c>
      <c r="C11" t="s">
        <v>88</v>
      </c>
      <c r="D11">
        <v>1927</v>
      </c>
      <c r="E11">
        <v>452766.24</v>
      </c>
      <c r="F11">
        <v>1478</v>
      </c>
      <c r="G11">
        <v>0.03</v>
      </c>
    </row>
    <row r="12" spans="2:7" x14ac:dyDescent="0.35">
      <c r="B12">
        <v>2</v>
      </c>
      <c r="C12" t="s">
        <v>54</v>
      </c>
      <c r="D12">
        <v>259.85000000000002</v>
      </c>
      <c r="E12">
        <v>325586.39</v>
      </c>
      <c r="F12">
        <v>2399.06</v>
      </c>
      <c r="G12">
        <v>0.03</v>
      </c>
    </row>
    <row r="13" spans="2:7" x14ac:dyDescent="0.35">
      <c r="B13">
        <v>3</v>
      </c>
      <c r="C13" t="s">
        <v>89</v>
      </c>
      <c r="D13">
        <v>1383.3</v>
      </c>
      <c r="E13">
        <v>266743.71999999997</v>
      </c>
      <c r="F13">
        <v>444.16</v>
      </c>
      <c r="G13">
        <v>0.08</v>
      </c>
    </row>
    <row r="14" spans="2:7" x14ac:dyDescent="0.35">
      <c r="B14">
        <v>4</v>
      </c>
      <c r="C14" t="s">
        <v>90</v>
      </c>
      <c r="D14">
        <v>416.5</v>
      </c>
      <c r="E14">
        <v>140879.66</v>
      </c>
      <c r="F14">
        <v>2508.1799999999998</v>
      </c>
      <c r="G14">
        <v>0.13</v>
      </c>
    </row>
    <row r="15" spans="2:7" x14ac:dyDescent="0.35">
      <c r="B15">
        <v>5</v>
      </c>
      <c r="C15" t="s">
        <v>91</v>
      </c>
      <c r="D15">
        <v>4962</v>
      </c>
      <c r="E15">
        <v>119518.85</v>
      </c>
      <c r="F15">
        <v>1380.28</v>
      </c>
      <c r="G15">
        <v>0.27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6F07-BFD9-4608-BB65-3B815448BDAA}">
  <dimension ref="B10:H39"/>
  <sheetViews>
    <sheetView showGridLines="0" topLeftCell="A3" workbookViewId="0">
      <selection sqref="A1:XFD1"/>
    </sheetView>
  </sheetViews>
  <sheetFormatPr defaultRowHeight="14.5" x14ac:dyDescent="0.35"/>
  <cols>
    <col min="1" max="1" width="1.81640625" customWidth="1"/>
    <col min="2" max="2" width="16.453125" bestFit="1" customWidth="1"/>
    <col min="5" max="5" width="17.7265625" bestFit="1" customWidth="1"/>
    <col min="6" max="6" width="6.81640625" bestFit="1" customWidth="1"/>
  </cols>
  <sheetData>
    <row r="10" spans="2:7" x14ac:dyDescent="0.35">
      <c r="B10" s="247" t="s">
        <v>94</v>
      </c>
      <c r="C10" s="247"/>
      <c r="D10" s="247"/>
      <c r="E10" s="247"/>
      <c r="F10" s="247"/>
      <c r="G10" s="247"/>
    </row>
    <row r="12" spans="2:7" x14ac:dyDescent="0.35">
      <c r="B12" s="38" t="s">
        <v>92</v>
      </c>
      <c r="C12" t="s">
        <v>93</v>
      </c>
    </row>
    <row r="13" spans="2:7" x14ac:dyDescent="0.35">
      <c r="B13" s="38">
        <v>2000</v>
      </c>
      <c r="C13" s="16">
        <v>-0.14649999999999999</v>
      </c>
    </row>
    <row r="14" spans="2:7" x14ac:dyDescent="0.35">
      <c r="B14" s="38">
        <v>2001</v>
      </c>
      <c r="C14" s="16">
        <v>-0.1618</v>
      </c>
      <c r="E14" t="s">
        <v>95</v>
      </c>
      <c r="F14" s="1">
        <f>AVERAGE(C13:C38)</f>
        <v>0.1514923076923077</v>
      </c>
    </row>
    <row r="15" spans="2:7" ht="16.5" x14ac:dyDescent="0.35">
      <c r="B15" s="38">
        <v>2002</v>
      </c>
      <c r="C15" s="16">
        <v>3.2500000000000001E-2</v>
      </c>
      <c r="E15" t="s">
        <v>96</v>
      </c>
      <c r="F15" s="126" t="s">
        <v>97</v>
      </c>
    </row>
    <row r="16" spans="2:7" x14ac:dyDescent="0.35">
      <c r="B16" s="38">
        <v>2003</v>
      </c>
      <c r="C16" s="16">
        <v>0.71900000000000008</v>
      </c>
      <c r="E16" s="3" t="s">
        <v>98</v>
      </c>
      <c r="F16" s="1">
        <f>SUM(F14:F15)</f>
        <v>0.1514923076923077</v>
      </c>
    </row>
    <row r="17" spans="2:8" x14ac:dyDescent="0.35">
      <c r="B17" s="38">
        <v>2004</v>
      </c>
      <c r="C17" s="16">
        <v>0.10679999999999999</v>
      </c>
    </row>
    <row r="18" spans="2:8" x14ac:dyDescent="0.35">
      <c r="B18" s="38">
        <v>2005</v>
      </c>
      <c r="C18" s="16">
        <v>0.36340000000000006</v>
      </c>
    </row>
    <row r="19" spans="2:8" x14ac:dyDescent="0.35">
      <c r="B19" s="38">
        <v>2006</v>
      </c>
      <c r="C19" s="16">
        <v>0.39829999999999999</v>
      </c>
      <c r="H19" s="39"/>
    </row>
    <row r="20" spans="2:8" x14ac:dyDescent="0.35">
      <c r="B20" s="38">
        <v>2007</v>
      </c>
      <c r="C20" s="16">
        <v>0.54770000000000008</v>
      </c>
    </row>
    <row r="21" spans="2:8" x14ac:dyDescent="0.35">
      <c r="B21" s="38">
        <v>2008</v>
      </c>
      <c r="C21" s="16">
        <v>-0.51790000000000003</v>
      </c>
    </row>
    <row r="22" spans="2:8" x14ac:dyDescent="0.35">
      <c r="B22" s="38">
        <v>2009</v>
      </c>
      <c r="C22" s="16">
        <v>0.75760000000000005</v>
      </c>
    </row>
    <row r="23" spans="2:8" x14ac:dyDescent="0.35">
      <c r="B23" s="38">
        <v>2010</v>
      </c>
      <c r="C23" s="16">
        <v>0.17949999999999999</v>
      </c>
    </row>
    <row r="24" spans="2:8" x14ac:dyDescent="0.35">
      <c r="B24" s="38">
        <v>2011</v>
      </c>
      <c r="C24" s="16">
        <v>-0.2462</v>
      </c>
    </row>
    <row r="25" spans="2:8" x14ac:dyDescent="0.35">
      <c r="B25" s="38">
        <v>2012</v>
      </c>
      <c r="C25" s="16">
        <v>0.27699999999999997</v>
      </c>
    </row>
    <row r="26" spans="2:8" x14ac:dyDescent="0.35">
      <c r="B26" s="38">
        <v>2013</v>
      </c>
      <c r="C26" s="16">
        <v>6.7599999999999993E-2</v>
      </c>
    </row>
    <row r="27" spans="2:8" x14ac:dyDescent="0.35">
      <c r="B27" s="38">
        <v>2014</v>
      </c>
      <c r="C27" s="16">
        <v>0.31390000000000001</v>
      </c>
    </row>
    <row r="28" spans="2:8" x14ac:dyDescent="0.35">
      <c r="B28" s="38">
        <v>2015</v>
      </c>
      <c r="C28" s="16">
        <v>-4.0599999999999997E-2</v>
      </c>
    </row>
    <row r="29" spans="2:8" x14ac:dyDescent="0.35">
      <c r="B29" s="38">
        <v>2016</v>
      </c>
      <c r="C29" s="16">
        <v>3.0099999999999998E-2</v>
      </c>
    </row>
    <row r="30" spans="2:8" x14ac:dyDescent="0.35">
      <c r="B30" s="38">
        <v>2017</v>
      </c>
      <c r="C30" s="16">
        <v>0.28649999999999998</v>
      </c>
    </row>
    <row r="31" spans="2:8" x14ac:dyDescent="0.35">
      <c r="B31" s="38">
        <v>2018</v>
      </c>
      <c r="C31" s="16">
        <v>3.15E-2</v>
      </c>
    </row>
    <row r="32" spans="2:8" x14ac:dyDescent="0.35">
      <c r="B32" s="38">
        <v>2019</v>
      </c>
      <c r="C32" s="16">
        <v>0.1202</v>
      </c>
    </row>
    <row r="33" spans="2:3" x14ac:dyDescent="0.35">
      <c r="B33" s="38">
        <v>2020</v>
      </c>
      <c r="C33" s="16">
        <v>0.14899999999999999</v>
      </c>
    </row>
    <row r="34" spans="2:3" x14ac:dyDescent="0.35">
      <c r="B34" s="38">
        <v>2021</v>
      </c>
      <c r="C34" s="16">
        <v>0.2412</v>
      </c>
    </row>
    <row r="35" spans="2:3" x14ac:dyDescent="0.35">
      <c r="B35" s="38">
        <v>2022</v>
      </c>
      <c r="C35" s="16">
        <v>4.3200000000000002E-2</v>
      </c>
    </row>
    <row r="36" spans="2:3" x14ac:dyDescent="0.35">
      <c r="B36" s="38">
        <v>2023</v>
      </c>
      <c r="C36" s="16">
        <v>0.19420000000000001</v>
      </c>
    </row>
    <row r="37" spans="2:3" x14ac:dyDescent="0.35">
      <c r="B37" s="38">
        <v>2024</v>
      </c>
      <c r="C37" s="16">
        <v>8.7499999999999994E-2</v>
      </c>
    </row>
    <row r="38" spans="2:3" x14ac:dyDescent="0.35">
      <c r="B38" s="38">
        <v>2025</v>
      </c>
      <c r="C38" s="16">
        <v>0.1051</v>
      </c>
    </row>
    <row r="39" spans="2:3" x14ac:dyDescent="0.35">
      <c r="B39" s="38"/>
    </row>
  </sheetData>
  <mergeCells count="1">
    <mergeCell ref="B10:G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7F2E-FC6D-4A5F-B627-D2A6F0AAF08E}">
  <sheetPr>
    <pageSetUpPr fitToPage="1"/>
  </sheetPr>
  <dimension ref="A1:K68"/>
  <sheetViews>
    <sheetView showGridLines="0" topLeftCell="A42" zoomScale="99" zoomScaleNormal="160" workbookViewId="0">
      <selection activeCell="M53" sqref="M53"/>
    </sheetView>
  </sheetViews>
  <sheetFormatPr defaultRowHeight="14.5" x14ac:dyDescent="0.35"/>
  <cols>
    <col min="1" max="1" width="1.81640625" customWidth="1"/>
    <col min="2" max="2" width="28.90625" bestFit="1" customWidth="1"/>
    <col min="7" max="7" width="9.6328125" bestFit="1" customWidth="1"/>
    <col min="8" max="8" width="20.08984375" bestFit="1" customWidth="1"/>
    <col min="9" max="9" width="9.26953125" bestFit="1" customWidth="1"/>
    <col min="10" max="10" width="13.08984375" bestFit="1" customWidth="1"/>
    <col min="11" max="11" width="9.6328125" bestFit="1" customWidth="1"/>
  </cols>
  <sheetData>
    <row r="1" spans="2:11" x14ac:dyDescent="0.35">
      <c r="B1" s="47"/>
      <c r="C1" s="47"/>
      <c r="D1" s="47"/>
      <c r="E1" s="47"/>
      <c r="F1" s="47"/>
      <c r="G1" s="47"/>
      <c r="H1" s="47"/>
      <c r="I1" s="47"/>
      <c r="J1" s="47"/>
      <c r="K1" s="47"/>
    </row>
    <row r="2" spans="2:11" ht="26" x14ac:dyDescent="0.6">
      <c r="B2" s="186" t="s">
        <v>289</v>
      </c>
    </row>
    <row r="3" spans="2:11" ht="18.5" x14ac:dyDescent="0.45">
      <c r="B3" s="188" t="s">
        <v>388</v>
      </c>
    </row>
    <row r="4" spans="2:11" ht="21" x14ac:dyDescent="0.5">
      <c r="B4" s="187" t="s">
        <v>389</v>
      </c>
    </row>
    <row r="5" spans="2:11" ht="18.5" x14ac:dyDescent="0.45">
      <c r="B5" s="188" t="s">
        <v>390</v>
      </c>
    </row>
    <row r="7" spans="2:11" x14ac:dyDescent="0.35">
      <c r="B7" s="47" t="s">
        <v>140</v>
      </c>
      <c r="C7" s="47"/>
      <c r="D7" s="47"/>
      <c r="E7" s="47"/>
      <c r="F7" s="47"/>
      <c r="G7" s="48">
        <f>'Raw FS'!K3</f>
        <v>44621</v>
      </c>
      <c r="H7" s="48">
        <f>'Raw FS'!L3</f>
        <v>44986</v>
      </c>
      <c r="I7" s="48">
        <f>'Raw FS'!M3</f>
        <v>45352</v>
      </c>
      <c r="J7" s="48">
        <f>'Raw FS'!N3</f>
        <v>45717</v>
      </c>
      <c r="K7" s="48">
        <f>'Raw FS'!O3</f>
        <v>46082</v>
      </c>
    </row>
    <row r="9" spans="2:11" ht="15" thickBot="1" x14ac:dyDescent="0.4">
      <c r="B9" s="3" t="s">
        <v>142</v>
      </c>
    </row>
    <row r="10" spans="2:11" ht="15" thickBot="1" x14ac:dyDescent="0.4">
      <c r="B10" s="49" t="str">
        <f>'Raw FS'!C36</f>
        <v>Inventories</v>
      </c>
      <c r="C10" s="49"/>
      <c r="D10" s="49"/>
      <c r="E10" s="49"/>
      <c r="F10" s="49"/>
      <c r="G10" s="51">
        <f>'Raw FS'!K36</f>
        <v>4096</v>
      </c>
      <c r="H10" s="51">
        <f>'Raw FS'!L36</f>
        <v>4251</v>
      </c>
      <c r="I10" s="51">
        <f>'Raw FS'!M36</f>
        <v>4022</v>
      </c>
      <c r="J10" s="51">
        <f>'Raw FS'!N36</f>
        <v>4415</v>
      </c>
      <c r="K10" s="51">
        <f>'Raw FS'!O36</f>
        <v>4789</v>
      </c>
    </row>
    <row r="11" spans="2:11" ht="15" thickBot="1" x14ac:dyDescent="0.4">
      <c r="B11" s="49" t="str">
        <f>'Raw FS'!C37</f>
        <v xml:space="preserve">Trade receivables </v>
      </c>
      <c r="C11" s="49"/>
      <c r="D11" s="49"/>
      <c r="E11" s="49"/>
      <c r="F11" s="49"/>
      <c r="G11" s="51">
        <f>'Raw FS'!K37</f>
        <v>2236</v>
      </c>
      <c r="H11" s="51">
        <f>'Raw FS'!L37</f>
        <v>3079</v>
      </c>
      <c r="I11" s="51">
        <f>'Raw FS'!M37</f>
        <v>2997</v>
      </c>
      <c r="J11" s="51">
        <f>'Raw FS'!N37</f>
        <v>3819</v>
      </c>
      <c r="K11" s="51">
        <f>'Raw FS'!O37</f>
        <v>3379</v>
      </c>
    </row>
    <row r="12" spans="2:11" ht="15" thickBot="1" x14ac:dyDescent="0.4">
      <c r="B12" s="49" t="str">
        <f>'Raw FS'!C42</f>
        <v>Loans n Advances</v>
      </c>
      <c r="C12" s="49"/>
      <c r="D12" s="49"/>
      <c r="E12" s="49"/>
      <c r="F12" s="49"/>
      <c r="G12" s="51">
        <f>'Raw FS'!K42</f>
        <v>170</v>
      </c>
      <c r="H12" s="51">
        <f>'Raw FS'!L42</f>
        <v>188</v>
      </c>
      <c r="I12" s="51">
        <f>'Raw FS'!M42</f>
        <v>172</v>
      </c>
      <c r="J12" s="51">
        <f>'Raw FS'!N42</f>
        <v>619</v>
      </c>
      <c r="K12" s="51">
        <f>'Raw FS'!O42</f>
        <v>1024</v>
      </c>
    </row>
    <row r="13" spans="2:11" ht="15" thickBot="1" x14ac:dyDescent="0.4">
      <c r="B13" t="str">
        <f>'Raw FS'!C43</f>
        <v>Other asset items</v>
      </c>
      <c r="G13" s="54">
        <f>'Raw FS'!K43</f>
        <v>3851</v>
      </c>
      <c r="H13" s="54">
        <f>'Raw FS'!L43</f>
        <v>4189</v>
      </c>
      <c r="I13" s="54">
        <f>'Raw FS'!M43</f>
        <v>4345</v>
      </c>
      <c r="J13" s="54">
        <f>'Raw FS'!N43</f>
        <v>4302</v>
      </c>
      <c r="K13" s="54">
        <f>'Raw FS'!O43</f>
        <v>4631</v>
      </c>
    </row>
    <row r="14" spans="2:11" x14ac:dyDescent="0.35">
      <c r="B14" s="22" t="s">
        <v>143</v>
      </c>
      <c r="C14" s="22"/>
      <c r="D14" s="22"/>
      <c r="E14" s="22"/>
      <c r="F14" s="22"/>
      <c r="G14" s="58">
        <f>SUM(G10:G13)</f>
        <v>10353</v>
      </c>
      <c r="H14" s="58">
        <f t="shared" ref="H14:K14" si="0">SUM(H10:H13)</f>
        <v>11707</v>
      </c>
      <c r="I14" s="58">
        <f t="shared" si="0"/>
        <v>11536</v>
      </c>
      <c r="J14" s="58">
        <f t="shared" si="0"/>
        <v>13155</v>
      </c>
      <c r="K14" s="58">
        <f t="shared" si="0"/>
        <v>13823</v>
      </c>
    </row>
    <row r="15" spans="2:11" x14ac:dyDescent="0.35">
      <c r="G15" s="54"/>
      <c r="H15" s="54"/>
      <c r="I15" s="54"/>
      <c r="J15" s="54"/>
      <c r="K15" s="54"/>
    </row>
    <row r="16" spans="2:11" ht="15" thickBot="1" x14ac:dyDescent="0.4">
      <c r="B16" s="3" t="s">
        <v>144</v>
      </c>
      <c r="G16" s="54"/>
      <c r="H16" s="54"/>
      <c r="I16" s="54"/>
      <c r="J16" s="54"/>
      <c r="K16" s="54"/>
    </row>
    <row r="17" spans="1:11" ht="15" thickBot="1" x14ac:dyDescent="0.4">
      <c r="B17" s="49" t="str">
        <f>'Raw FS'!C13</f>
        <v>Trade Payables</v>
      </c>
      <c r="C17" s="49"/>
      <c r="D17" s="49"/>
      <c r="E17" s="49"/>
      <c r="F17" s="49"/>
      <c r="G17" s="51">
        <f>'Raw FS'!K13</f>
        <v>9068</v>
      </c>
      <c r="H17" s="51">
        <f>'Raw FS'!L13</f>
        <v>9574</v>
      </c>
      <c r="I17" s="51">
        <f>'Raw FS'!M13</f>
        <v>10486</v>
      </c>
      <c r="J17" s="51">
        <f>'Raw FS'!N13</f>
        <v>11315</v>
      </c>
      <c r="K17" s="51">
        <f>'Raw FS'!O13</f>
        <v>13325</v>
      </c>
    </row>
    <row r="18" spans="1:11" ht="15" thickBot="1" x14ac:dyDescent="0.4">
      <c r="B18" s="49" t="str">
        <f>'Raw FS'!C14</f>
        <v>Advance from Customers</v>
      </c>
      <c r="C18" s="49"/>
      <c r="D18" s="49"/>
      <c r="E18" s="49"/>
      <c r="F18" s="49"/>
      <c r="G18" s="51">
        <f>'Raw FS'!K14</f>
        <v>119</v>
      </c>
      <c r="H18" s="51">
        <f>'Raw FS'!L14</f>
        <v>98</v>
      </c>
      <c r="I18" s="51">
        <f>'Raw FS'!M14</f>
        <v>91</v>
      </c>
      <c r="J18" s="51">
        <f>'Raw FS'!N14</f>
        <v>0</v>
      </c>
      <c r="K18" s="51">
        <f>'Raw FS'!O14</f>
        <v>0</v>
      </c>
    </row>
    <row r="19" spans="1:11" ht="15" thickBot="1" x14ac:dyDescent="0.4">
      <c r="B19" s="49" t="str">
        <f>'Raw FS'!C15</f>
        <v>Other liability items</v>
      </c>
      <c r="C19" s="49"/>
      <c r="D19" s="49"/>
      <c r="E19" s="49"/>
      <c r="F19" s="49"/>
      <c r="G19" s="51">
        <f>'Raw FS'!K15</f>
        <v>11189</v>
      </c>
      <c r="H19" s="51">
        <f>'Raw FS'!L15</f>
        <v>11664</v>
      </c>
      <c r="I19" s="51">
        <f>'Raw FS'!M15</f>
        <v>15005</v>
      </c>
      <c r="J19" s="51">
        <f>'Raw FS'!N15</f>
        <v>17291</v>
      </c>
      <c r="K19" s="51">
        <f>'Raw FS'!O15</f>
        <v>15927</v>
      </c>
    </row>
    <row r="20" spans="1:11" x14ac:dyDescent="0.35">
      <c r="B20" s="22" t="s">
        <v>145</v>
      </c>
      <c r="C20" s="22"/>
      <c r="D20" s="22"/>
      <c r="E20" s="22"/>
      <c r="F20" s="22"/>
      <c r="G20" s="58">
        <f>SUM(G17:G19)</f>
        <v>20376</v>
      </c>
      <c r="H20" s="58">
        <f>SUM(H17:H19)</f>
        <v>21336</v>
      </c>
      <c r="I20" s="58">
        <f>SUM(I17:I19)</f>
        <v>25582</v>
      </c>
      <c r="J20" s="58">
        <f>SUM(J17:J19)</f>
        <v>28606</v>
      </c>
      <c r="K20" s="58">
        <f>SUM(K17:K19)</f>
        <v>29252</v>
      </c>
    </row>
    <row r="21" spans="1:11" ht="15" thickBot="1" x14ac:dyDescent="0.4"/>
    <row r="22" spans="1:11" ht="15" thickBot="1" x14ac:dyDescent="0.4">
      <c r="A22" t="s">
        <v>147</v>
      </c>
      <c r="B22" s="59" t="s">
        <v>146</v>
      </c>
      <c r="C22" s="59"/>
      <c r="D22" s="59"/>
      <c r="E22" s="59"/>
      <c r="F22" s="59"/>
      <c r="G22" s="60">
        <f>G14-G20</f>
        <v>-10023</v>
      </c>
      <c r="H22" s="60">
        <f t="shared" ref="H22:K22" si="1">H14-H20</f>
        <v>-9629</v>
      </c>
      <c r="I22" s="60">
        <f>I14-I20</f>
        <v>-14046</v>
      </c>
      <c r="J22" s="60">
        <f t="shared" si="1"/>
        <v>-15451</v>
      </c>
      <c r="K22" s="60">
        <f t="shared" si="1"/>
        <v>-15429</v>
      </c>
    </row>
    <row r="23" spans="1:11" ht="15" thickTop="1" x14ac:dyDescent="0.35"/>
    <row r="25" spans="1:11" ht="15" thickBot="1" x14ac:dyDescent="0.4">
      <c r="B25" s="3" t="s">
        <v>148</v>
      </c>
      <c r="G25" s="54"/>
      <c r="H25" s="54"/>
      <c r="I25" s="54"/>
      <c r="J25" s="54"/>
      <c r="K25" s="54"/>
    </row>
    <row r="26" spans="1:11" ht="15" thickBot="1" x14ac:dyDescent="0.4">
      <c r="B26" s="49" t="str">
        <f>'Raw FS'!C19</f>
        <v>Land</v>
      </c>
      <c r="C26" s="49"/>
      <c r="D26" s="49"/>
      <c r="E26" s="49"/>
      <c r="F26" s="49"/>
      <c r="G26" s="51">
        <f>'Raw FS'!K19</f>
        <v>477</v>
      </c>
      <c r="H26" s="51">
        <f>'Raw FS'!L19</f>
        <v>609</v>
      </c>
      <c r="I26" s="51">
        <f>'Raw FS'!M19</f>
        <v>633</v>
      </c>
      <c r="J26" s="51">
        <f>'Raw FS'!N19</f>
        <v>628</v>
      </c>
      <c r="K26" s="51">
        <f>'Raw FS'!O19</f>
        <v>636</v>
      </c>
    </row>
    <row r="27" spans="1:11" ht="15" thickBot="1" x14ac:dyDescent="0.4">
      <c r="B27" s="49" t="str">
        <f>'Raw FS'!C20</f>
        <v>Building</v>
      </c>
      <c r="C27" s="49"/>
      <c r="D27" s="49"/>
      <c r="E27" s="49"/>
      <c r="F27" s="49"/>
      <c r="G27" s="51">
        <f>'Raw FS'!K20</f>
        <v>2788</v>
      </c>
      <c r="H27" s="51">
        <f>'Raw FS'!L20</f>
        <v>3101</v>
      </c>
      <c r="I27" s="51">
        <f>'Raw FS'!M20</f>
        <v>3590</v>
      </c>
      <c r="J27" s="51">
        <f>'Raw FS'!N20</f>
        <v>3833</v>
      </c>
      <c r="K27" s="51">
        <f>'Raw FS'!O20</f>
        <v>4067</v>
      </c>
    </row>
    <row r="28" spans="1:11" ht="15" thickBot="1" x14ac:dyDescent="0.4">
      <c r="B28" s="49" t="str">
        <f>'Raw FS'!C21</f>
        <v>Plant Machinery</v>
      </c>
      <c r="C28" s="3"/>
      <c r="G28" s="51">
        <f>'Raw FS'!K21</f>
        <v>6566</v>
      </c>
      <c r="H28" s="51">
        <f>'Raw FS'!L21</f>
        <v>7612</v>
      </c>
      <c r="I28" s="51">
        <f>'Raw FS'!M21</f>
        <v>8946</v>
      </c>
      <c r="J28" s="51">
        <f>'Raw FS'!N21</f>
        <v>9900</v>
      </c>
      <c r="K28" s="51">
        <f>'Raw FS'!O21</f>
        <v>9296</v>
      </c>
    </row>
    <row r="29" spans="1:11" ht="15" thickBot="1" x14ac:dyDescent="0.4">
      <c r="B29" s="49" t="str">
        <f>'Raw FS'!C22</f>
        <v>Equipments</v>
      </c>
      <c r="C29" s="49"/>
      <c r="D29" s="49"/>
      <c r="E29" s="49"/>
      <c r="F29" s="49"/>
      <c r="G29" s="51">
        <f>'Raw FS'!K22</f>
        <v>181</v>
      </c>
      <c r="H29" s="51">
        <f>'Raw FS'!L22</f>
        <v>185</v>
      </c>
      <c r="I29" s="51">
        <f>'Raw FS'!M22</f>
        <v>206</v>
      </c>
      <c r="J29" s="51">
        <f>'Raw FS'!N22</f>
        <v>245</v>
      </c>
      <c r="K29" s="51">
        <f>'Raw FS'!O22</f>
        <v>286</v>
      </c>
    </row>
    <row r="30" spans="1:11" ht="15" thickBot="1" x14ac:dyDescent="0.4">
      <c r="B30" s="49" t="str">
        <f>'Raw FS'!C23</f>
        <v>Furniture n fittings</v>
      </c>
      <c r="C30" s="49"/>
      <c r="D30" s="49"/>
      <c r="E30" s="49"/>
      <c r="F30" s="49"/>
      <c r="G30" s="51">
        <f>'Raw FS'!K23</f>
        <v>152</v>
      </c>
      <c r="H30" s="51">
        <f>'Raw FS'!L23</f>
        <v>161</v>
      </c>
      <c r="I30" s="51">
        <f>'Raw FS'!M23</f>
        <v>165</v>
      </c>
      <c r="J30" s="51">
        <f>'Raw FS'!N23</f>
        <v>174</v>
      </c>
      <c r="K30" s="51">
        <f>'Raw FS'!O23</f>
        <v>220</v>
      </c>
    </row>
    <row r="31" spans="1:11" ht="15" thickBot="1" x14ac:dyDescent="0.4">
      <c r="B31" s="49" t="str">
        <f>'Raw FS'!C25</f>
        <v>Vehicles</v>
      </c>
      <c r="C31" s="49"/>
      <c r="D31" s="49"/>
      <c r="E31" s="49"/>
      <c r="F31" s="49"/>
      <c r="G31" s="51">
        <f>'Raw FS'!K25</f>
        <v>0</v>
      </c>
      <c r="H31" s="51">
        <f>'Raw FS'!L25</f>
        <v>33</v>
      </c>
      <c r="I31" s="51">
        <f>'Raw FS'!M25</f>
        <v>39</v>
      </c>
      <c r="J31" s="51">
        <f>'Raw FS'!N25</f>
        <v>102</v>
      </c>
      <c r="K31" s="51">
        <f>'Raw FS'!O25</f>
        <v>103</v>
      </c>
    </row>
    <row r="32" spans="1:11" ht="15" thickBot="1" x14ac:dyDescent="0.4">
      <c r="B32" s="49" t="str">
        <f>'Raw FS'!C26</f>
        <v>Intangible Assets</v>
      </c>
      <c r="C32" s="49"/>
      <c r="D32" s="49"/>
      <c r="E32" s="49"/>
      <c r="F32" s="49"/>
      <c r="G32" s="51">
        <f>'Raw FS'!K26</f>
        <v>45262</v>
      </c>
      <c r="H32" s="51">
        <f>'Raw FS'!L26</f>
        <v>45692</v>
      </c>
      <c r="I32" s="51">
        <f>'Raw FS'!M26</f>
        <v>45692</v>
      </c>
      <c r="J32" s="51">
        <f>'Raw FS'!N26</f>
        <v>45692</v>
      </c>
      <c r="K32" s="51">
        <f>'Raw FS'!O26</f>
        <v>49195</v>
      </c>
    </row>
    <row r="33" spans="1:11" ht="15" thickBot="1" x14ac:dyDescent="0.4">
      <c r="B33" s="49" t="str">
        <f>'Raw FS'!C27</f>
        <v>Other fixed assets</v>
      </c>
      <c r="C33" s="49"/>
      <c r="D33" s="49"/>
      <c r="E33" s="49"/>
      <c r="F33" s="49"/>
      <c r="G33" s="51">
        <f>'Raw FS'!K27</f>
        <v>152</v>
      </c>
      <c r="H33" s="51">
        <f>'Raw FS'!L27</f>
        <v>171</v>
      </c>
      <c r="I33" s="51">
        <f>'Raw FS'!M27</f>
        <v>180</v>
      </c>
      <c r="J33" s="51">
        <f>'Raw FS'!N27</f>
        <v>190</v>
      </c>
      <c r="K33" s="51">
        <f>'Raw FS'!O27</f>
        <v>210</v>
      </c>
    </row>
    <row r="34" spans="1:11" x14ac:dyDescent="0.35">
      <c r="B34" s="22" t="s">
        <v>125</v>
      </c>
      <c r="C34" s="22"/>
      <c r="D34" s="22"/>
      <c r="E34" s="22"/>
      <c r="F34" s="22"/>
      <c r="G34" s="58">
        <f>SUM(G26:G33)</f>
        <v>55578</v>
      </c>
      <c r="H34" s="58">
        <f t="shared" ref="H34:K34" si="2">SUM(H26:H33)</f>
        <v>57564</v>
      </c>
      <c r="I34" s="58">
        <f t="shared" si="2"/>
        <v>59451</v>
      </c>
      <c r="J34" s="58">
        <f t="shared" si="2"/>
        <v>60764</v>
      </c>
      <c r="K34" s="58">
        <f t="shared" si="2"/>
        <v>64013</v>
      </c>
    </row>
    <row r="35" spans="1:11" ht="15" thickBot="1" x14ac:dyDescent="0.4">
      <c r="B35" t="s">
        <v>126</v>
      </c>
      <c r="G35" s="54">
        <f>-'Raw FS'!K29</f>
        <v>-4105</v>
      </c>
      <c r="H35" s="54">
        <f>-'Raw FS'!L29</f>
        <v>-4886</v>
      </c>
      <c r="I35" s="54">
        <f>-'Raw FS'!M29</f>
        <v>-5707</v>
      </c>
      <c r="J35" s="54">
        <f>-'Raw FS'!N29</f>
        <v>-6429</v>
      </c>
      <c r="K35" s="54">
        <f>-'Raw FS'!O29</f>
        <v>-6585</v>
      </c>
    </row>
    <row r="36" spans="1:11" ht="15" thickBot="1" x14ac:dyDescent="0.4">
      <c r="A36" t="s">
        <v>147</v>
      </c>
      <c r="B36" s="111" t="s">
        <v>293</v>
      </c>
      <c r="C36" s="59"/>
      <c r="D36" s="59"/>
      <c r="E36" s="59"/>
      <c r="F36" s="59"/>
      <c r="G36" s="112">
        <f>SUM(G34:G35)</f>
        <v>51473</v>
      </c>
      <c r="H36" s="112">
        <f t="shared" ref="H36:K36" si="3">SUM(H34:H35)</f>
        <v>52678</v>
      </c>
      <c r="I36" s="112">
        <f t="shared" si="3"/>
        <v>53744</v>
      </c>
      <c r="J36" s="112">
        <f t="shared" si="3"/>
        <v>54335</v>
      </c>
      <c r="K36" s="112">
        <f t="shared" si="3"/>
        <v>57428</v>
      </c>
    </row>
    <row r="37" spans="1:11" ht="15.5" thickTop="1" thickBot="1" x14ac:dyDescent="0.4"/>
    <row r="38" spans="1:11" ht="15" thickBot="1" x14ac:dyDescent="0.4">
      <c r="A38" t="s">
        <v>147</v>
      </c>
      <c r="B38" s="116" t="s">
        <v>294</v>
      </c>
      <c r="C38" s="49"/>
      <c r="D38" s="49"/>
      <c r="E38" s="49"/>
      <c r="F38" s="49"/>
      <c r="G38" s="51">
        <f>G36+G22</f>
        <v>41450</v>
      </c>
      <c r="H38" s="51">
        <f t="shared" ref="H38:K38" si="4">H36+H22</f>
        <v>43049</v>
      </c>
      <c r="I38" s="51">
        <f t="shared" si="4"/>
        <v>39698</v>
      </c>
      <c r="J38" s="51">
        <f t="shared" si="4"/>
        <v>38884</v>
      </c>
      <c r="K38" s="51">
        <f t="shared" si="4"/>
        <v>41999</v>
      </c>
    </row>
    <row r="39" spans="1:11" ht="15" thickBot="1" x14ac:dyDescent="0.4">
      <c r="B39" s="116" t="s">
        <v>295</v>
      </c>
      <c r="C39" s="49"/>
      <c r="D39" s="49"/>
      <c r="E39" s="49"/>
      <c r="F39" s="49"/>
      <c r="G39" s="51">
        <f>HistoricalFS!H32+HistoricalFS!H26</f>
        <v>11766</v>
      </c>
      <c r="H39" s="51">
        <f>HistoricalFS!I32+HistoricalFS!I26</f>
        <v>13010</v>
      </c>
      <c r="I39" s="51">
        <f>HistoricalFS!J32+HistoricalFS!J26</f>
        <v>13443</v>
      </c>
      <c r="J39" s="51">
        <f>HistoricalFS!K32+HistoricalFS!K26</f>
        <v>13445</v>
      </c>
      <c r="K39" s="51">
        <f>HistoricalFS!L32+HistoricalFS!L26</f>
        <v>13706</v>
      </c>
    </row>
    <row r="40" spans="1:11" ht="15" thickBot="1" x14ac:dyDescent="0.4"/>
    <row r="41" spans="1:11" ht="15" thickBot="1" x14ac:dyDescent="0.4">
      <c r="A41" t="s">
        <v>147</v>
      </c>
      <c r="B41" s="111" t="s">
        <v>296</v>
      </c>
      <c r="C41" s="59"/>
      <c r="D41" s="59"/>
      <c r="E41" s="59"/>
      <c r="F41" s="59"/>
      <c r="G41" s="113">
        <f>G39/G38</f>
        <v>0.28386007237635708</v>
      </c>
      <c r="H41" s="113">
        <f t="shared" ref="H41:K41" si="5">H39/H38</f>
        <v>0.30221375641710607</v>
      </c>
      <c r="I41" s="113">
        <f t="shared" si="5"/>
        <v>0.33863166910171799</v>
      </c>
      <c r="J41" s="113">
        <f t="shared" si="5"/>
        <v>0.34577203991358912</v>
      </c>
      <c r="K41" s="113">
        <f t="shared" si="5"/>
        <v>0.32634110335960381</v>
      </c>
    </row>
    <row r="42" spans="1:11" ht="15" thickTop="1" x14ac:dyDescent="0.35"/>
    <row r="44" spans="1:11" x14ac:dyDescent="0.35">
      <c r="B44" s="47" t="s">
        <v>297</v>
      </c>
      <c r="C44" s="47"/>
      <c r="D44" s="47"/>
      <c r="E44" s="47"/>
      <c r="F44" s="47"/>
      <c r="G44" s="48">
        <f>'Raw FS'!K3</f>
        <v>44621</v>
      </c>
      <c r="H44" s="48">
        <f>'Raw FS'!L3</f>
        <v>44986</v>
      </c>
      <c r="I44" s="48">
        <f>'Raw FS'!M3</f>
        <v>45352</v>
      </c>
      <c r="J44" s="48">
        <f>'Raw FS'!N3</f>
        <v>45717</v>
      </c>
      <c r="K44" s="48">
        <f>'Raw FS'!O3</f>
        <v>46082</v>
      </c>
    </row>
    <row r="45" spans="1:11" ht="15" thickBot="1" x14ac:dyDescent="0.4"/>
    <row r="46" spans="1:11" ht="15" thickBot="1" x14ac:dyDescent="0.4">
      <c r="B46" s="49" t="s">
        <v>298</v>
      </c>
      <c r="C46" s="49"/>
      <c r="D46" s="49"/>
      <c r="E46" s="49"/>
      <c r="F46" s="49"/>
      <c r="G46" s="51">
        <f>-SUM('Raw FS'!K62:K63)</f>
        <v>1053</v>
      </c>
      <c r="H46" s="51">
        <f>-SUM('Raw FS'!L62:L63)</f>
        <v>1011</v>
      </c>
      <c r="I46" s="51">
        <f>-SUM('Raw FS'!M62:M63)</f>
        <v>1457</v>
      </c>
      <c r="J46" s="51">
        <f>-SUM('Raw FS'!N62:N63)</f>
        <v>1262</v>
      </c>
      <c r="K46" s="51">
        <f>-SUM('Raw FS'!O62:O63)</f>
        <v>1332</v>
      </c>
    </row>
    <row r="47" spans="1:11" ht="15" thickBot="1" x14ac:dyDescent="0.4">
      <c r="B47" s="49" t="s">
        <v>304</v>
      </c>
      <c r="C47" s="49"/>
      <c r="D47" s="49"/>
      <c r="E47" s="49"/>
      <c r="F47" s="49"/>
      <c r="G47" s="51"/>
      <c r="H47" s="51">
        <f>H22-G22</f>
        <v>394</v>
      </c>
      <c r="I47" s="51">
        <f t="shared" ref="I47:K47" si="6">I22-H22</f>
        <v>-4417</v>
      </c>
      <c r="J47" s="51">
        <f t="shared" si="6"/>
        <v>-1405</v>
      </c>
      <c r="K47" s="51">
        <f t="shared" si="6"/>
        <v>22</v>
      </c>
    </row>
    <row r="48" spans="1:11" ht="15" thickBot="1" x14ac:dyDescent="0.4">
      <c r="B48" s="49"/>
      <c r="C48" s="49"/>
      <c r="D48" s="49"/>
      <c r="E48" s="49"/>
      <c r="F48" s="49"/>
      <c r="G48" s="49"/>
      <c r="H48" s="49"/>
      <c r="I48" s="49"/>
      <c r="J48" s="49"/>
      <c r="K48" s="49"/>
    </row>
    <row r="49" spans="2:11" ht="15" thickBot="1" x14ac:dyDescent="0.4">
      <c r="B49" s="49" t="s">
        <v>295</v>
      </c>
      <c r="C49" s="49"/>
      <c r="D49" s="49"/>
      <c r="E49" s="49"/>
      <c r="F49" s="49"/>
      <c r="G49" s="51">
        <f>G39</f>
        <v>11766</v>
      </c>
      <c r="H49" s="51">
        <f t="shared" ref="H49:K49" si="7">H39</f>
        <v>13010</v>
      </c>
      <c r="I49" s="51">
        <f t="shared" si="7"/>
        <v>13443</v>
      </c>
      <c r="J49" s="51">
        <f t="shared" si="7"/>
        <v>13445</v>
      </c>
      <c r="K49" s="51">
        <f t="shared" si="7"/>
        <v>13706</v>
      </c>
    </row>
    <row r="50" spans="2:11" ht="15" thickBot="1" x14ac:dyDescent="0.4">
      <c r="B50" s="49" t="s">
        <v>305</v>
      </c>
      <c r="C50" s="49"/>
      <c r="D50" s="49"/>
      <c r="E50" s="49"/>
      <c r="F50" s="49"/>
      <c r="G50" s="117">
        <v>0.25</v>
      </c>
      <c r="H50" s="117">
        <v>0.25</v>
      </c>
      <c r="I50" s="117">
        <v>0.25</v>
      </c>
      <c r="J50" s="117">
        <v>0.25</v>
      </c>
      <c r="K50" s="117">
        <v>0.25</v>
      </c>
    </row>
    <row r="51" spans="2:11" ht="15" thickBot="1" x14ac:dyDescent="0.4">
      <c r="B51" s="49" t="s">
        <v>307</v>
      </c>
      <c r="C51" s="49"/>
      <c r="D51" s="49"/>
      <c r="E51" s="49"/>
      <c r="F51" s="49"/>
      <c r="G51" s="51">
        <f>G49*(1-G50)</f>
        <v>8824.5</v>
      </c>
      <c r="H51" s="51">
        <f t="shared" ref="H51:K51" si="8">H49*(1-H50)</f>
        <v>9757.5</v>
      </c>
      <c r="I51" s="51">
        <f t="shared" si="8"/>
        <v>10082.25</v>
      </c>
      <c r="J51" s="51">
        <f t="shared" si="8"/>
        <v>10083.75</v>
      </c>
      <c r="K51" s="51">
        <f t="shared" si="8"/>
        <v>10279.5</v>
      </c>
    </row>
    <row r="52" spans="2:11" ht="15" thickBot="1" x14ac:dyDescent="0.4">
      <c r="B52" s="49"/>
      <c r="C52" s="49"/>
      <c r="D52" s="49"/>
      <c r="E52" s="49"/>
      <c r="F52" s="49"/>
      <c r="G52" s="49"/>
      <c r="H52" s="49"/>
      <c r="I52" s="49"/>
      <c r="J52" s="49"/>
      <c r="K52" s="49"/>
    </row>
    <row r="53" spans="2:11" ht="13.5" customHeight="1" thickBot="1" x14ac:dyDescent="0.4">
      <c r="B53" s="49" t="s">
        <v>306</v>
      </c>
      <c r="C53" s="49"/>
      <c r="D53" s="49"/>
      <c r="E53" s="49"/>
      <c r="F53" s="49"/>
      <c r="G53" s="49"/>
      <c r="H53" s="51">
        <f>SUM(H46:H47)</f>
        <v>1405</v>
      </c>
      <c r="I53" s="51">
        <f t="shared" ref="I53:K53" si="9">SUM(I46:I47)</f>
        <v>-2960</v>
      </c>
      <c r="J53" s="51">
        <f t="shared" si="9"/>
        <v>-143</v>
      </c>
      <c r="K53" s="51">
        <f t="shared" si="9"/>
        <v>1354</v>
      </c>
    </row>
    <row r="54" spans="2:11" ht="15" thickBot="1" x14ac:dyDescent="0.4">
      <c r="B54" s="111" t="s">
        <v>308</v>
      </c>
      <c r="C54" s="111"/>
      <c r="D54" s="111"/>
      <c r="E54" s="111"/>
      <c r="F54" s="111"/>
      <c r="G54" s="111"/>
      <c r="H54" s="118">
        <f>H53/H51</f>
        <v>0.14399180117858057</v>
      </c>
      <c r="I54" s="118">
        <f>I53/I51</f>
        <v>-0.29358526122641276</v>
      </c>
      <c r="J54" s="118">
        <f>J53/J51</f>
        <v>-1.4181232180488409E-2</v>
      </c>
      <c r="K54" s="118">
        <f>K53/K51</f>
        <v>0.13171846879712049</v>
      </c>
    </row>
    <row r="55" spans="2:11" ht="15" thickTop="1" x14ac:dyDescent="0.35">
      <c r="H55" s="8"/>
      <c r="I55" s="8"/>
      <c r="J55" s="8"/>
      <c r="K55" s="8"/>
    </row>
    <row r="56" spans="2:11" x14ac:dyDescent="0.35">
      <c r="J56" s="184" t="s">
        <v>309</v>
      </c>
      <c r="K56" s="185">
        <f>AVERAGE(H54:K54)</f>
        <v>-8.0140558578000315E-3</v>
      </c>
    </row>
    <row r="57" spans="2:11" x14ac:dyDescent="0.35">
      <c r="J57" s="184" t="s">
        <v>310</v>
      </c>
      <c r="K57" s="185">
        <f>MEDIAN(H54:K54)</f>
        <v>5.8768618308316041E-2</v>
      </c>
    </row>
    <row r="60" spans="2:11" x14ac:dyDescent="0.35">
      <c r="B60" s="47" t="s">
        <v>311</v>
      </c>
      <c r="C60" s="47"/>
      <c r="D60" s="47"/>
      <c r="E60" s="47"/>
      <c r="F60" s="47"/>
      <c r="G60" s="48">
        <f>'Raw FS'!K3</f>
        <v>44621</v>
      </c>
      <c r="H60" s="48">
        <f>'Raw FS'!L3</f>
        <v>44986</v>
      </c>
      <c r="I60" s="48">
        <f>'Raw FS'!M3</f>
        <v>45352</v>
      </c>
      <c r="J60" s="48">
        <f>'Raw FS'!N3</f>
        <v>45717</v>
      </c>
      <c r="K60" s="48">
        <f>'Raw FS'!O3</f>
        <v>46082</v>
      </c>
    </row>
    <row r="61" spans="2:11" ht="15" thickBot="1" x14ac:dyDescent="0.4"/>
    <row r="62" spans="2:11" ht="15" thickBot="1" x14ac:dyDescent="0.4">
      <c r="B62" s="49" t="s">
        <v>308</v>
      </c>
      <c r="C62" s="49"/>
      <c r="D62" s="49"/>
      <c r="E62" s="49"/>
      <c r="F62" s="49"/>
      <c r="G62" s="49"/>
      <c r="H62" s="119">
        <f>H54</f>
        <v>0.14399180117858057</v>
      </c>
      <c r="I62" s="119">
        <f t="shared" ref="I62:J62" si="10">I54</f>
        <v>-0.29358526122641276</v>
      </c>
      <c r="J62" s="119">
        <f t="shared" si="10"/>
        <v>-1.4181232180488409E-2</v>
      </c>
      <c r="K62" s="119">
        <f>K54</f>
        <v>0.13171846879712049</v>
      </c>
    </row>
    <row r="63" spans="2:11" ht="15" thickBot="1" x14ac:dyDescent="0.4">
      <c r="B63" s="120" t="s">
        <v>296</v>
      </c>
      <c r="C63" s="120"/>
      <c r="D63" s="120"/>
      <c r="E63" s="120"/>
      <c r="F63" s="120"/>
      <c r="G63" s="120"/>
      <c r="H63" s="121">
        <f>H41</f>
        <v>0.30221375641710607</v>
      </c>
      <c r="I63" s="121">
        <f t="shared" ref="I63:K63" si="11">I41</f>
        <v>0.33863166910171799</v>
      </c>
      <c r="J63" s="121">
        <f t="shared" si="11"/>
        <v>0.34577203991358912</v>
      </c>
      <c r="K63" s="121">
        <f t="shared" si="11"/>
        <v>0.32634110335960381</v>
      </c>
    </row>
    <row r="64" spans="2:11" ht="15" thickBot="1" x14ac:dyDescent="0.4">
      <c r="B64" s="122" t="s">
        <v>312</v>
      </c>
      <c r="C64" s="122"/>
      <c r="D64" s="122"/>
      <c r="E64" s="122"/>
      <c r="F64" s="122"/>
      <c r="G64" s="122"/>
      <c r="H64" s="123">
        <f>H62*H63</f>
        <v>4.3516303127443916E-2</v>
      </c>
      <c r="I64" s="123">
        <f t="shared" ref="I64:J64" si="12">I62*I63</f>
        <v>-9.9417267032764045E-2</v>
      </c>
      <c r="J64" s="123">
        <f t="shared" si="12"/>
        <v>-4.903473579535713E-3</v>
      </c>
      <c r="K64" s="123">
        <f>K62*K63</f>
        <v>4.2985150440089846E-2</v>
      </c>
    </row>
    <row r="65" spans="2:11" ht="15" thickTop="1" x14ac:dyDescent="0.35"/>
    <row r="66" spans="2:11" x14ac:dyDescent="0.35">
      <c r="J66" s="184" t="s">
        <v>309</v>
      </c>
      <c r="K66" s="185">
        <f>AVERAGE(H64:K64)</f>
        <v>-4.4548217611914982E-3</v>
      </c>
    </row>
    <row r="67" spans="2:11" x14ac:dyDescent="0.35">
      <c r="J67" s="184" t="s">
        <v>310</v>
      </c>
      <c r="K67" s="185">
        <f>MEDIAN(H64:K64)</f>
        <v>1.9040838430277065E-2</v>
      </c>
    </row>
    <row r="68" spans="2:11" ht="15" thickBot="1" x14ac:dyDescent="0.4">
      <c r="B68" s="198"/>
      <c r="C68" s="198"/>
      <c r="D68" s="198"/>
      <c r="E68" s="198"/>
      <c r="F68" s="198"/>
      <c r="G68" s="198"/>
      <c r="H68" s="198"/>
      <c r="I68" s="198"/>
      <c r="J68" s="198"/>
      <c r="K68" s="198"/>
    </row>
  </sheetData>
  <pageMargins left="0.7" right="0.7" top="0.75" bottom="0.75" header="0.3" footer="0.3"/>
  <pageSetup scale="6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8E4F-0077-4626-8615-F919B881C87C}">
  <sheetPr>
    <pageSetUpPr fitToPage="1"/>
  </sheetPr>
  <dimension ref="B1:K48"/>
  <sheetViews>
    <sheetView showGridLines="0" zoomScale="66" workbookViewId="0">
      <selection activeCell="Q20" sqref="Q20"/>
    </sheetView>
  </sheetViews>
  <sheetFormatPr defaultRowHeight="14.5" outlineLevelRow="1" x14ac:dyDescent="0.35"/>
  <cols>
    <col min="1" max="1" width="1.81640625" customWidth="1"/>
    <col min="2" max="2" width="25.54296875" bestFit="1" customWidth="1"/>
    <col min="4" max="4" width="20" bestFit="1" customWidth="1"/>
    <col min="6" max="6" width="9.26953125" bestFit="1" customWidth="1"/>
    <col min="7" max="10" width="12.90625" bestFit="1" customWidth="1"/>
    <col min="11" max="11" width="8.26953125" bestFit="1" customWidth="1"/>
  </cols>
  <sheetData>
    <row r="1" spans="2:11" x14ac:dyDescent="0.35">
      <c r="B1" s="47"/>
      <c r="C1" s="47"/>
      <c r="D1" s="47"/>
      <c r="E1" s="47"/>
      <c r="F1" s="47"/>
      <c r="G1" s="47"/>
      <c r="H1" s="47"/>
      <c r="I1" s="47"/>
      <c r="J1" s="47"/>
      <c r="K1" s="5"/>
    </row>
    <row r="2" spans="2:11" ht="26" x14ac:dyDescent="0.6">
      <c r="B2" s="186" t="s">
        <v>289</v>
      </c>
    </row>
    <row r="3" spans="2:11" ht="18.5" x14ac:dyDescent="0.45">
      <c r="B3" s="188" t="s">
        <v>388</v>
      </c>
    </row>
    <row r="4" spans="2:11" ht="21" x14ac:dyDescent="0.5">
      <c r="B4" s="187" t="s">
        <v>389</v>
      </c>
    </row>
    <row r="5" spans="2:11" ht="18.5" x14ac:dyDescent="0.45">
      <c r="B5" s="188" t="s">
        <v>390</v>
      </c>
    </row>
    <row r="7" spans="2:11" x14ac:dyDescent="0.35">
      <c r="B7" s="250" t="s">
        <v>313</v>
      </c>
      <c r="C7" s="250"/>
      <c r="D7" s="250"/>
      <c r="E7" s="124">
        <f>'Intrinsic Growth'!K7</f>
        <v>46082</v>
      </c>
      <c r="F7" s="125">
        <f>E7+366</f>
        <v>46448</v>
      </c>
      <c r="G7" s="125">
        <f t="shared" ref="G7:J7" si="0">F7+366</f>
        <v>46814</v>
      </c>
      <c r="H7" s="125">
        <f t="shared" si="0"/>
        <v>47180</v>
      </c>
      <c r="I7" s="125">
        <f t="shared" si="0"/>
        <v>47546</v>
      </c>
      <c r="J7" s="125">
        <f t="shared" si="0"/>
        <v>47912</v>
      </c>
    </row>
    <row r="8" spans="2:11" ht="15" thickBot="1" x14ac:dyDescent="0.4"/>
    <row r="9" spans="2:11" ht="15" thickBot="1" x14ac:dyDescent="0.4">
      <c r="B9" s="49" t="s">
        <v>295</v>
      </c>
      <c r="C9" s="49"/>
      <c r="D9" s="49"/>
      <c r="E9" s="132">
        <f>'Data Sheet'!K34-'Data Sheet'!K26</f>
        <v>18610</v>
      </c>
      <c r="F9" s="51">
        <f>E9*(1+$E$19)</f>
        <v>18964.350003187457</v>
      </c>
      <c r="G9" s="51">
        <f>F9*(1+$E$19)</f>
        <v>19325.447127533374</v>
      </c>
      <c r="H9" s="51">
        <f>G9*(1+$E$19)</f>
        <v>19693.419843881602</v>
      </c>
      <c r="I9" s="51">
        <f>H9*(1+$E$19)</f>
        <v>20068.399069268566</v>
      </c>
      <c r="J9" s="51">
        <f t="shared" ref="J9" si="1">I9*(1+$E$19)</f>
        <v>20450.518213500833</v>
      </c>
    </row>
    <row r="10" spans="2:11" ht="15" thickBot="1" x14ac:dyDescent="0.4">
      <c r="B10" s="49" t="s">
        <v>61</v>
      </c>
      <c r="C10" s="49"/>
      <c r="D10" s="49"/>
      <c r="E10" s="133">
        <v>0.25</v>
      </c>
      <c r="F10" s="130">
        <v>0.25</v>
      </c>
      <c r="G10" s="130">
        <v>0.25</v>
      </c>
      <c r="H10" s="130">
        <v>0.25</v>
      </c>
      <c r="I10" s="130">
        <v>0.25</v>
      </c>
      <c r="J10" s="130">
        <v>0.25</v>
      </c>
    </row>
    <row r="11" spans="2:11" ht="15" thickBot="1" x14ac:dyDescent="0.4">
      <c r="B11" s="49" t="s">
        <v>307</v>
      </c>
      <c r="C11" s="49"/>
      <c r="D11" s="49"/>
      <c r="E11" s="132">
        <f>E9*(1-E10)</f>
        <v>13957.5</v>
      </c>
      <c r="F11" s="51">
        <f>E11*(1+$E$19)</f>
        <v>14223.262502390593</v>
      </c>
      <c r="G11" s="51">
        <f>F11*(1+$E$19)</f>
        <v>14494.085345650032</v>
      </c>
      <c r="H11" s="51">
        <f>G11*(1+$E$19)</f>
        <v>14770.064882911201</v>
      </c>
      <c r="I11" s="51">
        <f>H11*(1+$E$19)</f>
        <v>15051.299301951423</v>
      </c>
      <c r="J11" s="51">
        <f t="shared" ref="J11" si="2">I11*(1+$E$19)</f>
        <v>15337.888660125624</v>
      </c>
    </row>
    <row r="12" spans="2:11" ht="15" thickBot="1" x14ac:dyDescent="0.4">
      <c r="B12" s="49" t="s">
        <v>314</v>
      </c>
      <c r="C12" s="49"/>
      <c r="D12" s="49"/>
      <c r="E12" s="134">
        <f>'Intrinsic Growth'!K57</f>
        <v>5.8768618308316041E-2</v>
      </c>
      <c r="F12" s="131">
        <f>E12+(($J$12-E12)/4)</f>
        <v>9.3901463731237034E-2</v>
      </c>
      <c r="G12" s="131">
        <f>F12+(($J$12-F12)/4)</f>
        <v>0.12025109779842777</v>
      </c>
      <c r="H12" s="131">
        <f>G12+(($J$12-G12)/4)</f>
        <v>0.14001332334882083</v>
      </c>
      <c r="I12" s="131">
        <f>H12+(($J$12-H12)/4)</f>
        <v>0.15483499251161562</v>
      </c>
      <c r="J12" s="117">
        <v>0.1993</v>
      </c>
    </row>
    <row r="13" spans="2:11" ht="15" thickBot="1" x14ac:dyDescent="0.4">
      <c r="B13" s="49" t="s">
        <v>315</v>
      </c>
      <c r="C13" s="49"/>
      <c r="D13" s="49"/>
      <c r="E13" s="132">
        <f>E11*(1-E12)</f>
        <v>13137.237009961678</v>
      </c>
      <c r="F13" s="51">
        <f>E13*(1+$E$19)</f>
        <v>13387.381017288615</v>
      </c>
      <c r="G13" s="51">
        <f t="shared" ref="G13:J13" si="3">F13*(1+$E$19)</f>
        <v>13642.287976243368</v>
      </c>
      <c r="H13" s="51">
        <f t="shared" si="3"/>
        <v>13902.048577418331</v>
      </c>
      <c r="I13" s="51">
        <f t="shared" si="3"/>
        <v>14166.755238230817</v>
      </c>
      <c r="J13" s="51">
        <f t="shared" si="3"/>
        <v>14436.502135803252</v>
      </c>
    </row>
    <row r="14" spans="2:11" ht="15" thickBot="1" x14ac:dyDescent="0.4">
      <c r="B14" s="49" t="s">
        <v>316</v>
      </c>
      <c r="C14" s="49"/>
      <c r="D14" s="49"/>
      <c r="E14" s="135"/>
      <c r="F14" s="49">
        <v>0.5</v>
      </c>
      <c r="G14" s="49">
        <f>1+F14</f>
        <v>1.5</v>
      </c>
      <c r="H14" s="49">
        <f t="shared" ref="H14:J14" si="4">1+G14</f>
        <v>2.5</v>
      </c>
      <c r="I14" s="49">
        <f t="shared" si="4"/>
        <v>3.5</v>
      </c>
      <c r="J14" s="49">
        <f t="shared" si="4"/>
        <v>4.5</v>
      </c>
    </row>
    <row r="15" spans="2:11" ht="15" thickBot="1" x14ac:dyDescent="0.4">
      <c r="B15" s="49" t="s">
        <v>317</v>
      </c>
      <c r="C15" s="49"/>
      <c r="D15" s="49"/>
      <c r="E15" s="135"/>
      <c r="F15" s="138">
        <f>1/(1+$E$21)^F14</f>
        <v>0.94655787854480955</v>
      </c>
      <c r="G15" s="138">
        <f t="shared" ref="G15:J15" si="5">1/(1+$E$21)^G14</f>
        <v>0.84808918274744793</v>
      </c>
      <c r="H15" s="138">
        <f t="shared" si="5"/>
        <v>0.75986400641340723</v>
      </c>
      <c r="I15" s="138">
        <f t="shared" si="5"/>
        <v>0.68081673482985128</v>
      </c>
      <c r="J15" s="138">
        <f t="shared" si="5"/>
        <v>0.60999260724583471</v>
      </c>
    </row>
    <row r="16" spans="2:11" ht="15" thickBot="1" x14ac:dyDescent="0.4">
      <c r="E16" s="136"/>
    </row>
    <row r="17" spans="2:11" ht="15" thickBot="1" x14ac:dyDescent="0.4">
      <c r="B17" s="59" t="s">
        <v>318</v>
      </c>
      <c r="C17" s="59"/>
      <c r="D17" s="59"/>
      <c r="E17" s="137"/>
      <c r="F17" s="139">
        <f>F13*F15</f>
        <v>12671.930974995767</v>
      </c>
      <c r="G17" s="139">
        <f t="shared" ref="G17:J17" si="6">G13*G15</f>
        <v>11569.876860577573</v>
      </c>
      <c r="H17" s="139">
        <f t="shared" si="6"/>
        <v>10563.666329390901</v>
      </c>
      <c r="I17" s="139">
        <f t="shared" si="6"/>
        <v>9644.9640444259967</v>
      </c>
      <c r="J17" s="139">
        <f t="shared" si="6"/>
        <v>8806.1595773286863</v>
      </c>
    </row>
    <row r="18" spans="2:11" ht="15" thickTop="1" x14ac:dyDescent="0.35"/>
    <row r="19" spans="2:11" outlineLevel="1" x14ac:dyDescent="0.35">
      <c r="B19" s="127" t="s">
        <v>319</v>
      </c>
      <c r="C19" s="127"/>
      <c r="D19" s="127"/>
      <c r="E19" s="128">
        <f>'Intrinsic Growth'!K67</f>
        <v>1.9040838430277065E-2</v>
      </c>
    </row>
    <row r="20" spans="2:11" outlineLevel="1" x14ac:dyDescent="0.35">
      <c r="B20" s="127" t="s">
        <v>320</v>
      </c>
      <c r="C20" s="127"/>
      <c r="D20" s="127"/>
      <c r="E20" s="128">
        <v>0.06</v>
      </c>
    </row>
    <row r="21" spans="2:11" outlineLevel="1" x14ac:dyDescent="0.35">
      <c r="B21" s="127" t="s">
        <v>102</v>
      </c>
      <c r="C21" s="127"/>
      <c r="D21" s="127"/>
      <c r="E21" s="129">
        <f>WACC!H48</f>
        <v>0.11610653431324856</v>
      </c>
    </row>
    <row r="22" spans="2:11" x14ac:dyDescent="0.35">
      <c r="B22" s="44"/>
      <c r="C22" s="44"/>
      <c r="D22" s="44"/>
      <c r="E22" s="170"/>
    </row>
    <row r="23" spans="2:11" x14ac:dyDescent="0.35">
      <c r="B23" s="44"/>
      <c r="C23" s="44"/>
      <c r="D23" s="44"/>
      <c r="E23" s="170"/>
      <c r="G23" t="s">
        <v>56</v>
      </c>
    </row>
    <row r="25" spans="2:11" x14ac:dyDescent="0.35">
      <c r="B25" s="250" t="s">
        <v>321</v>
      </c>
      <c r="C25" s="250"/>
      <c r="D25" s="250"/>
      <c r="F25" s="250" t="s">
        <v>378</v>
      </c>
      <c r="G25" s="250"/>
      <c r="H25" s="250"/>
      <c r="I25" s="250"/>
      <c r="J25" s="250"/>
    </row>
    <row r="26" spans="2:11" ht="15" thickBot="1" x14ac:dyDescent="0.4">
      <c r="B26" s="165"/>
      <c r="C26" s="165"/>
      <c r="D26" s="165"/>
      <c r="F26" s="169">
        <f>D43</f>
        <v>921.49307981912284</v>
      </c>
      <c r="G26" s="168">
        <v>0.1</v>
      </c>
      <c r="H26" s="168">
        <v>0.11609999999999999</v>
      </c>
      <c r="I26" s="168">
        <v>0.12</v>
      </c>
      <c r="J26" s="168">
        <v>0.13</v>
      </c>
      <c r="K26" s="1"/>
    </row>
    <row r="27" spans="2:11" x14ac:dyDescent="0.35">
      <c r="B27" s="44" t="s">
        <v>322</v>
      </c>
      <c r="D27" s="54">
        <f>J13*(1+E19)</f>
        <v>14711.385240469432</v>
      </c>
      <c r="F27" s="167">
        <v>0.04</v>
      </c>
      <c r="G27" s="171">
        <f t="dataTable" ref="G27:J31" dt2D="1" dtr="1" r1="D28" r2="D29"/>
        <v>877.30658968953685</v>
      </c>
      <c r="H27" s="172">
        <v>742.5941143063427</v>
      </c>
      <c r="I27" s="172">
        <v>718.11995340597991</v>
      </c>
      <c r="J27" s="173">
        <v>665.05774131146086</v>
      </c>
    </row>
    <row r="28" spans="2:11" x14ac:dyDescent="0.35">
      <c r="B28" t="s">
        <v>102</v>
      </c>
      <c r="D28" s="1">
        <f>E21</f>
        <v>0.11610653431324856</v>
      </c>
      <c r="F28" s="166">
        <v>5.5E-2</v>
      </c>
      <c r="G28" s="174">
        <v>1089.5554380676126</v>
      </c>
      <c r="H28" s="175">
        <v>865.84306760037737</v>
      </c>
      <c r="I28" s="175">
        <v>828.32608621767304</v>
      </c>
      <c r="J28" s="176">
        <v>749.95728066269112</v>
      </c>
    </row>
    <row r="29" spans="2:11" x14ac:dyDescent="0.35">
      <c r="B29" t="s">
        <v>323</v>
      </c>
      <c r="D29" s="1">
        <f>E20</f>
        <v>0.06</v>
      </c>
      <c r="F29" s="166">
        <v>0.06</v>
      </c>
      <c r="G29" s="174">
        <v>1195.6798622566505</v>
      </c>
      <c r="H29" s="175">
        <v>921.57239229245101</v>
      </c>
      <c r="I29" s="175">
        <v>877.30658968953685</v>
      </c>
      <c r="J29" s="176">
        <v>786.34279752750422</v>
      </c>
    </row>
    <row r="30" spans="2:11" ht="15" thickBot="1" x14ac:dyDescent="0.4">
      <c r="F30" s="166">
        <v>7.8E-2</v>
      </c>
      <c r="G30" s="174">
        <v>1977.1415312850211</v>
      </c>
      <c r="H30" s="177">
        <v>1243.3105093336208</v>
      </c>
      <c r="I30" s="175">
        <v>1150.1979661756345</v>
      </c>
      <c r="J30" s="176">
        <v>975.26759663326413</v>
      </c>
    </row>
    <row r="31" spans="2:11" ht="15" thickBot="1" x14ac:dyDescent="0.4">
      <c r="B31" s="111" t="s">
        <v>324</v>
      </c>
      <c r="C31" s="111"/>
      <c r="D31" s="112">
        <f>D27/(D28-D29)</f>
        <v>262204.49044908478</v>
      </c>
      <c r="F31" s="166">
        <v>0.09</v>
      </c>
      <c r="G31" s="178">
        <v>4061.0393153606728</v>
      </c>
      <c r="H31" s="179">
        <v>1704.345205783419</v>
      </c>
      <c r="I31" s="180">
        <v>1514.0531348237648</v>
      </c>
      <c r="J31" s="181">
        <v>1195.6798622566505</v>
      </c>
    </row>
    <row r="32" spans="2:11" ht="15" thickTop="1" x14ac:dyDescent="0.35"/>
    <row r="34" spans="2:10" x14ac:dyDescent="0.35">
      <c r="B34" s="250" t="s">
        <v>325</v>
      </c>
      <c r="C34" s="250"/>
      <c r="D34" s="250"/>
    </row>
    <row r="35" spans="2:10" x14ac:dyDescent="0.35">
      <c r="B35" s="44" t="s">
        <v>322</v>
      </c>
      <c r="D35" s="54">
        <f>SUM(F17:J17)</f>
        <v>53256.597786718921</v>
      </c>
    </row>
    <row r="36" spans="2:10" x14ac:dyDescent="0.35">
      <c r="B36" t="s">
        <v>326</v>
      </c>
      <c r="D36" s="54">
        <f>D31*J15</f>
        <v>159942.80076060278</v>
      </c>
    </row>
    <row r="37" spans="2:10" x14ac:dyDescent="0.35">
      <c r="B37" s="3" t="s">
        <v>327</v>
      </c>
      <c r="C37" s="3"/>
      <c r="D37" s="55">
        <f>SUM(D35:D36)</f>
        <v>213199.3985473217</v>
      </c>
      <c r="F37" s="3"/>
    </row>
    <row r="38" spans="2:10" x14ac:dyDescent="0.35">
      <c r="B38" s="3"/>
      <c r="C38" s="3"/>
      <c r="D38" s="55"/>
    </row>
    <row r="39" spans="2:10" x14ac:dyDescent="0.35">
      <c r="B39" t="s">
        <v>328</v>
      </c>
      <c r="C39" s="3"/>
      <c r="D39" s="54">
        <f>'Data Sheet'!K69</f>
        <v>3248</v>
      </c>
    </row>
    <row r="40" spans="2:10" x14ac:dyDescent="0.35">
      <c r="B40" t="s">
        <v>329</v>
      </c>
      <c r="D40" s="54">
        <f>SUM('Raw FS'!O8:O9)</f>
        <v>0</v>
      </c>
    </row>
    <row r="41" spans="2:10" x14ac:dyDescent="0.35">
      <c r="B41" s="3" t="s">
        <v>330</v>
      </c>
      <c r="D41" s="55">
        <f>D37+D39-D40</f>
        <v>216447.3985473217</v>
      </c>
    </row>
    <row r="42" spans="2:10" ht="15" thickBot="1" x14ac:dyDescent="0.4">
      <c r="B42" t="s">
        <v>331</v>
      </c>
      <c r="D42" s="54">
        <f>'Data Sheet'!B6</f>
        <v>234.88770918367345</v>
      </c>
    </row>
    <row r="43" spans="2:10" ht="15" thickBot="1" x14ac:dyDescent="0.4">
      <c r="B43" s="111" t="s">
        <v>332</v>
      </c>
      <c r="C43" s="111"/>
      <c r="D43" s="112">
        <f>D41/D42</f>
        <v>921.49307981912284</v>
      </c>
    </row>
    <row r="44" spans="2:10" ht="15" thickTop="1" x14ac:dyDescent="0.35"/>
    <row r="45" spans="2:10" x14ac:dyDescent="0.35">
      <c r="B45" t="s">
        <v>333</v>
      </c>
      <c r="D45" s="46">
        <v>1927</v>
      </c>
    </row>
    <row r="46" spans="2:10" x14ac:dyDescent="0.35">
      <c r="B46" s="182" t="s">
        <v>334</v>
      </c>
      <c r="C46" s="182"/>
      <c r="D46" s="183">
        <f>D45/D43</f>
        <v>2.0911714284151164</v>
      </c>
    </row>
    <row r="47" spans="2:10" x14ac:dyDescent="0.35">
      <c r="D47" s="126"/>
    </row>
    <row r="48" spans="2:10" ht="15" thickBot="1" x14ac:dyDescent="0.4">
      <c r="B48" s="198"/>
      <c r="C48" s="198"/>
      <c r="D48" s="198"/>
      <c r="E48" s="198"/>
      <c r="F48" s="198"/>
      <c r="G48" s="198"/>
      <c r="H48" s="198"/>
      <c r="I48" s="198"/>
      <c r="J48" s="198"/>
    </row>
  </sheetData>
  <mergeCells count="4">
    <mergeCell ref="B7:D7"/>
    <mergeCell ref="B25:D25"/>
    <mergeCell ref="B34:D34"/>
    <mergeCell ref="F25:J25"/>
  </mergeCells>
  <pageMargins left="0.7" right="0.7" top="0.75" bottom="0.75" header="0.3" footer="0.3"/>
  <pageSetup scale="67" orientation="portrait" r:id="rId1"/>
  <ignoredErrors>
    <ignoredError sqref="E12 G12:I12" formula="1"/>
    <ignoredError sqref="D40"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3FF8-5E9A-4CA1-BA4F-5D982213851A}">
  <sheetPr>
    <pageSetUpPr fitToPage="1"/>
  </sheetPr>
  <dimension ref="B1:Q42"/>
  <sheetViews>
    <sheetView showGridLines="0" tabSelected="1" topLeftCell="A11" zoomScale="72" workbookViewId="0">
      <selection activeCell="U29" sqref="U29"/>
    </sheetView>
  </sheetViews>
  <sheetFormatPr defaultRowHeight="14.5" x14ac:dyDescent="0.35"/>
  <cols>
    <col min="1" max="1" width="1.81640625" customWidth="1"/>
    <col min="2" max="2" width="28.7265625" bestFit="1" customWidth="1"/>
    <col min="3" max="3" width="12.90625" bestFit="1" customWidth="1"/>
    <col min="5" max="5" width="11.26953125" customWidth="1"/>
    <col min="6" max="6" width="9.36328125" customWidth="1"/>
    <col min="8" max="8" width="10.90625" customWidth="1"/>
    <col min="10" max="10" width="1.81640625" customWidth="1"/>
    <col min="13" max="13" width="10.453125" bestFit="1" customWidth="1"/>
    <col min="14" max="14" width="1.81640625" customWidth="1"/>
    <col min="15" max="16" width="17.453125" bestFit="1" customWidth="1"/>
    <col min="17" max="17" width="14.90625" bestFit="1" customWidth="1"/>
  </cols>
  <sheetData>
    <row r="1" spans="2:17" x14ac:dyDescent="0.35">
      <c r="B1" s="47"/>
      <c r="C1" s="47"/>
      <c r="D1" s="47"/>
      <c r="E1" s="47"/>
      <c r="F1" s="47"/>
      <c r="G1" s="47"/>
      <c r="H1" s="47"/>
      <c r="I1" s="47"/>
      <c r="J1" s="47"/>
      <c r="K1" s="47"/>
      <c r="L1" s="47"/>
      <c r="M1" s="47"/>
      <c r="N1" s="47"/>
      <c r="O1" s="47"/>
      <c r="P1" s="47"/>
      <c r="Q1" s="47"/>
    </row>
    <row r="2" spans="2:17" ht="26" x14ac:dyDescent="0.6">
      <c r="B2" s="186" t="s">
        <v>289</v>
      </c>
    </row>
    <row r="3" spans="2:17" ht="18.5" x14ac:dyDescent="0.45">
      <c r="B3" s="188" t="s">
        <v>388</v>
      </c>
    </row>
    <row r="4" spans="2:17" ht="21" x14ac:dyDescent="0.5">
      <c r="B4" s="187" t="s">
        <v>389</v>
      </c>
    </row>
    <row r="5" spans="2:17" ht="18.5" x14ac:dyDescent="0.45">
      <c r="B5" s="188" t="s">
        <v>390</v>
      </c>
    </row>
    <row r="7" spans="2:17" x14ac:dyDescent="0.35">
      <c r="B7" s="14" t="s">
        <v>377</v>
      </c>
    </row>
    <row r="8" spans="2:17" ht="15" thickBot="1" x14ac:dyDescent="0.4">
      <c r="B8" s="140" t="s">
        <v>335</v>
      </c>
      <c r="C8" s="141"/>
      <c r="D8" s="141"/>
      <c r="E8" s="141"/>
      <c r="F8" s="141"/>
      <c r="G8" s="141"/>
      <c r="H8" s="141"/>
      <c r="I8" s="199"/>
      <c r="J8" s="199"/>
      <c r="K8" s="199"/>
    </row>
    <row r="9" spans="2:17" ht="6" customHeight="1" x14ac:dyDescent="0.35">
      <c r="I9" s="15"/>
      <c r="J9" s="15"/>
      <c r="K9" s="15"/>
      <c r="L9" s="15"/>
      <c r="M9" s="15"/>
      <c r="N9" s="15"/>
      <c r="O9" s="15"/>
      <c r="P9" s="15"/>
      <c r="Q9" s="15"/>
    </row>
    <row r="10" spans="2:17" ht="15" thickBot="1" x14ac:dyDescent="0.4">
      <c r="B10" s="142"/>
      <c r="C10" s="142"/>
      <c r="D10" s="251" t="s">
        <v>342</v>
      </c>
      <c r="E10" s="251"/>
      <c r="F10" s="251"/>
      <c r="G10" s="251"/>
      <c r="H10" s="251"/>
      <c r="I10" s="143"/>
      <c r="J10" s="142"/>
      <c r="K10" s="251" t="s">
        <v>346</v>
      </c>
      <c r="L10" s="251"/>
      <c r="M10" s="251"/>
      <c r="N10" s="142"/>
      <c r="O10" s="251" t="s">
        <v>345</v>
      </c>
      <c r="P10" s="251"/>
      <c r="Q10" s="251"/>
    </row>
    <row r="11" spans="2:17" ht="29.5" thickTop="1" x14ac:dyDescent="0.35">
      <c r="B11" s="47" t="s">
        <v>336</v>
      </c>
      <c r="C11" s="97" t="s">
        <v>337</v>
      </c>
      <c r="D11" s="155" t="s">
        <v>333</v>
      </c>
      <c r="E11" s="155" t="s">
        <v>338</v>
      </c>
      <c r="F11" s="155" t="s">
        <v>339</v>
      </c>
      <c r="G11" s="155" t="s">
        <v>340</v>
      </c>
      <c r="H11" s="155" t="s">
        <v>341</v>
      </c>
      <c r="I11" s="156"/>
      <c r="J11" s="97"/>
      <c r="K11" s="97" t="s">
        <v>343</v>
      </c>
      <c r="L11" s="97" t="s">
        <v>185</v>
      </c>
      <c r="M11" s="97" t="s">
        <v>344</v>
      </c>
      <c r="N11" s="97"/>
      <c r="O11" s="97" t="s">
        <v>364</v>
      </c>
      <c r="P11" s="97" t="s">
        <v>365</v>
      </c>
      <c r="Q11" s="97" t="s">
        <v>366</v>
      </c>
    </row>
    <row r="12" spans="2:17" s="44" customFormat="1" ht="6" customHeight="1" x14ac:dyDescent="0.35">
      <c r="B12" s="5"/>
      <c r="C12" s="5"/>
      <c r="D12" s="145"/>
      <c r="E12" s="145"/>
      <c r="F12" s="145"/>
      <c r="G12" s="145"/>
      <c r="H12" s="145"/>
      <c r="J12" s="5"/>
      <c r="K12" s="5"/>
      <c r="L12" s="5"/>
      <c r="M12" s="5"/>
      <c r="N12" s="5"/>
      <c r="O12" s="5"/>
      <c r="P12" s="5"/>
      <c r="Q12" s="5"/>
    </row>
    <row r="13" spans="2:17" ht="15" thickBot="1" x14ac:dyDescent="0.4">
      <c r="B13" s="150" t="str">
        <f>Data!C3</f>
        <v>Hind. Unilever</v>
      </c>
      <c r="C13" s="150" t="s">
        <v>392</v>
      </c>
      <c r="D13" s="151">
        <f>Data!D3</f>
        <v>1927</v>
      </c>
      <c r="E13" s="152">
        <f>Data!E3</f>
        <v>234.96</v>
      </c>
      <c r="F13" s="151">
        <f>Data!F3</f>
        <v>452767.92000000004</v>
      </c>
      <c r="G13" s="151">
        <f>Data!I3</f>
        <v>-1770</v>
      </c>
      <c r="H13" s="151">
        <f>F13+G13</f>
        <v>450997.92000000004</v>
      </c>
      <c r="I13" s="151"/>
      <c r="J13" s="151"/>
      <c r="K13" s="151">
        <f>Data!K3</f>
        <v>66052</v>
      </c>
      <c r="L13" s="151">
        <f>Data!L3</f>
        <v>16084.091298145508</v>
      </c>
      <c r="M13" s="151">
        <f>Data!M3</f>
        <v>14971</v>
      </c>
      <c r="N13" s="150"/>
      <c r="O13" s="153">
        <f>$H13/K13</f>
        <v>6.8279222430812094</v>
      </c>
      <c r="P13" s="153">
        <f>$H13/L13</f>
        <v>28.04</v>
      </c>
      <c r="Q13" s="153">
        <f>F13/M13</f>
        <v>30.242997795738429</v>
      </c>
    </row>
    <row r="14" spans="2:17" ht="15" thickBot="1" x14ac:dyDescent="0.4">
      <c r="B14" s="146" t="str">
        <f>Data!C4</f>
        <v>ITC</v>
      </c>
      <c r="C14" s="146" t="s">
        <v>54</v>
      </c>
      <c r="D14" s="147">
        <f>Data!D4</f>
        <v>259.85000000000002</v>
      </c>
      <c r="E14" s="148">
        <f>Data!E4</f>
        <v>1252.98</v>
      </c>
      <c r="F14" s="147">
        <f>Data!F4</f>
        <v>325586.85300000006</v>
      </c>
      <c r="G14" s="147">
        <f>Data!I4</f>
        <v>-609.73</v>
      </c>
      <c r="H14" s="147">
        <f t="shared" ref="H14:H22" si="0">F14+G14</f>
        <v>324977.12300000008</v>
      </c>
      <c r="I14" s="147"/>
      <c r="J14" s="147"/>
      <c r="K14" s="147">
        <f>Data!K4</f>
        <v>76487.98</v>
      </c>
      <c r="L14" s="147">
        <f>Data!L4</f>
        <v>28481.781156879937</v>
      </c>
      <c r="M14" s="147">
        <f>Data!M4</f>
        <v>20183.53</v>
      </c>
      <c r="N14" s="146"/>
      <c r="O14" s="149">
        <f t="shared" ref="O14:O22" si="1">$H14/K14</f>
        <v>4.2487345462646564</v>
      </c>
      <c r="P14" s="149">
        <f t="shared" ref="P14:P22" si="2">$H14/L14</f>
        <v>11.41</v>
      </c>
      <c r="Q14" s="149">
        <f t="shared" ref="Q14:Q22" si="3">F14/M14</f>
        <v>16.131313650288135</v>
      </c>
    </row>
    <row r="15" spans="2:17" ht="15" thickBot="1" x14ac:dyDescent="0.4">
      <c r="B15" s="146" t="str">
        <f>Data!C5</f>
        <v>Nestle India</v>
      </c>
      <c r="C15" s="146" t="s">
        <v>393</v>
      </c>
      <c r="D15" s="147">
        <f>Data!D5</f>
        <v>1383.3</v>
      </c>
      <c r="E15" s="148">
        <f>Data!E5</f>
        <v>192.83</v>
      </c>
      <c r="F15" s="147">
        <f>Data!F5</f>
        <v>266741.739</v>
      </c>
      <c r="G15" s="147">
        <f>Data!I5</f>
        <v>-896.70999999999981</v>
      </c>
      <c r="H15" s="147">
        <f t="shared" si="0"/>
        <v>265845.02899999998</v>
      </c>
      <c r="I15" s="147"/>
      <c r="J15" s="147"/>
      <c r="K15" s="147">
        <f>Data!K5</f>
        <v>24436.62</v>
      </c>
      <c r="L15" s="147">
        <f>Data!L5</f>
        <v>5803.209539401877</v>
      </c>
      <c r="M15" s="147">
        <f>Data!M5</f>
        <v>3860.49</v>
      </c>
      <c r="N15" s="146"/>
      <c r="O15" s="149">
        <f t="shared" si="1"/>
        <v>10.878960715516303</v>
      </c>
      <c r="P15" s="149">
        <f t="shared" si="2"/>
        <v>45.81</v>
      </c>
      <c r="Q15" s="149">
        <f t="shared" si="3"/>
        <v>69.095306295314842</v>
      </c>
    </row>
    <row r="16" spans="2:17" ht="15" thickBot="1" x14ac:dyDescent="0.4">
      <c r="B16" s="146" t="str">
        <f>Data!C6</f>
        <v>Varun Beverages</v>
      </c>
      <c r="C16" s="146" t="s">
        <v>394</v>
      </c>
      <c r="D16" s="147">
        <f>Data!D6</f>
        <v>416.5</v>
      </c>
      <c r="E16" s="148">
        <f>Data!E6</f>
        <v>338.25</v>
      </c>
      <c r="F16" s="147">
        <f>Data!F6</f>
        <v>140881.125</v>
      </c>
      <c r="G16" s="147">
        <f>Data!I6</f>
        <v>509.68999999999983</v>
      </c>
      <c r="H16" s="147">
        <f t="shared" si="0"/>
        <v>141390.815</v>
      </c>
      <c r="I16" s="147"/>
      <c r="J16" s="147"/>
      <c r="K16" s="147">
        <f>Data!K6</f>
        <v>24126.49</v>
      </c>
      <c r="L16" s="147">
        <f>Data!L6</f>
        <v>6042.3425213675218</v>
      </c>
      <c r="M16" s="147">
        <f>Data!M6</f>
        <v>3409.28</v>
      </c>
      <c r="N16" s="146"/>
      <c r="O16" s="149">
        <f t="shared" si="1"/>
        <v>5.8603972231352337</v>
      </c>
      <c r="P16" s="149">
        <f t="shared" si="2"/>
        <v>23.4</v>
      </c>
      <c r="Q16" s="149">
        <f t="shared" si="3"/>
        <v>41.322837959921152</v>
      </c>
    </row>
    <row r="17" spans="2:17" ht="15" thickBot="1" x14ac:dyDescent="0.4">
      <c r="B17" s="146" t="str">
        <f>Data!C7</f>
        <v>Britannia Inds.</v>
      </c>
      <c r="C17" s="146" t="s">
        <v>395</v>
      </c>
      <c r="D17" s="147">
        <f>Data!D7</f>
        <v>4962</v>
      </c>
      <c r="E17" s="148">
        <f>Data!E7</f>
        <v>24.09</v>
      </c>
      <c r="F17" s="147">
        <f>Data!F7</f>
        <v>119534.58</v>
      </c>
      <c r="G17" s="147">
        <f>Data!I7</f>
        <v>1027.8399999999999</v>
      </c>
      <c r="H17" s="147">
        <f t="shared" si="0"/>
        <v>120562.42</v>
      </c>
      <c r="I17" s="147"/>
      <c r="J17" s="147"/>
      <c r="K17" s="147">
        <f>Data!K7</f>
        <v>19529.34</v>
      </c>
      <c r="L17" s="147">
        <f>Data!L7</f>
        <v>3829.8100381194408</v>
      </c>
      <c r="M17" s="147">
        <f>Data!M7</f>
        <v>2610.2600000000002</v>
      </c>
      <c r="N17" s="146"/>
      <c r="O17" s="149">
        <f>$H17/K17</f>
        <v>6.173399613094964</v>
      </c>
      <c r="P17" s="149">
        <f t="shared" si="2"/>
        <v>31.48</v>
      </c>
      <c r="Q17" s="149">
        <f t="shared" si="3"/>
        <v>45.794127788036441</v>
      </c>
    </row>
    <row r="18" spans="2:17" ht="15" thickBot="1" x14ac:dyDescent="0.4">
      <c r="B18" s="146" t="str">
        <f>Data!C8</f>
        <v>Marico</v>
      </c>
      <c r="C18" s="146" t="s">
        <v>396</v>
      </c>
      <c r="D18" s="147">
        <f>Data!D8</f>
        <v>802.1</v>
      </c>
      <c r="E18" s="148">
        <f>Data!E8</f>
        <v>130.02000000000001</v>
      </c>
      <c r="F18" s="147">
        <f>Data!F8</f>
        <v>104289.04200000002</v>
      </c>
      <c r="G18" s="147">
        <f>Data!I8</f>
        <v>64</v>
      </c>
      <c r="H18" s="147">
        <f t="shared" si="0"/>
        <v>104353.04200000002</v>
      </c>
      <c r="I18" s="147"/>
      <c r="J18" s="147"/>
      <c r="K18" s="147">
        <f>Data!K8</f>
        <v>14277</v>
      </c>
      <c r="L18" s="147">
        <f>Data!L8</f>
        <v>2688.1257599175688</v>
      </c>
      <c r="M18" s="147">
        <f>Data!M8</f>
        <v>1952</v>
      </c>
      <c r="N18" s="146"/>
      <c r="O18" s="149">
        <f t="shared" si="1"/>
        <v>7.3091715346361292</v>
      </c>
      <c r="P18" s="149">
        <f t="shared" si="2"/>
        <v>38.82</v>
      </c>
      <c r="Q18" s="149">
        <f t="shared" si="3"/>
        <v>53.426763319672141</v>
      </c>
    </row>
    <row r="19" spans="2:17" ht="15" thickBot="1" x14ac:dyDescent="0.4">
      <c r="B19" s="146" t="str">
        <f>Data!C9</f>
        <v>United Spirits</v>
      </c>
      <c r="C19" s="146" t="s">
        <v>397</v>
      </c>
      <c r="D19" s="147">
        <f>Data!D9</f>
        <v>1395</v>
      </c>
      <c r="E19" s="148">
        <f>Data!E9</f>
        <v>72.739999999999995</v>
      </c>
      <c r="F19" s="147">
        <f>Data!F9</f>
        <v>101472.29999999999</v>
      </c>
      <c r="G19" s="147">
        <f>Data!I9</f>
        <v>-1564</v>
      </c>
      <c r="H19" s="147">
        <f t="shared" si="0"/>
        <v>99908.299999999988</v>
      </c>
      <c r="I19" s="147"/>
      <c r="J19" s="147"/>
      <c r="K19" s="147">
        <f>Data!K9</f>
        <v>12626</v>
      </c>
      <c r="L19" s="147">
        <f>Data!L9</f>
        <v>2789.1764377442764</v>
      </c>
      <c r="M19" s="147">
        <f>Data!M9</f>
        <v>1884</v>
      </c>
      <c r="N19" s="146"/>
      <c r="O19" s="149">
        <f t="shared" si="1"/>
        <v>7.912901948360525</v>
      </c>
      <c r="P19" s="149">
        <f t="shared" si="2"/>
        <v>35.82</v>
      </c>
      <c r="Q19" s="149">
        <f>F19/M19</f>
        <v>53.860031847133754</v>
      </c>
    </row>
    <row r="20" spans="2:17" ht="15" thickBot="1" x14ac:dyDescent="0.4">
      <c r="B20" s="146" t="str">
        <f>Data!C10</f>
        <v>Tata Consumer</v>
      </c>
      <c r="C20" s="146" t="s">
        <v>398</v>
      </c>
      <c r="D20" s="147">
        <f>Data!D10</f>
        <v>991</v>
      </c>
      <c r="E20" s="148">
        <f>Data!E10</f>
        <v>98.97</v>
      </c>
      <c r="F20" s="147">
        <f>Data!F10</f>
        <v>98079.27</v>
      </c>
      <c r="G20" s="147">
        <f>Data!I10</f>
        <v>-600.97999999999956</v>
      </c>
      <c r="H20" s="147">
        <f t="shared" si="0"/>
        <v>97478.290000000008</v>
      </c>
      <c r="I20" s="147"/>
      <c r="J20" s="147"/>
      <c r="K20" s="147">
        <f>Data!K10</f>
        <v>20860.400000000001</v>
      </c>
      <c r="L20" s="147">
        <f>Data!L10</f>
        <v>3104.4041401273885</v>
      </c>
      <c r="M20" s="147">
        <f>Data!M10</f>
        <v>1642.24</v>
      </c>
      <c r="N20" s="146"/>
      <c r="O20" s="149">
        <f t="shared" si="1"/>
        <v>4.6728869053325921</v>
      </c>
      <c r="P20" s="149">
        <f t="shared" si="2"/>
        <v>31.400000000000002</v>
      </c>
      <c r="Q20" s="149">
        <f t="shared" si="3"/>
        <v>59.722860239672642</v>
      </c>
    </row>
    <row r="21" spans="2:17" ht="15" thickBot="1" x14ac:dyDescent="0.4">
      <c r="B21" s="146" t="str">
        <f>Data!C11</f>
        <v>Godrej Consumer</v>
      </c>
      <c r="C21" s="146" t="s">
        <v>399</v>
      </c>
      <c r="D21" s="147">
        <f>Data!D11</f>
        <v>865</v>
      </c>
      <c r="E21" s="148">
        <f>Data!E11</f>
        <v>102.33</v>
      </c>
      <c r="F21" s="147">
        <f>Data!F11</f>
        <v>88515.45</v>
      </c>
      <c r="G21" s="147">
        <f>Data!I11</f>
        <v>3415.1100000000006</v>
      </c>
      <c r="H21" s="147">
        <f t="shared" si="0"/>
        <v>91930.559999999998</v>
      </c>
      <c r="I21" s="147"/>
      <c r="J21" s="147"/>
      <c r="K21" s="147">
        <f>Data!K11</f>
        <v>15948.95</v>
      </c>
      <c r="L21" s="147">
        <f>Data!L11</f>
        <v>3496.7881323697225</v>
      </c>
      <c r="M21" s="147">
        <f>Data!M11</f>
        <v>1913.54</v>
      </c>
      <c r="N21" s="146"/>
      <c r="O21" s="149">
        <f t="shared" si="1"/>
        <v>5.7640509249825218</v>
      </c>
      <c r="P21" s="149">
        <f t="shared" si="2"/>
        <v>26.29</v>
      </c>
      <c r="Q21" s="149">
        <f t="shared" si="3"/>
        <v>46.257433866028407</v>
      </c>
    </row>
    <row r="22" spans="2:17" ht="15" thickBot="1" x14ac:dyDescent="0.4">
      <c r="B22" s="146" t="str">
        <f>Data!C12</f>
        <v>Dabur India</v>
      </c>
      <c r="C22" s="146" t="s">
        <v>400</v>
      </c>
      <c r="D22" s="147">
        <f>Data!D12</f>
        <v>376</v>
      </c>
      <c r="E22" s="148">
        <f>Data!E12</f>
        <v>177.4</v>
      </c>
      <c r="F22" s="147">
        <f>Data!F12</f>
        <v>66702.400000000009</v>
      </c>
      <c r="G22" s="147">
        <f>Data!I12</f>
        <v>725.24999999999989</v>
      </c>
      <c r="H22" s="147">
        <f t="shared" si="0"/>
        <v>67427.650000000009</v>
      </c>
      <c r="I22" s="147"/>
      <c r="J22" s="147"/>
      <c r="K22" s="147">
        <f>Data!K12</f>
        <v>13552.38</v>
      </c>
      <c r="L22" s="147">
        <f>Data!L12</f>
        <v>3152.2978027115478</v>
      </c>
      <c r="M22" s="147">
        <f>Data!M12</f>
        <v>1946.56</v>
      </c>
      <c r="N22" s="146"/>
      <c r="O22" s="149">
        <f t="shared" si="1"/>
        <v>4.9753364353715002</v>
      </c>
      <c r="P22" s="149">
        <f t="shared" si="2"/>
        <v>21.39</v>
      </c>
      <c r="Q22" s="149">
        <f t="shared" si="3"/>
        <v>34.266809140226869</v>
      </c>
    </row>
    <row r="24" spans="2:17" ht="15" thickBot="1" x14ac:dyDescent="0.4"/>
    <row r="25" spans="2:17" ht="15" thickBot="1" x14ac:dyDescent="0.4">
      <c r="B25" s="157" t="s">
        <v>367</v>
      </c>
      <c r="C25" s="157"/>
      <c r="D25" s="157"/>
      <c r="E25" s="157"/>
      <c r="F25" s="157"/>
      <c r="G25" s="157"/>
      <c r="H25" s="157"/>
      <c r="I25" s="157"/>
      <c r="J25" s="157"/>
      <c r="K25" s="157"/>
      <c r="L25" s="157"/>
      <c r="M25" s="157"/>
      <c r="N25" s="157"/>
      <c r="O25" s="158">
        <f>MAX(O13:O22)</f>
        <v>10.878960715516303</v>
      </c>
      <c r="P25" s="158">
        <f t="shared" ref="P25:Q25" si="4">MAX(P13:P22)</f>
        <v>45.81</v>
      </c>
      <c r="Q25" s="158">
        <f t="shared" si="4"/>
        <v>69.095306295314842</v>
      </c>
    </row>
    <row r="26" spans="2:17" ht="15" thickBot="1" x14ac:dyDescent="0.4">
      <c r="B26" s="157" t="s">
        <v>368</v>
      </c>
      <c r="C26" s="157"/>
      <c r="D26" s="157"/>
      <c r="E26" s="157"/>
      <c r="F26" s="157"/>
      <c r="G26" s="157"/>
      <c r="H26" s="157"/>
      <c r="I26" s="157"/>
      <c r="J26" s="157"/>
      <c r="K26" s="157"/>
      <c r="L26" s="157"/>
      <c r="M26" s="157"/>
      <c r="N26" s="157"/>
      <c r="O26" s="158">
        <f>QUARTILE(O13:O22,3)</f>
        <v>7.1888592117473991</v>
      </c>
      <c r="P26" s="158">
        <f t="shared" ref="P26:Q26" si="5">QUARTILE(P13:P22,3)</f>
        <v>34.734999999999999</v>
      </c>
      <c r="Q26" s="158">
        <f t="shared" si="5"/>
        <v>53.751714715268349</v>
      </c>
    </row>
    <row r="27" spans="2:17" ht="15" thickBot="1" x14ac:dyDescent="0.4">
      <c r="B27" s="159" t="s">
        <v>57</v>
      </c>
      <c r="C27" s="159"/>
      <c r="D27" s="159"/>
      <c r="E27" s="159"/>
      <c r="F27" s="159"/>
      <c r="G27" s="159"/>
      <c r="H27" s="159"/>
      <c r="I27" s="159"/>
      <c r="J27" s="159"/>
      <c r="K27" s="159"/>
      <c r="L27" s="159"/>
      <c r="M27" s="159"/>
      <c r="N27" s="159"/>
      <c r="O27" s="160">
        <f>AVERAGE(O13:O22)</f>
        <v>6.4623762089775623</v>
      </c>
      <c r="P27" s="160">
        <f t="shared" ref="P27:Q27" si="6">AVERAGE(P13:P22)</f>
        <v>29.385999999999996</v>
      </c>
      <c r="Q27" s="160">
        <f t="shared" si="6"/>
        <v>45.012048190203281</v>
      </c>
    </row>
    <row r="28" spans="2:17" ht="15" thickBot="1" x14ac:dyDescent="0.4">
      <c r="B28" s="159" t="s">
        <v>58</v>
      </c>
      <c r="C28" s="159"/>
      <c r="D28" s="159"/>
      <c r="E28" s="159"/>
      <c r="F28" s="159"/>
      <c r="G28" s="159"/>
      <c r="H28" s="159"/>
      <c r="I28" s="159"/>
      <c r="J28" s="159"/>
      <c r="K28" s="159"/>
      <c r="L28" s="159"/>
      <c r="M28" s="159"/>
      <c r="N28" s="159"/>
      <c r="O28" s="160">
        <f>MEDIAN(O13:O22)</f>
        <v>6.0168984181150993</v>
      </c>
      <c r="P28" s="160">
        <f t="shared" ref="P28:Q28" si="7">MEDIAN(P13:P22)</f>
        <v>29.72</v>
      </c>
      <c r="Q28" s="160">
        <f t="shared" si="7"/>
        <v>46.02578082703242</v>
      </c>
    </row>
    <row r="29" spans="2:17" ht="15" thickBot="1" x14ac:dyDescent="0.4">
      <c r="B29" s="157" t="s">
        <v>369</v>
      </c>
      <c r="C29" s="157"/>
      <c r="D29" s="157"/>
      <c r="E29" s="157"/>
      <c r="F29" s="157"/>
      <c r="G29" s="157"/>
      <c r="H29" s="157"/>
      <c r="I29" s="157"/>
      <c r="J29" s="157"/>
      <c r="K29" s="157"/>
      <c r="L29" s="157"/>
      <c r="M29" s="157"/>
      <c r="N29" s="157"/>
      <c r="O29" s="158">
        <f>QUARTILE(O13:O22,1)</f>
        <v>5.1725150577742554</v>
      </c>
      <c r="P29" s="158">
        <f t="shared" ref="P29:Q29" si="8">QUARTILE(P13:P22,1)</f>
        <v>24.122499999999999</v>
      </c>
      <c r="Q29" s="158">
        <f t="shared" si="8"/>
        <v>36.030816345150441</v>
      </c>
    </row>
    <row r="30" spans="2:17" ht="15" thickBot="1" x14ac:dyDescent="0.4">
      <c r="B30" s="157" t="s">
        <v>370</v>
      </c>
      <c r="C30" s="157"/>
      <c r="D30" s="157"/>
      <c r="E30" s="157"/>
      <c r="F30" s="157"/>
      <c r="G30" s="157"/>
      <c r="H30" s="157"/>
      <c r="I30" s="157"/>
      <c r="J30" s="157"/>
      <c r="K30" s="157"/>
      <c r="L30" s="157"/>
      <c r="M30" s="157"/>
      <c r="N30" s="157"/>
      <c r="O30" s="158">
        <f>MIN(O13:O22)</f>
        <v>4.2487345462646564</v>
      </c>
      <c r="P30" s="158">
        <f t="shared" ref="P30:Q30" si="9">MIN(P13:P22)</f>
        <v>11.41</v>
      </c>
      <c r="Q30" s="158">
        <f t="shared" si="9"/>
        <v>16.131313650288135</v>
      </c>
    </row>
    <row r="32" spans="2:17" x14ac:dyDescent="0.35">
      <c r="B32" s="47" t="s">
        <v>371</v>
      </c>
      <c r="C32" s="47"/>
      <c r="D32" s="47"/>
      <c r="E32" s="47"/>
      <c r="F32" s="47"/>
      <c r="G32" s="47"/>
      <c r="H32" s="47"/>
      <c r="I32" s="47"/>
      <c r="J32" s="47"/>
      <c r="K32" s="47"/>
      <c r="L32" s="47"/>
      <c r="M32" s="47"/>
      <c r="N32" s="47"/>
      <c r="O32" s="97" t="s">
        <v>364</v>
      </c>
      <c r="P32" s="97" t="s">
        <v>365</v>
      </c>
      <c r="Q32" s="97" t="s">
        <v>366</v>
      </c>
    </row>
    <row r="33" spans="2:17" ht="6" customHeight="1" thickBot="1" x14ac:dyDescent="0.4"/>
    <row r="34" spans="2:17" ht="15" thickBot="1" x14ac:dyDescent="0.4">
      <c r="B34" s="146" t="s">
        <v>372</v>
      </c>
      <c r="C34" s="146"/>
      <c r="D34" s="146"/>
      <c r="E34" s="146"/>
      <c r="F34" s="146"/>
      <c r="G34" s="146"/>
      <c r="H34" s="146"/>
      <c r="I34" s="146"/>
      <c r="J34" s="146"/>
      <c r="K34" s="146"/>
      <c r="L34" s="146"/>
      <c r="M34" s="146"/>
      <c r="N34" s="146"/>
      <c r="O34" s="147">
        <f>O$28*K13</f>
        <v>397428.17431333853</v>
      </c>
      <c r="P34" s="147">
        <f t="shared" ref="P34" si="10">P$28*L13</f>
        <v>478019.19338088448</v>
      </c>
      <c r="Q34" s="147">
        <f>Q36+Q35</f>
        <v>687281.96476150234</v>
      </c>
    </row>
    <row r="35" spans="2:17" ht="15" thickBot="1" x14ac:dyDescent="0.4">
      <c r="B35" s="146" t="s">
        <v>373</v>
      </c>
      <c r="C35" s="146"/>
      <c r="D35" s="146"/>
      <c r="E35" s="146"/>
      <c r="F35" s="146"/>
      <c r="G35" s="146"/>
      <c r="H35" s="146"/>
      <c r="I35" s="146"/>
      <c r="J35" s="146"/>
      <c r="K35" s="146"/>
      <c r="L35" s="146"/>
      <c r="M35" s="146"/>
      <c r="N35" s="146"/>
      <c r="O35" s="147">
        <f>$G$13</f>
        <v>-1770</v>
      </c>
      <c r="P35" s="147">
        <f t="shared" ref="P35:Q35" si="11">$G$13</f>
        <v>-1770</v>
      </c>
      <c r="Q35" s="147">
        <f t="shared" si="11"/>
        <v>-1770</v>
      </c>
    </row>
    <row r="36" spans="2:17" ht="15" thickBot="1" x14ac:dyDescent="0.4">
      <c r="B36" s="146" t="s">
        <v>374</v>
      </c>
      <c r="C36" s="146"/>
      <c r="D36" s="146"/>
      <c r="E36" s="146"/>
      <c r="F36" s="146"/>
      <c r="G36" s="146"/>
      <c r="H36" s="146"/>
      <c r="I36" s="146"/>
      <c r="J36" s="146"/>
      <c r="K36" s="146"/>
      <c r="L36" s="146"/>
      <c r="M36" s="146"/>
      <c r="N36" s="146"/>
      <c r="O36" s="147">
        <f>O34-O35</f>
        <v>399198.17431333853</v>
      </c>
      <c r="P36" s="147">
        <f t="shared" ref="P36" si="12">P34-P35</f>
        <v>479789.19338088448</v>
      </c>
      <c r="Q36" s="147">
        <f>Q28*M13</f>
        <v>689051.96476150234</v>
      </c>
    </row>
    <row r="37" spans="2:17" ht="15" thickBot="1" x14ac:dyDescent="0.4">
      <c r="B37" s="146" t="s">
        <v>338</v>
      </c>
      <c r="C37" s="146"/>
      <c r="D37" s="146"/>
      <c r="E37" s="146"/>
      <c r="F37" s="146"/>
      <c r="G37" s="146"/>
      <c r="H37" s="146"/>
      <c r="I37" s="146"/>
      <c r="J37" s="146"/>
      <c r="K37" s="146"/>
      <c r="L37" s="146"/>
      <c r="M37" s="146"/>
      <c r="N37" s="146"/>
      <c r="O37" s="148">
        <f>$E$13</f>
        <v>234.96</v>
      </c>
      <c r="P37" s="148">
        <f t="shared" ref="P37:Q37" si="13">$E$13</f>
        <v>234.96</v>
      </c>
      <c r="Q37" s="148">
        <f t="shared" si="13"/>
        <v>234.96</v>
      </c>
    </row>
    <row r="38" spans="2:17" x14ac:dyDescent="0.35">
      <c r="B38" s="154" t="s">
        <v>375</v>
      </c>
      <c r="C38" s="154"/>
      <c r="D38" s="154"/>
      <c r="E38" s="154"/>
      <c r="F38" s="154"/>
      <c r="G38" s="154"/>
      <c r="H38" s="154"/>
      <c r="I38" s="154"/>
      <c r="J38" s="154"/>
      <c r="K38" s="154"/>
      <c r="L38" s="154"/>
      <c r="M38" s="154"/>
      <c r="N38" s="154"/>
      <c r="O38" s="161">
        <f>O36/O37</f>
        <v>1699.0048276870043</v>
      </c>
      <c r="P38" s="161">
        <f t="shared" ref="P38:Q38" si="14">P36/P37</f>
        <v>2042.0037171471079</v>
      </c>
      <c r="Q38" s="161">
        <f t="shared" si="14"/>
        <v>2932.6351922093222</v>
      </c>
    </row>
    <row r="39" spans="2:17" ht="6" customHeight="1" x14ac:dyDescent="0.35">
      <c r="B39" s="162"/>
      <c r="C39" s="162"/>
      <c r="D39" s="162"/>
      <c r="E39" s="162"/>
      <c r="F39" s="162"/>
      <c r="G39" s="162"/>
      <c r="H39" s="162"/>
      <c r="I39" s="162"/>
      <c r="J39" s="162"/>
      <c r="K39" s="162"/>
      <c r="L39" s="162"/>
      <c r="M39" s="162"/>
      <c r="N39" s="162"/>
      <c r="O39" s="163"/>
      <c r="P39" s="163"/>
      <c r="Q39" s="163"/>
    </row>
    <row r="40" spans="2:17" x14ac:dyDescent="0.35">
      <c r="B40" s="14" t="s">
        <v>376</v>
      </c>
    </row>
    <row r="41" spans="2:17" x14ac:dyDescent="0.35">
      <c r="O41" s="164" t="str">
        <f>IF(O38&gt;$D$13, "Undervalued", "Overvalued")</f>
        <v>Overvalued</v>
      </c>
      <c r="P41" s="164" t="str">
        <f t="shared" ref="P41:Q41" si="15">IF(P38&gt;$D$13, "Undervalued", "Overvalued")</f>
        <v>Undervalued</v>
      </c>
      <c r="Q41" s="164" t="str">
        <f t="shared" si="15"/>
        <v>Undervalued</v>
      </c>
    </row>
    <row r="42" spans="2:17" ht="15" thickBot="1" x14ac:dyDescent="0.4">
      <c r="B42" s="200"/>
      <c r="C42" s="200"/>
      <c r="D42" s="200"/>
      <c r="E42" s="200"/>
      <c r="F42" s="200"/>
      <c r="G42" s="200"/>
      <c r="H42" s="200"/>
      <c r="I42" s="200"/>
      <c r="J42" s="200"/>
      <c r="K42" s="200"/>
      <c r="L42" s="200"/>
      <c r="M42" s="200"/>
      <c r="N42" s="200"/>
      <c r="O42" s="200"/>
      <c r="P42" s="200"/>
      <c r="Q42" s="200"/>
    </row>
  </sheetData>
  <mergeCells count="3">
    <mergeCell ref="D10:H10"/>
    <mergeCell ref="K10:M10"/>
    <mergeCell ref="O10:Q10"/>
  </mergeCells>
  <pageMargins left="0.7" right="0.7" top="0.75" bottom="0.75" header="0.3" footer="0.3"/>
  <pageSetup scale="67"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2D29-F785-4476-8BF3-4B593B42DC43}">
  <dimension ref="B1:Q31"/>
  <sheetViews>
    <sheetView showGridLines="0" topLeftCell="A7" workbookViewId="0">
      <selection activeCell="K18" sqref="K18"/>
    </sheetView>
  </sheetViews>
  <sheetFormatPr defaultRowHeight="14.5" x14ac:dyDescent="0.35"/>
  <cols>
    <col min="1" max="1" width="1.81640625" customWidth="1"/>
    <col min="2" max="2" width="13.81640625" customWidth="1"/>
    <col min="4" max="4" width="6.36328125" bestFit="1" customWidth="1"/>
    <col min="5" max="5" width="9.08984375" bestFit="1" customWidth="1"/>
    <col min="6" max="6" width="6.36328125" bestFit="1" customWidth="1"/>
    <col min="9" max="9" width="5" customWidth="1"/>
    <col min="12" max="12" width="19.36328125" bestFit="1" customWidth="1"/>
    <col min="13" max="14" width="9.36328125" bestFit="1" customWidth="1"/>
    <col min="15" max="15" width="9.6328125" bestFit="1" customWidth="1"/>
    <col min="16" max="16" width="9.36328125" bestFit="1" customWidth="1"/>
  </cols>
  <sheetData>
    <row r="1" spans="2:17" x14ac:dyDescent="0.35">
      <c r="B1" s="47"/>
      <c r="C1" s="47"/>
      <c r="D1" s="47"/>
      <c r="E1" s="47"/>
      <c r="F1" s="47"/>
      <c r="G1" s="47"/>
      <c r="H1" s="47"/>
      <c r="I1" s="47"/>
      <c r="J1" s="5"/>
      <c r="K1" s="5"/>
      <c r="L1" s="5"/>
      <c r="M1" s="5"/>
      <c r="N1" s="5"/>
      <c r="O1" s="5"/>
      <c r="P1" s="5"/>
      <c r="Q1" s="5"/>
    </row>
    <row r="2" spans="2:17" ht="26" x14ac:dyDescent="0.6">
      <c r="B2" s="186" t="s">
        <v>289</v>
      </c>
    </row>
    <row r="3" spans="2:17" ht="18.5" x14ac:dyDescent="0.45">
      <c r="B3" s="188" t="s">
        <v>388</v>
      </c>
    </row>
    <row r="4" spans="2:17" ht="21" x14ac:dyDescent="0.5">
      <c r="B4" s="187" t="s">
        <v>389</v>
      </c>
    </row>
    <row r="5" spans="2:17" ht="18.5" x14ac:dyDescent="0.45">
      <c r="B5" s="188" t="s">
        <v>390</v>
      </c>
    </row>
    <row r="8" spans="2:17" x14ac:dyDescent="0.35">
      <c r="Q8" s="5"/>
    </row>
    <row r="24" spans="2:9" x14ac:dyDescent="0.35">
      <c r="B24" s="250" t="s">
        <v>379</v>
      </c>
      <c r="C24" s="250"/>
      <c r="D24" s="250"/>
      <c r="E24" s="250"/>
      <c r="F24" s="250"/>
    </row>
    <row r="25" spans="2:9" x14ac:dyDescent="0.35">
      <c r="C25" s="191" t="s">
        <v>385</v>
      </c>
      <c r="D25" s="191" t="s">
        <v>370</v>
      </c>
      <c r="E25" s="191" t="s">
        <v>386</v>
      </c>
      <c r="F25" s="191" t="s">
        <v>367</v>
      </c>
    </row>
    <row r="26" spans="2:9" x14ac:dyDescent="0.35">
      <c r="B26" s="3" t="s">
        <v>380</v>
      </c>
      <c r="C26" s="192">
        <v>1699.0048276870043</v>
      </c>
      <c r="D26" s="193">
        <v>1699.0048276870043</v>
      </c>
      <c r="E26" s="193">
        <v>2932.6351922093222</v>
      </c>
      <c r="F26" s="194">
        <v>2932.6351922093222</v>
      </c>
    </row>
    <row r="27" spans="2:9" x14ac:dyDescent="0.35">
      <c r="B27" s="3" t="s">
        <v>381</v>
      </c>
      <c r="C27" s="195">
        <v>665.05774131146086</v>
      </c>
      <c r="D27" s="196">
        <v>665.05774131146086</v>
      </c>
      <c r="E27" s="196">
        <v>1195.6798622566505</v>
      </c>
      <c r="F27" s="197">
        <v>1195.6798622566505</v>
      </c>
    </row>
    <row r="28" spans="2:9" x14ac:dyDescent="0.35">
      <c r="B28" s="3" t="s">
        <v>382</v>
      </c>
      <c r="C28" s="195">
        <v>742.5941143063427</v>
      </c>
      <c r="D28" s="196">
        <v>742.5941143063427</v>
      </c>
      <c r="E28" s="196">
        <v>1704.345205783419</v>
      </c>
      <c r="F28" s="197">
        <v>1704.345205783419</v>
      </c>
    </row>
    <row r="29" spans="2:9" x14ac:dyDescent="0.35">
      <c r="B29" s="3" t="s">
        <v>383</v>
      </c>
      <c r="C29" s="195">
        <v>877.30658968953685</v>
      </c>
      <c r="D29" s="196">
        <v>877.30658968953685</v>
      </c>
      <c r="E29" s="196">
        <v>4061.0393153606728</v>
      </c>
      <c r="F29" s="197">
        <v>4061.0393153606728</v>
      </c>
    </row>
    <row r="30" spans="2:9" x14ac:dyDescent="0.35">
      <c r="B30" s="201" t="s">
        <v>384</v>
      </c>
      <c r="C30" s="202">
        <v>1926.2</v>
      </c>
      <c r="D30" s="203">
        <v>1926.2</v>
      </c>
      <c r="E30" s="203">
        <v>2667.2</v>
      </c>
      <c r="F30" s="204">
        <v>2667.2</v>
      </c>
    </row>
    <row r="31" spans="2:9" ht="15" thickBot="1" x14ac:dyDescent="0.4">
      <c r="B31" s="198"/>
      <c r="C31" s="198"/>
      <c r="D31" s="198"/>
      <c r="E31" s="198"/>
      <c r="F31" s="198"/>
      <c r="G31" s="198"/>
      <c r="H31" s="198"/>
      <c r="I31" s="198"/>
    </row>
  </sheetData>
  <mergeCells count="1">
    <mergeCell ref="B24:F24"/>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8F574-C42E-4266-AA2B-D02E99063F0A}">
  <dimension ref="A1:N376"/>
  <sheetViews>
    <sheetView showGridLines="0" topLeftCell="A8" zoomScaleNormal="100" workbookViewId="0">
      <selection activeCell="N44" sqref="N44"/>
    </sheetView>
  </sheetViews>
  <sheetFormatPr defaultRowHeight="14.5" x14ac:dyDescent="0.35"/>
  <cols>
    <col min="1" max="1" width="1.81640625" customWidth="1"/>
    <col min="2" max="2" width="8.81640625" style="205" bestFit="1" customWidth="1"/>
    <col min="3" max="3" width="9.26953125" style="205" bestFit="1" customWidth="1"/>
    <col min="4" max="4" width="9.1796875" bestFit="1" customWidth="1"/>
    <col min="8" max="8" width="10.1796875" bestFit="1" customWidth="1"/>
    <col min="9" max="10" width="9.90625" bestFit="1" customWidth="1"/>
    <col min="11" max="11" width="8.90625" bestFit="1" customWidth="1"/>
  </cols>
  <sheetData>
    <row r="1" spans="1:11" x14ac:dyDescent="0.35">
      <c r="B1" s="47"/>
      <c r="C1" s="47"/>
      <c r="D1" s="47"/>
      <c r="E1" s="47"/>
      <c r="F1" s="47"/>
      <c r="G1" s="47"/>
      <c r="H1" s="47"/>
      <c r="I1" s="47"/>
      <c r="J1" s="47"/>
      <c r="K1" s="47"/>
    </row>
    <row r="2" spans="1:11" ht="26" x14ac:dyDescent="0.6">
      <c r="B2" s="186" t="s">
        <v>289</v>
      </c>
      <c r="C2"/>
    </row>
    <row r="3" spans="1:11" ht="18.5" x14ac:dyDescent="0.45">
      <c r="B3" s="188" t="s">
        <v>388</v>
      </c>
      <c r="C3"/>
    </row>
    <row r="4" spans="1:11" ht="21" x14ac:dyDescent="0.5">
      <c r="B4" s="187" t="s">
        <v>389</v>
      </c>
      <c r="C4"/>
    </row>
    <row r="5" spans="1:11" ht="18.5" x14ac:dyDescent="0.45">
      <c r="B5" s="188" t="s">
        <v>390</v>
      </c>
      <c r="C5"/>
    </row>
    <row r="8" spans="1:11" ht="29" x14ac:dyDescent="0.35">
      <c r="A8" t="s">
        <v>147</v>
      </c>
      <c r="B8" s="209" t="s">
        <v>0</v>
      </c>
      <c r="C8" s="209" t="s">
        <v>401</v>
      </c>
      <c r="D8" s="209" t="s">
        <v>402</v>
      </c>
      <c r="E8" s="209" t="s">
        <v>403</v>
      </c>
      <c r="F8" s="47"/>
      <c r="G8" s="47" t="s">
        <v>404</v>
      </c>
      <c r="H8" s="47"/>
      <c r="I8" s="47"/>
      <c r="J8" s="47"/>
      <c r="K8" s="47"/>
    </row>
    <row r="9" spans="1:11" ht="15" thickBot="1" x14ac:dyDescent="0.4">
      <c r="B9" s="206">
        <v>35582</v>
      </c>
      <c r="C9" s="207">
        <v>118.9</v>
      </c>
      <c r="D9" s="208">
        <f t="shared" ref="D9:D72" si="0">(C9-C10)/C10</f>
        <v>-0.75317611890724911</v>
      </c>
      <c r="E9" s="16">
        <v>0.29775158262388124</v>
      </c>
    </row>
    <row r="10" spans="1:11" ht="15" thickBot="1" x14ac:dyDescent="0.4">
      <c r="B10" s="206">
        <v>41365</v>
      </c>
      <c r="C10" s="207">
        <v>481.72</v>
      </c>
      <c r="D10" s="208">
        <f t="shared" si="0"/>
        <v>1.3955442836540852</v>
      </c>
      <c r="E10" s="16">
        <v>0.2502465611212043</v>
      </c>
      <c r="G10" s="49" t="s">
        <v>227</v>
      </c>
      <c r="H10" s="49"/>
      <c r="I10" s="49"/>
      <c r="J10" s="49"/>
      <c r="K10" s="119">
        <f>AVERAGE(E9:E376)</f>
        <v>1.2539886488536791E-2</v>
      </c>
    </row>
    <row r="11" spans="1:11" ht="15" thickBot="1" x14ac:dyDescent="0.4">
      <c r="B11" s="206">
        <v>38749</v>
      </c>
      <c r="C11" s="207">
        <v>201.09</v>
      </c>
      <c r="D11" s="208">
        <f t="shared" si="0"/>
        <v>7.5922953451043329E-2</v>
      </c>
      <c r="E11" s="16">
        <v>0.24815343554093469</v>
      </c>
      <c r="G11" s="49" t="s">
        <v>405</v>
      </c>
      <c r="H11" s="49"/>
      <c r="I11" s="49"/>
      <c r="J11" s="49"/>
      <c r="K11" s="119">
        <f>_xlfn.STDEV.S(E9:E376)</f>
        <v>7.4874623691898373E-2</v>
      </c>
    </row>
    <row r="12" spans="1:11" ht="15" thickBot="1" x14ac:dyDescent="0.4">
      <c r="B12" s="206">
        <v>36220</v>
      </c>
      <c r="C12" s="207">
        <v>186.9</v>
      </c>
      <c r="D12" s="208">
        <f t="shared" si="0"/>
        <v>-0.75711185330543607</v>
      </c>
      <c r="E12" s="16">
        <v>0.23602936313735862</v>
      </c>
      <c r="G12" s="49" t="s">
        <v>406</v>
      </c>
      <c r="H12" s="49"/>
      <c r="I12" s="49"/>
      <c r="J12" s="49"/>
      <c r="K12" s="119">
        <f>MIN(E9:E376)</f>
        <v>-0.19653806047966635</v>
      </c>
    </row>
    <row r="13" spans="1:11" ht="15" thickBot="1" x14ac:dyDescent="0.4">
      <c r="B13" s="206">
        <v>42005</v>
      </c>
      <c r="C13" s="207">
        <v>769.49</v>
      </c>
      <c r="D13" s="208">
        <f t="shared" si="0"/>
        <v>-0.68272901943645015</v>
      </c>
      <c r="E13" s="16">
        <v>0.2268849949775984</v>
      </c>
      <c r="G13" s="49" t="s">
        <v>407</v>
      </c>
      <c r="H13" s="49"/>
      <c r="I13" s="49"/>
      <c r="J13" s="49"/>
      <c r="K13" s="119">
        <f>MAX(E9:E376)</f>
        <v>0.29775158262388124</v>
      </c>
    </row>
    <row r="14" spans="1:11" ht="15" thickBot="1" x14ac:dyDescent="0.4">
      <c r="B14" s="206">
        <v>44743</v>
      </c>
      <c r="C14" s="207">
        <v>2425.34</v>
      </c>
      <c r="D14" s="208">
        <f t="shared" si="0"/>
        <v>25.669672311414121</v>
      </c>
      <c r="E14" s="16">
        <v>0.18237172455819628</v>
      </c>
      <c r="G14" s="49" t="s">
        <v>409</v>
      </c>
      <c r="H14" s="49"/>
      <c r="I14" s="49"/>
      <c r="J14" s="49"/>
      <c r="K14" s="210">
        <v>1927</v>
      </c>
    </row>
    <row r="15" spans="1:11" ht="15" thickBot="1" x14ac:dyDescent="0.4">
      <c r="B15" s="206">
        <v>35521</v>
      </c>
      <c r="C15" s="207">
        <v>90.94</v>
      </c>
      <c r="D15" s="208">
        <f t="shared" si="0"/>
        <v>-0.61521536769061524</v>
      </c>
      <c r="E15" s="16">
        <v>0.18011938749026726</v>
      </c>
    </row>
    <row r="16" spans="1:11" ht="15" thickBot="1" x14ac:dyDescent="0.4">
      <c r="B16" s="206">
        <v>36557</v>
      </c>
      <c r="C16" s="207">
        <v>236.34</v>
      </c>
      <c r="D16" s="208">
        <f t="shared" si="0"/>
        <v>-7.3212815183718236E-2</v>
      </c>
      <c r="E16" s="16">
        <v>0.17383530346677262</v>
      </c>
      <c r="G16" s="211" t="s">
        <v>408</v>
      </c>
      <c r="H16" s="211" t="s">
        <v>413</v>
      </c>
      <c r="I16" s="211" t="s">
        <v>411</v>
      </c>
      <c r="J16" s="211" t="s">
        <v>410</v>
      </c>
      <c r="K16" s="211" t="s">
        <v>412</v>
      </c>
    </row>
    <row r="17" spans="2:14" ht="15" thickBot="1" x14ac:dyDescent="0.4">
      <c r="B17" s="206">
        <v>40422</v>
      </c>
      <c r="C17" s="207">
        <v>255.01</v>
      </c>
      <c r="D17" s="208">
        <f t="shared" si="0"/>
        <v>-0.89667258243583836</v>
      </c>
      <c r="E17" s="16">
        <v>0.16843069873997704</v>
      </c>
      <c r="G17" s="212">
        <v>0.05</v>
      </c>
      <c r="H17" s="213">
        <f>100%-G17</f>
        <v>0.95</v>
      </c>
      <c r="I17" s="213">
        <f>_xlfn.PERCENTILE.INC($E$9:$E$376,G17)</f>
        <v>-9.989815589620242E-2</v>
      </c>
      <c r="J17" s="214">
        <f>$K$14*(1-I17)</f>
        <v>2119.5037464119819</v>
      </c>
      <c r="K17" s="214">
        <f>$K$14-J17</f>
        <v>-192.50374641198187</v>
      </c>
    </row>
    <row r="18" spans="2:14" ht="15" thickBot="1" x14ac:dyDescent="0.4">
      <c r="B18" s="206">
        <v>44409</v>
      </c>
      <c r="C18" s="207">
        <v>2467.98</v>
      </c>
      <c r="D18" s="208">
        <f t="shared" si="0"/>
        <v>14.402733570492417</v>
      </c>
      <c r="E18" s="16">
        <v>0.16748978201634873</v>
      </c>
      <c r="G18" s="131">
        <v>0.01</v>
      </c>
      <c r="H18" s="119">
        <f t="shared" ref="H18:H20" si="1">100%-G18</f>
        <v>0.99</v>
      </c>
      <c r="I18" s="119">
        <f t="shared" ref="I18:I20" si="2">_xlfn.PERCENTILE.INC($E$9:$E$376,G18)</f>
        <v>-0.14849960397127693</v>
      </c>
      <c r="J18" s="210">
        <f t="shared" ref="J18:J20" si="3">$K$14*(1-I18)</f>
        <v>2213.1587368526507</v>
      </c>
      <c r="K18" s="210">
        <f t="shared" ref="K18:K20" si="4">$K$14-J18</f>
        <v>-286.15873685265069</v>
      </c>
    </row>
    <row r="19" spans="2:14" ht="15" thickBot="1" x14ac:dyDescent="0.4">
      <c r="B19" s="206">
        <v>36161</v>
      </c>
      <c r="C19" s="207">
        <v>160.22999999999999</v>
      </c>
      <c r="D19" s="208">
        <f t="shared" si="0"/>
        <v>-5.3685329553508174E-2</v>
      </c>
      <c r="E19" s="16">
        <v>0.16615720524017455</v>
      </c>
      <c r="G19" s="131">
        <v>5.0000000000000001E-3</v>
      </c>
      <c r="H19" s="119">
        <f t="shared" si="1"/>
        <v>0.995</v>
      </c>
      <c r="I19" s="119">
        <f t="shared" si="2"/>
        <v>-0.15396889129582281</v>
      </c>
      <c r="J19" s="210">
        <f t="shared" si="3"/>
        <v>2223.6980535270504</v>
      </c>
      <c r="K19" s="210">
        <f t="shared" si="4"/>
        <v>-296.69805352705043</v>
      </c>
    </row>
    <row r="20" spans="2:14" ht="15" thickBot="1" x14ac:dyDescent="0.4">
      <c r="B20" s="206">
        <v>39142</v>
      </c>
      <c r="C20" s="207">
        <v>169.32</v>
      </c>
      <c r="D20" s="208">
        <f t="shared" si="0"/>
        <v>-0.23290898382639424</v>
      </c>
      <c r="E20" s="16">
        <v>0.16363136554188717</v>
      </c>
      <c r="G20" s="131">
        <v>0.1</v>
      </c>
      <c r="H20" s="119">
        <f t="shared" si="1"/>
        <v>0.9</v>
      </c>
      <c r="I20" s="119">
        <f t="shared" si="2"/>
        <v>-7.1616609282507945E-2</v>
      </c>
      <c r="J20" s="210">
        <f t="shared" si="3"/>
        <v>2065.0052060873927</v>
      </c>
      <c r="K20" s="210">
        <f t="shared" si="4"/>
        <v>-138.00520608739271</v>
      </c>
    </row>
    <row r="21" spans="2:14" x14ac:dyDescent="0.35">
      <c r="B21" s="206">
        <v>39965</v>
      </c>
      <c r="C21" s="207">
        <v>220.73</v>
      </c>
      <c r="D21" s="208">
        <f t="shared" si="0"/>
        <v>0.84989943010392222</v>
      </c>
      <c r="E21" s="16">
        <v>0.15905272001680315</v>
      </c>
    </row>
    <row r="22" spans="2:14" x14ac:dyDescent="0.35">
      <c r="B22" s="206">
        <v>38292</v>
      </c>
      <c r="C22" s="207">
        <v>119.32</v>
      </c>
      <c r="D22" s="208">
        <f t="shared" si="0"/>
        <v>-0.39661188369152972</v>
      </c>
      <c r="E22" s="16">
        <v>0.15867158671586704</v>
      </c>
    </row>
    <row r="23" spans="2:14" x14ac:dyDescent="0.35">
      <c r="B23" s="206">
        <v>39630</v>
      </c>
      <c r="C23" s="207">
        <v>197.75</v>
      </c>
      <c r="D23" s="208">
        <f t="shared" si="0"/>
        <v>0.17219917012448141</v>
      </c>
      <c r="E23" s="16">
        <v>0.15690633592698761</v>
      </c>
      <c r="N23" t="s">
        <v>56</v>
      </c>
    </row>
    <row r="24" spans="2:14" x14ac:dyDescent="0.35">
      <c r="B24" s="206">
        <v>37956</v>
      </c>
      <c r="C24" s="207">
        <v>168.7</v>
      </c>
      <c r="D24" s="208">
        <f t="shared" si="0"/>
        <v>-0.25112087716961878</v>
      </c>
      <c r="E24" s="16">
        <v>0.14699483274408467</v>
      </c>
    </row>
    <row r="25" spans="2:14" x14ac:dyDescent="0.35">
      <c r="B25" s="206">
        <v>36342</v>
      </c>
      <c r="C25" s="207">
        <v>225.27</v>
      </c>
      <c r="D25" s="208">
        <f t="shared" si="0"/>
        <v>0.66422872340425521</v>
      </c>
      <c r="E25" s="16">
        <v>0.14658726523133309</v>
      </c>
    </row>
    <row r="26" spans="2:14" x14ac:dyDescent="0.35">
      <c r="B26" s="206">
        <v>38504</v>
      </c>
      <c r="C26" s="207">
        <v>135.36000000000001</v>
      </c>
      <c r="D26" s="208">
        <f t="shared" si="0"/>
        <v>-0.3277043806496473</v>
      </c>
      <c r="E26" s="16">
        <v>0.14517766497461937</v>
      </c>
    </row>
    <row r="27" spans="2:14" x14ac:dyDescent="0.35">
      <c r="B27" s="206">
        <v>36526</v>
      </c>
      <c r="C27" s="207">
        <v>201.34</v>
      </c>
      <c r="D27" s="208">
        <f t="shared" si="0"/>
        <v>-0.777564187546953</v>
      </c>
      <c r="E27" s="16">
        <v>0.14203062960862162</v>
      </c>
    </row>
    <row r="28" spans="2:14" x14ac:dyDescent="0.35">
      <c r="B28" s="206">
        <v>42856</v>
      </c>
      <c r="C28" s="207">
        <v>905.16</v>
      </c>
      <c r="D28" s="208">
        <f t="shared" si="0"/>
        <v>-0.58612932429837317</v>
      </c>
      <c r="E28" s="16">
        <v>0.14123609955367272</v>
      </c>
    </row>
    <row r="29" spans="2:14" x14ac:dyDescent="0.35">
      <c r="B29" s="206">
        <v>44256</v>
      </c>
      <c r="C29" s="207">
        <v>2187.06</v>
      </c>
      <c r="D29" s="208">
        <f t="shared" si="0"/>
        <v>16.264445847805494</v>
      </c>
      <c r="E29" s="16">
        <v>0.14044803203804512</v>
      </c>
    </row>
    <row r="30" spans="2:14" x14ac:dyDescent="0.35">
      <c r="B30" s="206">
        <v>35827</v>
      </c>
      <c r="C30" s="207">
        <v>126.68</v>
      </c>
      <c r="D30" s="208">
        <f t="shared" si="0"/>
        <v>-9.7399358745992079E-2</v>
      </c>
      <c r="E30" s="16">
        <v>0.13900377629922683</v>
      </c>
    </row>
    <row r="31" spans="2:14" x14ac:dyDescent="0.35">
      <c r="B31" s="206">
        <v>35977</v>
      </c>
      <c r="C31" s="207">
        <v>140.35</v>
      </c>
      <c r="D31" s="208">
        <f t="shared" si="0"/>
        <v>-0.89203347846823711</v>
      </c>
      <c r="E31" s="16">
        <v>0.13423306933893647</v>
      </c>
    </row>
    <row r="32" spans="2:14" x14ac:dyDescent="0.35">
      <c r="B32" s="206">
        <v>43191</v>
      </c>
      <c r="C32" s="207">
        <v>1299.94</v>
      </c>
      <c r="D32" s="208">
        <f t="shared" si="0"/>
        <v>7.8557803665099817</v>
      </c>
      <c r="E32" s="16">
        <v>0.13166187864542528</v>
      </c>
    </row>
    <row r="33" spans="2:5" x14ac:dyDescent="0.35">
      <c r="B33" s="206">
        <v>37773</v>
      </c>
      <c r="C33" s="207">
        <v>146.79</v>
      </c>
      <c r="D33" s="208">
        <f t="shared" si="0"/>
        <v>-0.48233178163351675</v>
      </c>
      <c r="E33" s="16">
        <v>0.13019710502001847</v>
      </c>
    </row>
    <row r="34" spans="2:5" x14ac:dyDescent="0.35">
      <c r="B34" s="206">
        <v>40695</v>
      </c>
      <c r="C34" s="207">
        <v>283.56</v>
      </c>
      <c r="D34" s="208">
        <f t="shared" si="0"/>
        <v>0.28441364315803774</v>
      </c>
      <c r="E34" s="16">
        <v>0.12837246319140466</v>
      </c>
    </row>
    <row r="35" spans="2:5" x14ac:dyDescent="0.35">
      <c r="B35" s="206">
        <v>40330</v>
      </c>
      <c r="C35" s="207">
        <v>220.77</v>
      </c>
      <c r="D35" s="208">
        <f t="shared" si="0"/>
        <v>0.46925329428989765</v>
      </c>
      <c r="E35" s="16">
        <v>0.12798896382587377</v>
      </c>
    </row>
    <row r="36" spans="2:5" x14ac:dyDescent="0.35">
      <c r="B36" s="206">
        <v>38657</v>
      </c>
      <c r="C36" s="207">
        <v>150.26</v>
      </c>
      <c r="D36" s="208">
        <f t="shared" si="0"/>
        <v>-0.26720312118995376</v>
      </c>
      <c r="E36" s="16">
        <v>0.12790872241405188</v>
      </c>
    </row>
    <row r="37" spans="2:5" x14ac:dyDescent="0.35">
      <c r="B37" s="206">
        <v>37288</v>
      </c>
      <c r="C37" s="207">
        <v>205.05</v>
      </c>
      <c r="D37" s="208">
        <f t="shared" si="0"/>
        <v>1.7977896029471958</v>
      </c>
      <c r="E37" s="16">
        <v>0.12701989666923169</v>
      </c>
    </row>
    <row r="38" spans="2:5" x14ac:dyDescent="0.35">
      <c r="B38" s="206">
        <v>35431</v>
      </c>
      <c r="C38" s="207">
        <v>73.290000000000006</v>
      </c>
      <c r="D38" s="208">
        <f t="shared" si="0"/>
        <v>-0.96598424758306689</v>
      </c>
      <c r="E38" s="16">
        <v>0.12184295117097824</v>
      </c>
    </row>
    <row r="39" spans="2:5" x14ac:dyDescent="0.35">
      <c r="B39" s="206">
        <v>44166</v>
      </c>
      <c r="C39" s="207">
        <v>2154.59</v>
      </c>
      <c r="D39" s="208">
        <f t="shared" si="0"/>
        <v>19.823330433942211</v>
      </c>
      <c r="E39" s="16">
        <v>0.12028597426231646</v>
      </c>
    </row>
    <row r="40" spans="2:5" x14ac:dyDescent="0.35">
      <c r="B40" s="206">
        <v>38231</v>
      </c>
      <c r="C40" s="207">
        <v>103.47</v>
      </c>
      <c r="D40" s="208">
        <f t="shared" si="0"/>
        <v>-0.53898592051327754</v>
      </c>
      <c r="E40" s="16">
        <v>0.11956286518069678</v>
      </c>
    </row>
    <row r="41" spans="2:5" x14ac:dyDescent="0.35">
      <c r="B41" s="206">
        <v>38777</v>
      </c>
      <c r="C41" s="207">
        <v>224.44</v>
      </c>
      <c r="D41" s="208">
        <f t="shared" si="0"/>
        <v>0.702108296678295</v>
      </c>
      <c r="E41" s="16">
        <v>0.11611716146998853</v>
      </c>
    </row>
    <row r="42" spans="2:5" x14ac:dyDescent="0.35">
      <c r="B42" s="206">
        <v>38353</v>
      </c>
      <c r="C42" s="207">
        <v>131.86000000000001</v>
      </c>
      <c r="D42" s="208">
        <f t="shared" si="0"/>
        <v>1.0311152187307457</v>
      </c>
      <c r="E42" s="16">
        <v>0.11434124904926912</v>
      </c>
    </row>
    <row r="43" spans="2:5" x14ac:dyDescent="0.35">
      <c r="B43" s="206">
        <v>35156</v>
      </c>
      <c r="C43" s="207">
        <v>64.92</v>
      </c>
      <c r="D43" s="208">
        <f t="shared" si="0"/>
        <v>-0.65717906743412369</v>
      </c>
      <c r="E43" s="16">
        <v>0.11431513903192592</v>
      </c>
    </row>
    <row r="44" spans="2:5" x14ac:dyDescent="0.35">
      <c r="B44" s="206">
        <v>36281</v>
      </c>
      <c r="C44" s="207">
        <v>189.37</v>
      </c>
      <c r="D44" s="208">
        <f t="shared" si="0"/>
        <v>-8.9690830431564579E-4</v>
      </c>
      <c r="E44" s="16">
        <v>0.11165248018784861</v>
      </c>
    </row>
    <row r="45" spans="2:5" x14ac:dyDescent="0.35">
      <c r="B45" s="206">
        <v>36923</v>
      </c>
      <c r="C45" s="207">
        <v>189.54</v>
      </c>
      <c r="D45" s="208">
        <f t="shared" si="0"/>
        <v>-0.66544286369894456</v>
      </c>
      <c r="E45" s="16">
        <v>0.11023898781630737</v>
      </c>
    </row>
    <row r="46" spans="2:5" x14ac:dyDescent="0.35">
      <c r="B46" s="206">
        <v>41821</v>
      </c>
      <c r="C46" s="207">
        <v>566.54</v>
      </c>
      <c r="D46" s="208">
        <f t="shared" si="0"/>
        <v>0.82701796252700832</v>
      </c>
      <c r="E46" s="16">
        <v>0.1067828397280612</v>
      </c>
    </row>
    <row r="47" spans="2:5" x14ac:dyDescent="0.35">
      <c r="B47" s="206">
        <v>40817</v>
      </c>
      <c r="C47" s="207">
        <v>310.08999999999997</v>
      </c>
      <c r="D47" s="208">
        <f t="shared" si="0"/>
        <v>4.2979668546044758</v>
      </c>
      <c r="E47" s="16">
        <v>0.103366068886991</v>
      </c>
    </row>
    <row r="48" spans="2:5" x14ac:dyDescent="0.35">
      <c r="B48" s="206">
        <v>35096</v>
      </c>
      <c r="C48" s="207">
        <v>58.53</v>
      </c>
      <c r="D48" s="208">
        <f t="shared" si="0"/>
        <v>-0.96955811679530657</v>
      </c>
      <c r="E48" s="16">
        <v>0.10329877474081063</v>
      </c>
    </row>
    <row r="49" spans="2:5" x14ac:dyDescent="0.35">
      <c r="B49" s="206">
        <v>43739</v>
      </c>
      <c r="C49" s="207">
        <v>1922.68</v>
      </c>
      <c r="D49" s="208">
        <f t="shared" si="0"/>
        <v>2.8478996137450716</v>
      </c>
      <c r="E49" s="16">
        <v>0.10328285581486094</v>
      </c>
    </row>
    <row r="50" spans="2:5" x14ac:dyDescent="0.35">
      <c r="B50" s="206">
        <v>41699</v>
      </c>
      <c r="C50" s="207">
        <v>499.67</v>
      </c>
      <c r="D50" s="208">
        <f t="shared" si="0"/>
        <v>0.17561113333176492</v>
      </c>
      <c r="E50" s="16">
        <v>0.10251318373381002</v>
      </c>
    </row>
    <row r="51" spans="2:5" x14ac:dyDescent="0.35">
      <c r="B51" s="206">
        <v>41122</v>
      </c>
      <c r="C51" s="207">
        <v>425.03</v>
      </c>
      <c r="D51" s="208">
        <f t="shared" si="0"/>
        <v>0.81520392910527428</v>
      </c>
      <c r="E51" s="16">
        <v>0.10217047428882602</v>
      </c>
    </row>
    <row r="52" spans="2:5" x14ac:dyDescent="0.35">
      <c r="B52" s="206">
        <v>36678</v>
      </c>
      <c r="C52" s="207">
        <v>234.15</v>
      </c>
      <c r="D52" s="208">
        <f t="shared" si="0"/>
        <v>-0.90428715081058542</v>
      </c>
      <c r="E52" s="16">
        <v>0.10038065698576068</v>
      </c>
    </row>
    <row r="53" spans="2:5" x14ac:dyDescent="0.35">
      <c r="B53" s="206">
        <v>45839</v>
      </c>
      <c r="C53" s="207">
        <v>2446.38</v>
      </c>
      <c r="D53" s="208">
        <f t="shared" si="0"/>
        <v>10.529195532305952</v>
      </c>
      <c r="E53" s="16">
        <v>9.8755894902313096E-2</v>
      </c>
    </row>
    <row r="54" spans="2:5" x14ac:dyDescent="0.35">
      <c r="B54" s="206">
        <v>38961</v>
      </c>
      <c r="C54" s="207">
        <v>212.19</v>
      </c>
      <c r="D54" s="208">
        <f t="shared" si="0"/>
        <v>0.24378663540445489</v>
      </c>
      <c r="E54" s="16">
        <v>9.6815879251524808E-2</v>
      </c>
    </row>
    <row r="55" spans="2:5" x14ac:dyDescent="0.35">
      <c r="B55" s="206">
        <v>39264</v>
      </c>
      <c r="C55" s="207">
        <v>170.6</v>
      </c>
      <c r="D55" s="208">
        <f t="shared" si="0"/>
        <v>-0.92343733170574094</v>
      </c>
      <c r="E55" s="16">
        <v>9.6260120807094132E-2</v>
      </c>
    </row>
    <row r="56" spans="2:5" x14ac:dyDescent="0.35">
      <c r="B56" s="206">
        <v>46113</v>
      </c>
      <c r="C56" s="207">
        <v>2228.2399999999998</v>
      </c>
      <c r="D56" s="208">
        <f t="shared" si="0"/>
        <v>13.906609579876905</v>
      </c>
      <c r="E56" s="16">
        <v>9.5221945333274244E-2</v>
      </c>
    </row>
    <row r="57" spans="2:5" x14ac:dyDescent="0.35">
      <c r="B57" s="206">
        <v>38596</v>
      </c>
      <c r="C57" s="207">
        <v>149.47999999999999</v>
      </c>
      <c r="D57" s="208">
        <f t="shared" si="0"/>
        <v>-0.94179467710219422</v>
      </c>
      <c r="E57" s="16">
        <v>9.4610427650849344E-2</v>
      </c>
    </row>
    <row r="58" spans="2:5" x14ac:dyDescent="0.35">
      <c r="B58" s="206">
        <v>45474</v>
      </c>
      <c r="C58" s="207">
        <v>2568.15</v>
      </c>
      <c r="D58" s="208">
        <f t="shared" si="0"/>
        <v>11.437164027313671</v>
      </c>
      <c r="E58" s="16">
        <v>9.405419682453138E-2</v>
      </c>
    </row>
    <row r="59" spans="2:5" x14ac:dyDescent="0.35">
      <c r="B59" s="206">
        <v>39539</v>
      </c>
      <c r="C59" s="207">
        <v>206.49</v>
      </c>
      <c r="D59" s="208">
        <f t="shared" si="0"/>
        <v>0.34075709369521473</v>
      </c>
      <c r="E59" s="16">
        <v>9.3754965835054924E-2</v>
      </c>
    </row>
    <row r="60" spans="2:5" x14ac:dyDescent="0.35">
      <c r="B60" s="206">
        <v>37469</v>
      </c>
      <c r="C60" s="207">
        <v>154.01</v>
      </c>
      <c r="D60" s="208">
        <f t="shared" si="0"/>
        <v>0.18578688019710499</v>
      </c>
      <c r="E60" s="16">
        <v>9.2734496949056291E-2</v>
      </c>
    </row>
    <row r="61" spans="2:5" x14ac:dyDescent="0.35">
      <c r="B61" s="206">
        <v>37742</v>
      </c>
      <c r="C61" s="207">
        <v>129.88</v>
      </c>
      <c r="D61" s="208">
        <f t="shared" si="0"/>
        <v>-0.93624488874271661</v>
      </c>
      <c r="E61" s="16">
        <v>9.2714117449099742E-2</v>
      </c>
    </row>
    <row r="62" spans="2:5" x14ac:dyDescent="0.35">
      <c r="B62" s="206">
        <v>44652</v>
      </c>
      <c r="C62" s="207">
        <v>2037.17</v>
      </c>
      <c r="D62" s="208">
        <f t="shared" si="0"/>
        <v>0.23112671630245601</v>
      </c>
      <c r="E62" s="16">
        <v>9.0889131645461169E-2</v>
      </c>
    </row>
    <row r="63" spans="2:5" x14ac:dyDescent="0.35">
      <c r="B63" s="206">
        <v>43678</v>
      </c>
      <c r="C63" s="207">
        <v>1654.72</v>
      </c>
      <c r="D63" s="208">
        <f t="shared" si="0"/>
        <v>7.8148305987641171</v>
      </c>
      <c r="E63" s="16">
        <v>8.9915097384419801E-2</v>
      </c>
    </row>
    <row r="64" spans="2:5" x14ac:dyDescent="0.35">
      <c r="B64" s="206">
        <v>39479</v>
      </c>
      <c r="C64" s="207">
        <v>187.72</v>
      </c>
      <c r="D64" s="208">
        <f t="shared" si="0"/>
        <v>-0.21955681204007818</v>
      </c>
      <c r="E64" s="16">
        <v>8.981132075471697E-2</v>
      </c>
    </row>
    <row r="65" spans="2:5" x14ac:dyDescent="0.35">
      <c r="B65" s="206">
        <v>39995</v>
      </c>
      <c r="C65" s="207">
        <v>240.53</v>
      </c>
      <c r="D65" s="208">
        <f t="shared" si="0"/>
        <v>0.57055174665360753</v>
      </c>
      <c r="E65" s="16">
        <v>8.9702351288905052E-2</v>
      </c>
    </row>
    <row r="66" spans="2:5" x14ac:dyDescent="0.35">
      <c r="B66" s="206">
        <v>37834</v>
      </c>
      <c r="C66" s="207">
        <v>153.15</v>
      </c>
      <c r="D66" s="208">
        <f t="shared" si="0"/>
        <v>-4.0774145058248723E-2</v>
      </c>
      <c r="E66" s="16">
        <v>8.8254103602643477E-2</v>
      </c>
    </row>
    <row r="67" spans="2:5" x14ac:dyDescent="0.35">
      <c r="B67" s="206">
        <v>36831</v>
      </c>
      <c r="C67" s="207">
        <v>159.66</v>
      </c>
      <c r="D67" s="208">
        <f t="shared" si="0"/>
        <v>-0.93534775988856145</v>
      </c>
      <c r="E67" s="16">
        <v>8.7676272225628488E-2</v>
      </c>
    </row>
    <row r="68" spans="2:5" x14ac:dyDescent="0.35">
      <c r="B68" s="206">
        <v>45047</v>
      </c>
      <c r="C68" s="207">
        <v>2469.52</v>
      </c>
      <c r="D68" s="208">
        <f t="shared" si="0"/>
        <v>14.176499508357917</v>
      </c>
      <c r="E68" s="16">
        <v>8.5560557040371299E-2</v>
      </c>
    </row>
    <row r="69" spans="2:5" x14ac:dyDescent="0.35">
      <c r="B69" s="206">
        <v>38687</v>
      </c>
      <c r="C69" s="207">
        <v>162.72</v>
      </c>
      <c r="D69" s="208">
        <f t="shared" si="0"/>
        <v>-0.89372971349081431</v>
      </c>
      <c r="E69" s="16">
        <v>8.2922933581791619E-2</v>
      </c>
    </row>
    <row r="70" spans="2:5" x14ac:dyDescent="0.35">
      <c r="B70" s="206">
        <v>43405</v>
      </c>
      <c r="C70" s="207">
        <v>1531.19</v>
      </c>
      <c r="D70" s="208">
        <f t="shared" si="0"/>
        <v>1.4993715619541976</v>
      </c>
      <c r="E70" s="16">
        <v>8.1585657877077611E-2</v>
      </c>
    </row>
    <row r="71" spans="2:5" x14ac:dyDescent="0.35">
      <c r="B71" s="206">
        <v>41852</v>
      </c>
      <c r="C71" s="207">
        <v>612.63</v>
      </c>
      <c r="D71" s="208">
        <f t="shared" si="0"/>
        <v>1.6188603428376009</v>
      </c>
      <c r="E71" s="16">
        <v>8.1353479012955893E-2</v>
      </c>
    </row>
    <row r="72" spans="2:5" x14ac:dyDescent="0.35">
      <c r="B72" s="206">
        <v>40087</v>
      </c>
      <c r="C72" s="207">
        <v>233.93</v>
      </c>
      <c r="D72" s="208">
        <f t="shared" si="0"/>
        <v>-0.30861533914585493</v>
      </c>
      <c r="E72" s="16">
        <v>7.9610485508584086E-2</v>
      </c>
    </row>
    <row r="73" spans="2:5" x14ac:dyDescent="0.35">
      <c r="B73" s="206">
        <v>40969</v>
      </c>
      <c r="C73" s="207">
        <v>338.35</v>
      </c>
      <c r="D73" s="208">
        <f t="shared" ref="D73:D136" si="5">(C73-C74)/C74</f>
        <v>0.59006532261854427</v>
      </c>
      <c r="E73" s="16">
        <v>7.8509498916231019E-2</v>
      </c>
    </row>
    <row r="74" spans="2:5" x14ac:dyDescent="0.35">
      <c r="B74" s="206">
        <v>36647</v>
      </c>
      <c r="C74" s="207">
        <v>212.79</v>
      </c>
      <c r="D74" s="208">
        <f t="shared" si="5"/>
        <v>0.16795652889840273</v>
      </c>
      <c r="E74" s="16">
        <v>7.5403042401576734E-2</v>
      </c>
    </row>
    <row r="75" spans="2:5" x14ac:dyDescent="0.35">
      <c r="B75" s="206">
        <v>37073</v>
      </c>
      <c r="C75" s="207">
        <v>182.19</v>
      </c>
      <c r="D75" s="208">
        <f t="shared" si="5"/>
        <v>-0.84539468101356052</v>
      </c>
      <c r="E75" s="16">
        <v>7.4994099598772762E-2</v>
      </c>
    </row>
    <row r="76" spans="2:5" x14ac:dyDescent="0.35">
      <c r="B76" s="206">
        <v>43070</v>
      </c>
      <c r="C76" s="207">
        <v>1178.42</v>
      </c>
      <c r="D76" s="208">
        <f t="shared" si="5"/>
        <v>9.3880465444287733</v>
      </c>
      <c r="E76" s="16">
        <v>7.4965336057797621E-2</v>
      </c>
    </row>
    <row r="77" spans="2:5" x14ac:dyDescent="0.35">
      <c r="B77" s="206">
        <v>35735</v>
      </c>
      <c r="C77" s="207">
        <v>113.44</v>
      </c>
      <c r="D77" s="208">
        <f t="shared" si="5"/>
        <v>-0.95167357510746065</v>
      </c>
      <c r="E77" s="16">
        <v>7.2009072009072056E-2</v>
      </c>
    </row>
    <row r="78" spans="2:5" x14ac:dyDescent="0.35">
      <c r="B78" s="206">
        <v>45444</v>
      </c>
      <c r="C78" s="207">
        <v>2347.37</v>
      </c>
      <c r="D78" s="208">
        <f t="shared" si="5"/>
        <v>15.572790172267723</v>
      </c>
      <c r="E78" s="16">
        <v>7.2000401879700901E-2</v>
      </c>
    </row>
    <row r="79" spans="2:5" x14ac:dyDescent="0.35">
      <c r="B79" s="206">
        <v>37561</v>
      </c>
      <c r="C79" s="207">
        <v>141.63999999999999</v>
      </c>
      <c r="D79" s="208">
        <f t="shared" si="5"/>
        <v>-0.81261575911520345</v>
      </c>
      <c r="E79" s="16">
        <v>7.1812334468406958E-2</v>
      </c>
    </row>
    <row r="80" spans="2:5" x14ac:dyDescent="0.35">
      <c r="B80" s="206">
        <v>42522</v>
      </c>
      <c r="C80" s="207">
        <v>755.88</v>
      </c>
      <c r="D80" s="208">
        <f t="shared" si="5"/>
        <v>-0.23591371328063401</v>
      </c>
      <c r="E80" s="16">
        <v>7.1061170702676632E-2</v>
      </c>
    </row>
    <row r="81" spans="2:5" x14ac:dyDescent="0.35">
      <c r="B81" s="206">
        <v>42917</v>
      </c>
      <c r="C81" s="207">
        <v>989.26</v>
      </c>
      <c r="D81" s="208">
        <f t="shared" si="5"/>
        <v>-0.48533673230497104</v>
      </c>
      <c r="E81" s="16">
        <v>7.0535018613107028E-2</v>
      </c>
    </row>
    <row r="82" spans="2:5" x14ac:dyDescent="0.35">
      <c r="B82" s="206">
        <v>43862</v>
      </c>
      <c r="C82" s="207">
        <v>1922.15</v>
      </c>
      <c r="D82" s="208">
        <f t="shared" si="5"/>
        <v>7.0173096976016689</v>
      </c>
      <c r="E82" s="16">
        <v>6.9066780869536229E-2</v>
      </c>
    </row>
    <row r="83" spans="2:5" x14ac:dyDescent="0.35">
      <c r="B83" s="206">
        <v>38808</v>
      </c>
      <c r="C83" s="207">
        <v>239.75</v>
      </c>
      <c r="D83" s="208">
        <f t="shared" si="5"/>
        <v>-0.82730553414632391</v>
      </c>
      <c r="E83" s="16">
        <v>6.8214222063803259E-2</v>
      </c>
    </row>
    <row r="84" spans="2:5" x14ac:dyDescent="0.35">
      <c r="B84" s="206">
        <v>43221</v>
      </c>
      <c r="C84" s="207">
        <v>1388.29</v>
      </c>
      <c r="D84" s="208">
        <f t="shared" si="5"/>
        <v>4.5244329486669317</v>
      </c>
      <c r="E84" s="16">
        <v>6.7964675292705751E-2</v>
      </c>
    </row>
    <row r="85" spans="2:5" x14ac:dyDescent="0.35">
      <c r="B85" s="206">
        <v>40664</v>
      </c>
      <c r="C85" s="207">
        <v>251.3</v>
      </c>
      <c r="D85" s="208">
        <f t="shared" si="5"/>
        <v>0.47450566214868273</v>
      </c>
      <c r="E85" s="16">
        <v>6.7862151021969144E-2</v>
      </c>
    </row>
    <row r="86" spans="2:5" x14ac:dyDescent="0.35">
      <c r="B86" s="206">
        <v>36861</v>
      </c>
      <c r="C86" s="207">
        <v>170.43</v>
      </c>
      <c r="D86" s="208">
        <f t="shared" si="5"/>
        <v>-0.91214676742579659</v>
      </c>
      <c r="E86" s="16">
        <v>6.7455843667794127E-2</v>
      </c>
    </row>
    <row r="87" spans="2:5" x14ac:dyDescent="0.35">
      <c r="B87" s="206">
        <v>43983</v>
      </c>
      <c r="C87" s="207">
        <v>1939.94</v>
      </c>
      <c r="D87" s="208">
        <f t="shared" si="5"/>
        <v>1.5646673100567157</v>
      </c>
      <c r="E87" s="16">
        <v>6.684484626510262E-2</v>
      </c>
    </row>
    <row r="88" spans="2:5" x14ac:dyDescent="0.35">
      <c r="B88" s="206">
        <v>42156</v>
      </c>
      <c r="C88" s="207">
        <v>756.41</v>
      </c>
      <c r="D88" s="208">
        <f t="shared" si="5"/>
        <v>2.8778324618066229</v>
      </c>
      <c r="E88" s="16">
        <v>6.6492774057102522E-2</v>
      </c>
    </row>
    <row r="89" spans="2:5" x14ac:dyDescent="0.35">
      <c r="B89" s="206">
        <v>39753</v>
      </c>
      <c r="C89" s="207">
        <v>195.06</v>
      </c>
      <c r="D89" s="208">
        <f t="shared" si="5"/>
        <v>-0.93053319847861082</v>
      </c>
      <c r="E89" s="16">
        <v>6.6018144059460118E-2</v>
      </c>
    </row>
    <row r="90" spans="2:5" x14ac:dyDescent="0.35">
      <c r="B90" s="206">
        <v>45536</v>
      </c>
      <c r="C90" s="207">
        <v>2807.96</v>
      </c>
      <c r="D90" s="208">
        <f t="shared" si="5"/>
        <v>3.3289293147305945</v>
      </c>
      <c r="E90" s="16">
        <v>6.490393731843655E-2</v>
      </c>
    </row>
    <row r="91" spans="2:5" x14ac:dyDescent="0.35">
      <c r="B91" s="206">
        <v>41944</v>
      </c>
      <c r="C91" s="207">
        <v>648.65</v>
      </c>
      <c r="D91" s="208">
        <f t="shared" si="5"/>
        <v>-0.71028830478572536</v>
      </c>
      <c r="E91" s="16">
        <v>6.4687151204779678E-2</v>
      </c>
    </row>
    <row r="92" spans="2:5" x14ac:dyDescent="0.35">
      <c r="B92" s="206">
        <v>44348</v>
      </c>
      <c r="C92" s="207">
        <v>2238.9499999999998</v>
      </c>
      <c r="D92" s="208">
        <f t="shared" si="5"/>
        <v>3.4972381239329113</v>
      </c>
      <c r="E92" s="16">
        <v>6.373021792940925E-2</v>
      </c>
    </row>
    <row r="93" spans="2:5" x14ac:dyDescent="0.35">
      <c r="B93" s="206">
        <v>41760</v>
      </c>
      <c r="C93" s="207">
        <v>497.85</v>
      </c>
      <c r="D93" s="208">
        <f t="shared" si="5"/>
        <v>0.77145602049530315</v>
      </c>
      <c r="E93" s="16">
        <v>6.3168684733166849E-2</v>
      </c>
    </row>
    <row r="94" spans="2:5" x14ac:dyDescent="0.35">
      <c r="B94" s="206">
        <v>40787</v>
      </c>
      <c r="C94" s="207">
        <v>281.04000000000002</v>
      </c>
      <c r="D94" s="208">
        <f t="shared" si="5"/>
        <v>2.6081653614071132</v>
      </c>
      <c r="E94" s="16">
        <v>6.3015356683561632E-2</v>
      </c>
    </row>
    <row r="95" spans="2:5" x14ac:dyDescent="0.35">
      <c r="B95" s="206">
        <v>35462</v>
      </c>
      <c r="C95" s="207">
        <v>77.89</v>
      </c>
      <c r="D95" s="208">
        <f t="shared" si="5"/>
        <v>-0.89149392622311385</v>
      </c>
      <c r="E95" s="16">
        <v>6.2764360758630011E-2</v>
      </c>
    </row>
    <row r="96" spans="2:5" x14ac:dyDescent="0.35">
      <c r="B96" s="206">
        <v>42339</v>
      </c>
      <c r="C96" s="207">
        <v>717.84</v>
      </c>
      <c r="D96" s="208">
        <f t="shared" si="5"/>
        <v>0.91408687305015623</v>
      </c>
      <c r="E96" s="16">
        <v>6.2506475629431207E-2</v>
      </c>
    </row>
    <row r="97" spans="2:5" x14ac:dyDescent="0.35">
      <c r="B97" s="206">
        <v>41061</v>
      </c>
      <c r="C97" s="207">
        <v>375.03</v>
      </c>
      <c r="D97" s="208">
        <f t="shared" si="5"/>
        <v>-0.8417995444191344</v>
      </c>
      <c r="E97" s="16">
        <v>6.1926605504587007E-2</v>
      </c>
    </row>
    <row r="98" spans="2:5" x14ac:dyDescent="0.35">
      <c r="B98" s="206">
        <v>45658</v>
      </c>
      <c r="C98" s="207">
        <v>2370.6</v>
      </c>
      <c r="D98" s="208">
        <f t="shared" si="5"/>
        <v>11.885796597271295</v>
      </c>
      <c r="E98" s="16">
        <v>6.1003446269525002E-2</v>
      </c>
    </row>
    <row r="99" spans="2:5" x14ac:dyDescent="0.35">
      <c r="B99" s="206">
        <v>37226</v>
      </c>
      <c r="C99" s="207">
        <v>183.97</v>
      </c>
      <c r="D99" s="208">
        <f t="shared" si="5"/>
        <v>-0.59154085257548839</v>
      </c>
      <c r="E99" s="16">
        <v>6.0712638376383771E-2</v>
      </c>
    </row>
    <row r="100" spans="2:5" x14ac:dyDescent="0.35">
      <c r="B100" s="206">
        <v>41153</v>
      </c>
      <c r="C100" s="207">
        <v>450.4</v>
      </c>
      <c r="D100" s="208">
        <f t="shared" si="5"/>
        <v>-0.81875834983179607</v>
      </c>
      <c r="E100" s="16">
        <v>5.9689904242053518E-2</v>
      </c>
    </row>
    <row r="101" spans="2:5" x14ac:dyDescent="0.35">
      <c r="B101" s="206">
        <v>44866</v>
      </c>
      <c r="C101" s="207">
        <v>2485.08</v>
      </c>
      <c r="D101" s="208">
        <f t="shared" si="5"/>
        <v>12.652035378783715</v>
      </c>
      <c r="E101" s="16">
        <v>5.9460012534052885E-2</v>
      </c>
    </row>
    <row r="102" spans="2:5" x14ac:dyDescent="0.35">
      <c r="B102" s="206">
        <v>39326</v>
      </c>
      <c r="C102" s="207">
        <v>182.03</v>
      </c>
      <c r="D102" s="208">
        <f t="shared" si="5"/>
        <v>-0.11862683387401346</v>
      </c>
      <c r="E102" s="16">
        <v>5.9052827554107554E-2</v>
      </c>
    </row>
    <row r="103" spans="2:5" x14ac:dyDescent="0.35">
      <c r="B103" s="206">
        <v>39783</v>
      </c>
      <c r="C103" s="207">
        <v>206.53</v>
      </c>
      <c r="D103" s="208">
        <f t="shared" si="5"/>
        <v>0.37750950443540315</v>
      </c>
      <c r="E103" s="16">
        <v>5.8802419768276423E-2</v>
      </c>
    </row>
    <row r="104" spans="2:5" x14ac:dyDescent="0.35">
      <c r="B104" s="206">
        <v>37591</v>
      </c>
      <c r="C104" s="207">
        <v>149.93</v>
      </c>
      <c r="D104" s="208">
        <f t="shared" si="5"/>
        <v>-0.91661151187172196</v>
      </c>
      <c r="E104" s="16">
        <v>5.8528664219147285E-2</v>
      </c>
    </row>
    <row r="105" spans="2:5" x14ac:dyDescent="0.35">
      <c r="B105" s="206">
        <v>43831</v>
      </c>
      <c r="C105" s="207">
        <v>1797.97</v>
      </c>
      <c r="D105" s="208">
        <f t="shared" si="5"/>
        <v>-0.11496753678262193</v>
      </c>
      <c r="E105" s="16">
        <v>5.7853427784707305E-2</v>
      </c>
    </row>
    <row r="106" spans="2:5" x14ac:dyDescent="0.35">
      <c r="B106" s="206">
        <v>43891</v>
      </c>
      <c r="C106" s="207">
        <v>2031.53</v>
      </c>
      <c r="D106" s="208">
        <f t="shared" si="5"/>
        <v>5.1991699978639652</v>
      </c>
      <c r="E106" s="16">
        <v>5.6905028223603715E-2</v>
      </c>
    </row>
    <row r="107" spans="2:5" x14ac:dyDescent="0.35">
      <c r="B107" s="206">
        <v>40848</v>
      </c>
      <c r="C107" s="207">
        <v>327.71</v>
      </c>
      <c r="D107" s="208">
        <f t="shared" si="5"/>
        <v>-0.68611355886747627</v>
      </c>
      <c r="E107" s="16">
        <v>5.6822212905930557E-2</v>
      </c>
    </row>
    <row r="108" spans="2:5" x14ac:dyDescent="0.35">
      <c r="B108" s="206">
        <v>42948</v>
      </c>
      <c r="C108" s="207">
        <v>1044.04</v>
      </c>
      <c r="D108" s="208">
        <f t="shared" si="5"/>
        <v>-0.30540882176834538</v>
      </c>
      <c r="E108" s="16">
        <v>5.5374724541576506E-2</v>
      </c>
    </row>
    <row r="109" spans="2:5" x14ac:dyDescent="0.35">
      <c r="B109" s="206">
        <v>43282</v>
      </c>
      <c r="C109" s="207">
        <v>1503.1</v>
      </c>
      <c r="D109" s="208">
        <f t="shared" si="5"/>
        <v>-0.41759723503018381</v>
      </c>
      <c r="E109" s="16">
        <v>5.5147626602271571E-2</v>
      </c>
    </row>
    <row r="110" spans="2:5" x14ac:dyDescent="0.35">
      <c r="B110" s="206">
        <v>45870</v>
      </c>
      <c r="C110" s="207">
        <v>2580.86</v>
      </c>
      <c r="D110" s="208">
        <f t="shared" si="5"/>
        <v>1.4366355422539865</v>
      </c>
      <c r="E110" s="16">
        <v>5.497101840270114E-2</v>
      </c>
    </row>
    <row r="111" spans="2:5" x14ac:dyDescent="0.35">
      <c r="B111" s="206">
        <v>43009</v>
      </c>
      <c r="C111" s="207">
        <v>1059.19</v>
      </c>
      <c r="D111" s="208">
        <f t="shared" si="5"/>
        <v>1.7490007786140671</v>
      </c>
      <c r="E111" s="16">
        <v>5.4140666208859656E-2</v>
      </c>
    </row>
    <row r="112" spans="2:5" x14ac:dyDescent="0.35">
      <c r="B112" s="206">
        <v>41334</v>
      </c>
      <c r="C112" s="207">
        <v>385.3</v>
      </c>
      <c r="D112" s="208">
        <f t="shared" si="5"/>
        <v>-0.77890502613775259</v>
      </c>
      <c r="E112" s="16">
        <v>5.3941681711253429E-2</v>
      </c>
    </row>
    <row r="113" spans="2:5" x14ac:dyDescent="0.35">
      <c r="B113" s="206">
        <v>43709</v>
      </c>
      <c r="C113" s="207">
        <v>1742.69</v>
      </c>
      <c r="D113" s="208">
        <f t="shared" si="5"/>
        <v>-0.18759498391683366</v>
      </c>
      <c r="E113" s="16">
        <v>5.3163072906594486E-2</v>
      </c>
    </row>
    <row r="114" spans="2:5" x14ac:dyDescent="0.35">
      <c r="B114" s="206">
        <v>44682</v>
      </c>
      <c r="C114" s="207">
        <v>2145.1</v>
      </c>
      <c r="D114" s="208">
        <f t="shared" si="5"/>
        <v>1.7733819460605589</v>
      </c>
      <c r="E114" s="16">
        <v>5.2980360009228407E-2</v>
      </c>
    </row>
    <row r="115" spans="2:5" x14ac:dyDescent="0.35">
      <c r="B115" s="206">
        <v>42795</v>
      </c>
      <c r="C115" s="207">
        <v>773.46</v>
      </c>
      <c r="D115" s="208">
        <f t="shared" si="5"/>
        <v>2.5439175257731961</v>
      </c>
      <c r="E115" s="16">
        <v>5.2942537811236486E-2</v>
      </c>
    </row>
    <row r="116" spans="2:5" x14ac:dyDescent="0.35">
      <c r="B116" s="206">
        <v>40391</v>
      </c>
      <c r="C116" s="207">
        <v>218.25</v>
      </c>
      <c r="D116" s="208">
        <f t="shared" si="5"/>
        <v>2.1954612005856515</v>
      </c>
      <c r="E116" s="16">
        <v>5.1908617698091436E-2</v>
      </c>
    </row>
    <row r="117" spans="2:5" x14ac:dyDescent="0.35">
      <c r="B117" s="206">
        <v>35217</v>
      </c>
      <c r="C117" s="207">
        <v>68.3</v>
      </c>
      <c r="D117" s="208">
        <f t="shared" si="5"/>
        <v>-0.73546612959448465</v>
      </c>
      <c r="E117" s="16">
        <v>5.1578137028483358E-2</v>
      </c>
    </row>
    <row r="118" spans="2:5" x14ac:dyDescent="0.35">
      <c r="B118" s="206">
        <v>40513</v>
      </c>
      <c r="C118" s="207">
        <v>258.19</v>
      </c>
      <c r="D118" s="208">
        <f t="shared" si="5"/>
        <v>-0.64311286198078654</v>
      </c>
      <c r="E118" s="16">
        <v>4.9126371393742395E-2</v>
      </c>
    </row>
    <row r="119" spans="2:5" x14ac:dyDescent="0.35">
      <c r="B119" s="206">
        <v>42430</v>
      </c>
      <c r="C119" s="207">
        <v>723.45</v>
      </c>
      <c r="D119" s="208">
        <f t="shared" si="5"/>
        <v>0.43132716049382724</v>
      </c>
      <c r="E119" s="16">
        <v>4.7082151334452739E-2</v>
      </c>
    </row>
    <row r="120" spans="2:5" x14ac:dyDescent="0.35">
      <c r="B120" s="206">
        <v>41456</v>
      </c>
      <c r="C120" s="207">
        <v>505.44</v>
      </c>
      <c r="D120" s="208">
        <f t="shared" si="5"/>
        <v>-0.79819290337263482</v>
      </c>
      <c r="E120" s="16">
        <v>4.6828076134457289E-2</v>
      </c>
    </row>
    <row r="121" spans="2:5" x14ac:dyDescent="0.35">
      <c r="B121" s="206">
        <v>45261</v>
      </c>
      <c r="C121" s="207">
        <v>2504.5700000000002</v>
      </c>
      <c r="D121" s="208">
        <f t="shared" si="5"/>
        <v>17.228311499272198</v>
      </c>
      <c r="E121" s="16">
        <v>4.6514154392562485E-2</v>
      </c>
    </row>
    <row r="122" spans="2:5" x14ac:dyDescent="0.35">
      <c r="B122" s="206">
        <v>36130</v>
      </c>
      <c r="C122" s="207">
        <v>137.4</v>
      </c>
      <c r="D122" s="208">
        <f t="shared" si="5"/>
        <v>-0.36359425660027789</v>
      </c>
      <c r="E122" s="16">
        <v>4.5662100456621002E-2</v>
      </c>
    </row>
    <row r="123" spans="2:5" x14ac:dyDescent="0.35">
      <c r="B123" s="206">
        <v>39814</v>
      </c>
      <c r="C123" s="207">
        <v>215.9</v>
      </c>
      <c r="D123" s="208">
        <f t="shared" si="5"/>
        <v>-0.90140246882007202</v>
      </c>
      <c r="E123" s="16">
        <v>4.5368711567326803E-2</v>
      </c>
    </row>
    <row r="124" spans="2:5" x14ac:dyDescent="0.35">
      <c r="B124" s="206">
        <v>45413</v>
      </c>
      <c r="C124" s="207">
        <v>2189.71</v>
      </c>
      <c r="D124" s="208">
        <f t="shared" si="5"/>
        <v>0.42706038763832582</v>
      </c>
      <c r="E124" s="16">
        <v>4.4210777300906071E-2</v>
      </c>
    </row>
    <row r="125" spans="2:5" x14ac:dyDescent="0.35">
      <c r="B125" s="206">
        <v>43556</v>
      </c>
      <c r="C125" s="207">
        <v>1534.42</v>
      </c>
      <c r="D125" s="208">
        <f t="shared" si="5"/>
        <v>10.031056793673617</v>
      </c>
      <c r="E125" s="16">
        <v>4.3830230137620024E-2</v>
      </c>
    </row>
    <row r="126" spans="2:5" x14ac:dyDescent="0.35">
      <c r="B126" s="206">
        <v>36039</v>
      </c>
      <c r="C126" s="207">
        <v>139.1</v>
      </c>
      <c r="D126" s="208">
        <f t="shared" si="5"/>
        <v>0.2255506607929515</v>
      </c>
      <c r="E126" s="16">
        <v>4.3510877719429727E-2</v>
      </c>
    </row>
    <row r="127" spans="2:5" x14ac:dyDescent="0.35">
      <c r="B127" s="206">
        <v>38443</v>
      </c>
      <c r="C127" s="207">
        <v>113.5</v>
      </c>
      <c r="D127" s="208">
        <f t="shared" si="5"/>
        <v>-0.28746311758428023</v>
      </c>
      <c r="E127" s="16">
        <v>4.2432035268185203E-2</v>
      </c>
    </row>
    <row r="128" spans="2:5" x14ac:dyDescent="0.35">
      <c r="B128" s="206">
        <v>37408</v>
      </c>
      <c r="C128" s="207">
        <v>159.29</v>
      </c>
      <c r="D128" s="208">
        <f t="shared" si="5"/>
        <v>0.3476311336717427</v>
      </c>
      <c r="E128" s="16">
        <v>4.1792020928711489E-2</v>
      </c>
    </row>
    <row r="129" spans="2:5" x14ac:dyDescent="0.35">
      <c r="B129" s="206">
        <v>38473</v>
      </c>
      <c r="C129" s="207">
        <v>118.2</v>
      </c>
      <c r="D129" s="208">
        <f t="shared" si="5"/>
        <v>-0.95013247380056376</v>
      </c>
      <c r="E129" s="16">
        <v>4.1409691629955975E-2</v>
      </c>
    </row>
    <row r="130" spans="2:5" x14ac:dyDescent="0.35">
      <c r="B130" s="206">
        <v>44986</v>
      </c>
      <c r="C130" s="207">
        <v>2370.2800000000002</v>
      </c>
      <c r="D130" s="208">
        <f t="shared" si="5"/>
        <v>9.1864282951566469</v>
      </c>
      <c r="E130" s="16">
        <v>4.0518353980280856E-2</v>
      </c>
    </row>
    <row r="131" spans="2:5" x14ac:dyDescent="0.35">
      <c r="B131" s="206">
        <v>40575</v>
      </c>
      <c r="C131" s="207">
        <v>232.69</v>
      </c>
      <c r="D131" s="208">
        <f t="shared" si="5"/>
        <v>0.3729643615765873</v>
      </c>
      <c r="E131" s="16">
        <v>4.0001787789398356E-2</v>
      </c>
    </row>
    <row r="132" spans="2:5" x14ac:dyDescent="0.35">
      <c r="B132" s="206">
        <v>37043</v>
      </c>
      <c r="C132" s="207">
        <v>169.48</v>
      </c>
      <c r="D132" s="208">
        <f t="shared" si="5"/>
        <v>-0.13737466279839167</v>
      </c>
      <c r="E132" s="16">
        <v>3.7590302436635158E-2</v>
      </c>
    </row>
    <row r="133" spans="2:5" x14ac:dyDescent="0.35">
      <c r="B133" s="206">
        <v>36312</v>
      </c>
      <c r="C133" s="207">
        <v>196.47</v>
      </c>
      <c r="D133" s="208">
        <f t="shared" si="5"/>
        <v>-0.87631728045325774</v>
      </c>
      <c r="E133" s="16">
        <v>3.7492739082219964E-2</v>
      </c>
    </row>
    <row r="134" spans="2:5" x14ac:dyDescent="0.35">
      <c r="B134" s="206">
        <v>43435</v>
      </c>
      <c r="C134" s="207">
        <v>1588.5</v>
      </c>
      <c r="D134" s="208">
        <f t="shared" si="5"/>
        <v>7.9624238320920782</v>
      </c>
      <c r="E134" s="16">
        <v>3.7428405357924195E-2</v>
      </c>
    </row>
    <row r="135" spans="2:5" x14ac:dyDescent="0.35">
      <c r="B135" s="206">
        <v>37165</v>
      </c>
      <c r="C135" s="207">
        <v>177.24</v>
      </c>
      <c r="D135" s="208">
        <f t="shared" si="5"/>
        <v>0.34885844748858447</v>
      </c>
      <c r="E135" s="16">
        <v>3.7401229148375854E-2</v>
      </c>
    </row>
    <row r="136" spans="2:5" x14ac:dyDescent="0.35">
      <c r="B136" s="206">
        <v>35855</v>
      </c>
      <c r="C136" s="207">
        <v>131.4</v>
      </c>
      <c r="D136" s="208">
        <f t="shared" si="5"/>
        <v>-0.94157247414337419</v>
      </c>
      <c r="E136" s="16">
        <v>3.7259235869908418E-2</v>
      </c>
    </row>
    <row r="137" spans="2:5" x14ac:dyDescent="0.35">
      <c r="B137" s="206">
        <v>45748</v>
      </c>
      <c r="C137" s="207">
        <v>2248.94</v>
      </c>
      <c r="D137" s="208">
        <f t="shared" ref="D137:D200" si="6">(C137-C138)/C138</f>
        <v>2.099164898161674</v>
      </c>
      <c r="E137" s="16">
        <v>3.6855693868142025E-2</v>
      </c>
    </row>
    <row r="138" spans="2:5" x14ac:dyDescent="0.35">
      <c r="B138" s="206">
        <v>42736</v>
      </c>
      <c r="C138" s="207">
        <v>725.66</v>
      </c>
      <c r="D138" s="208">
        <f t="shared" si="6"/>
        <v>-0.3380464131941911</v>
      </c>
      <c r="E138" s="16">
        <v>3.514878320162048E-2</v>
      </c>
    </row>
    <row r="139" spans="2:5" x14ac:dyDescent="0.35">
      <c r="B139" s="206">
        <v>43040</v>
      </c>
      <c r="C139" s="207">
        <v>1096.24</v>
      </c>
      <c r="D139" s="208">
        <f t="shared" si="6"/>
        <v>5.2169795270231942</v>
      </c>
      <c r="E139" s="16">
        <v>3.4979559852339949E-2</v>
      </c>
    </row>
    <row r="140" spans="2:5" x14ac:dyDescent="0.35">
      <c r="B140" s="206">
        <v>39417</v>
      </c>
      <c r="C140" s="207">
        <v>176.33</v>
      </c>
      <c r="D140" s="208">
        <f t="shared" si="6"/>
        <v>-0.90831665150136487</v>
      </c>
      <c r="E140" s="16">
        <v>3.3587338804220504E-2</v>
      </c>
    </row>
    <row r="141" spans="2:5" x14ac:dyDescent="0.35">
      <c r="B141" s="206">
        <v>44136</v>
      </c>
      <c r="C141" s="207">
        <v>1923.25</v>
      </c>
      <c r="D141" s="208">
        <f t="shared" si="6"/>
        <v>-0.19638566802465268</v>
      </c>
      <c r="E141" s="16">
        <v>3.2301523828949026E-2</v>
      </c>
    </row>
    <row r="142" spans="2:5" x14ac:dyDescent="0.35">
      <c r="B142" s="206">
        <v>45231</v>
      </c>
      <c r="C142" s="207">
        <v>2393.25</v>
      </c>
      <c r="D142" s="208">
        <f t="shared" si="6"/>
        <v>0.10338865836791147</v>
      </c>
      <c r="E142" s="16">
        <v>3.2294101915993016E-2</v>
      </c>
    </row>
    <row r="143" spans="2:5" x14ac:dyDescent="0.35">
      <c r="B143" s="206">
        <v>45717</v>
      </c>
      <c r="C143" s="207">
        <v>2169</v>
      </c>
      <c r="D143" s="208">
        <f t="shared" si="6"/>
        <v>3.1628281897742978</v>
      </c>
      <c r="E143" s="16">
        <v>3.1319984974775637E-2</v>
      </c>
    </row>
    <row r="144" spans="2:5" x14ac:dyDescent="0.35">
      <c r="B144" s="206">
        <v>41487</v>
      </c>
      <c r="C144" s="207">
        <v>521.04</v>
      </c>
      <c r="D144" s="208">
        <f t="shared" si="6"/>
        <v>6.401136363636363</v>
      </c>
      <c r="E144" s="16">
        <v>3.086419753086413E-2</v>
      </c>
    </row>
    <row r="145" spans="2:5" x14ac:dyDescent="0.35">
      <c r="B145" s="206">
        <v>35247</v>
      </c>
      <c r="C145" s="207">
        <v>70.400000000000006</v>
      </c>
      <c r="D145" s="208">
        <f t="shared" si="6"/>
        <v>-0.81744158908798592</v>
      </c>
      <c r="E145" s="16">
        <v>3.0746705710102615E-2</v>
      </c>
    </row>
    <row r="146" spans="2:5" x14ac:dyDescent="0.35">
      <c r="B146" s="206">
        <v>41091</v>
      </c>
      <c r="C146" s="207">
        <v>385.63</v>
      </c>
      <c r="D146" s="208">
        <f t="shared" si="6"/>
        <v>-0.24663983746190513</v>
      </c>
      <c r="E146" s="16">
        <v>2.8264405514225592E-2</v>
      </c>
    </row>
    <row r="147" spans="2:5" x14ac:dyDescent="0.35">
      <c r="B147" s="206">
        <v>41791</v>
      </c>
      <c r="C147" s="207">
        <v>511.88</v>
      </c>
      <c r="D147" s="208">
        <f t="shared" si="6"/>
        <v>-0.66871824741934438</v>
      </c>
      <c r="E147" s="16">
        <v>2.8181179070000947E-2</v>
      </c>
    </row>
    <row r="148" spans="2:5" x14ac:dyDescent="0.35">
      <c r="B148" s="206">
        <v>43313</v>
      </c>
      <c r="C148" s="207">
        <v>1545.15</v>
      </c>
      <c r="D148" s="208">
        <f t="shared" si="6"/>
        <v>6.4236091092533885</v>
      </c>
      <c r="E148" s="16">
        <v>2.7975517264320526E-2</v>
      </c>
    </row>
    <row r="149" spans="2:5" x14ac:dyDescent="0.35">
      <c r="B149" s="206">
        <v>39692</v>
      </c>
      <c r="C149" s="207">
        <v>208.14</v>
      </c>
      <c r="D149" s="208">
        <f t="shared" si="6"/>
        <v>-0.92106400891983531</v>
      </c>
      <c r="E149" s="16">
        <v>2.7902612474689996E-2</v>
      </c>
    </row>
    <row r="150" spans="2:5" x14ac:dyDescent="0.35">
      <c r="B150" s="206">
        <v>45505</v>
      </c>
      <c r="C150" s="207">
        <v>2636.82</v>
      </c>
      <c r="D150" s="208">
        <f t="shared" si="6"/>
        <v>2.3977012086694334</v>
      </c>
      <c r="E150" s="16">
        <v>2.6739092342737018E-2</v>
      </c>
    </row>
    <row r="151" spans="2:5" x14ac:dyDescent="0.35">
      <c r="B151" s="206">
        <v>42552</v>
      </c>
      <c r="C151" s="207">
        <v>776.06</v>
      </c>
      <c r="D151" s="208">
        <f t="shared" si="6"/>
        <v>-0.45522063262526852</v>
      </c>
      <c r="E151" s="16">
        <v>2.6697359369211977E-2</v>
      </c>
    </row>
    <row r="152" spans="2:5" x14ac:dyDescent="0.35">
      <c r="B152" s="206">
        <v>43252</v>
      </c>
      <c r="C152" s="207">
        <v>1424.54</v>
      </c>
      <c r="D152" s="208">
        <f t="shared" si="6"/>
        <v>3.2376844359828647</v>
      </c>
      <c r="E152" s="16">
        <v>2.6111259174956242E-2</v>
      </c>
    </row>
    <row r="153" spans="2:5" x14ac:dyDescent="0.35">
      <c r="B153" s="206">
        <v>40878</v>
      </c>
      <c r="C153" s="207">
        <v>336.16</v>
      </c>
      <c r="D153" s="208">
        <f t="shared" si="6"/>
        <v>-0.57616562019315631</v>
      </c>
      <c r="E153" s="16">
        <v>2.5784992829025803E-2</v>
      </c>
    </row>
    <row r="154" spans="2:5" x14ac:dyDescent="0.35">
      <c r="B154" s="206">
        <v>42826</v>
      </c>
      <c r="C154" s="207">
        <v>793.14</v>
      </c>
      <c r="D154" s="208">
        <f t="shared" si="6"/>
        <v>1.2458375806999658</v>
      </c>
      <c r="E154" s="16">
        <v>2.5444108292607178E-2</v>
      </c>
    </row>
    <row r="155" spans="2:5" x14ac:dyDescent="0.35">
      <c r="B155" s="206">
        <v>41030</v>
      </c>
      <c r="C155" s="207">
        <v>353.16</v>
      </c>
      <c r="D155" s="208">
        <f t="shared" si="6"/>
        <v>-0.84966221249749907</v>
      </c>
      <c r="E155" s="16">
        <v>2.4899878112484883E-2</v>
      </c>
    </row>
    <row r="156" spans="2:5" x14ac:dyDescent="0.35">
      <c r="B156" s="206">
        <v>46023</v>
      </c>
      <c r="C156" s="207">
        <v>2349.11</v>
      </c>
      <c r="D156" s="208">
        <f t="shared" si="6"/>
        <v>10.601116104498987</v>
      </c>
      <c r="E156" s="16">
        <v>2.4657809105898248E-2</v>
      </c>
    </row>
    <row r="157" spans="2:5" x14ac:dyDescent="0.35">
      <c r="B157" s="206">
        <v>39661</v>
      </c>
      <c r="C157" s="207">
        <v>202.49</v>
      </c>
      <c r="D157" s="208">
        <f t="shared" si="6"/>
        <v>0.37673375033995099</v>
      </c>
      <c r="E157" s="16">
        <v>2.3969658659924193E-2</v>
      </c>
    </row>
    <row r="158" spans="2:5" x14ac:dyDescent="0.35">
      <c r="B158" s="206">
        <v>37926</v>
      </c>
      <c r="C158" s="207">
        <v>147.08000000000001</v>
      </c>
      <c r="D158" s="208">
        <f t="shared" si="6"/>
        <v>-0.84083629123019643</v>
      </c>
      <c r="E158" s="16">
        <v>2.2382872236896972E-2</v>
      </c>
    </row>
    <row r="159" spans="2:5" x14ac:dyDescent="0.35">
      <c r="B159" s="206">
        <v>42887</v>
      </c>
      <c r="C159" s="207">
        <v>924.08</v>
      </c>
      <c r="D159" s="208">
        <f t="shared" si="6"/>
        <v>4.5060477864505746</v>
      </c>
      <c r="E159" s="16">
        <v>2.0902381899332797E-2</v>
      </c>
    </row>
    <row r="160" spans="2:5" x14ac:dyDescent="0.35">
      <c r="B160" s="206">
        <v>39203</v>
      </c>
      <c r="C160" s="207">
        <v>167.83</v>
      </c>
      <c r="D160" s="208">
        <f t="shared" si="6"/>
        <v>-0.51294329328457822</v>
      </c>
      <c r="E160" s="16">
        <v>2.0553359683794611E-2</v>
      </c>
    </row>
    <row r="161" spans="2:5" x14ac:dyDescent="0.35">
      <c r="B161" s="206">
        <v>41000</v>
      </c>
      <c r="C161" s="207">
        <v>344.58</v>
      </c>
      <c r="D161" s="208">
        <f t="shared" si="6"/>
        <v>-0.83983378188055169</v>
      </c>
      <c r="E161" s="16">
        <v>1.8412886064725759E-2</v>
      </c>
    </row>
    <row r="162" spans="2:5" x14ac:dyDescent="0.35">
      <c r="B162" s="206">
        <v>44531</v>
      </c>
      <c r="C162" s="207">
        <v>2151.39</v>
      </c>
      <c r="D162" s="208">
        <f t="shared" si="6"/>
        <v>8.0814267623469807</v>
      </c>
      <c r="E162" s="16">
        <v>1.8380543037830845E-2</v>
      </c>
    </row>
    <row r="163" spans="2:5" x14ac:dyDescent="0.35">
      <c r="B163" s="206">
        <v>40603</v>
      </c>
      <c r="C163" s="207">
        <v>236.9</v>
      </c>
      <c r="D163" s="208">
        <f t="shared" si="6"/>
        <v>-0.88004820350791912</v>
      </c>
      <c r="E163" s="16">
        <v>1.809274141561738E-2</v>
      </c>
    </row>
    <row r="164" spans="2:5" x14ac:dyDescent="0.35">
      <c r="B164" s="206">
        <v>44013</v>
      </c>
      <c r="C164" s="207">
        <v>1974.96</v>
      </c>
      <c r="D164" s="208">
        <f t="shared" si="6"/>
        <v>0.26493777661066675</v>
      </c>
      <c r="E164" s="16">
        <v>1.8052104704269194E-2</v>
      </c>
    </row>
    <row r="165" spans="2:5" x14ac:dyDescent="0.35">
      <c r="B165" s="206">
        <v>43586</v>
      </c>
      <c r="C165" s="207">
        <v>1561.31</v>
      </c>
      <c r="D165" s="208">
        <f t="shared" si="6"/>
        <v>1.1806310143996424</v>
      </c>
      <c r="E165" s="16">
        <v>1.7524536958590131E-2</v>
      </c>
    </row>
    <row r="166" spans="2:5" x14ac:dyDescent="0.35">
      <c r="B166" s="206">
        <v>42675</v>
      </c>
      <c r="C166" s="207">
        <v>715.99</v>
      </c>
      <c r="D166" s="208">
        <f t="shared" si="6"/>
        <v>3.6284953395472774E-2</v>
      </c>
      <c r="E166" s="16">
        <v>1.7493747157799083E-2</v>
      </c>
    </row>
    <row r="167" spans="2:5" x14ac:dyDescent="0.35">
      <c r="B167" s="206">
        <v>42401</v>
      </c>
      <c r="C167" s="207">
        <v>690.92</v>
      </c>
      <c r="D167" s="208">
        <f t="shared" si="6"/>
        <v>4.9918480617465955</v>
      </c>
      <c r="E167" s="16">
        <v>1.6522238079124164E-2</v>
      </c>
    </row>
    <row r="168" spans="2:5" x14ac:dyDescent="0.35">
      <c r="B168" s="206">
        <v>35765</v>
      </c>
      <c r="C168" s="207">
        <v>115.31</v>
      </c>
      <c r="D168" s="208">
        <f t="shared" si="6"/>
        <v>-0.39945836154366954</v>
      </c>
      <c r="E168" s="16">
        <v>1.6484485190409067E-2</v>
      </c>
    </row>
    <row r="169" spans="2:5" x14ac:dyDescent="0.35">
      <c r="B169" s="206">
        <v>38899</v>
      </c>
      <c r="C169" s="207">
        <v>192.01</v>
      </c>
      <c r="D169" s="208">
        <f t="shared" si="6"/>
        <v>0.39633481201367177</v>
      </c>
      <c r="E169" s="16">
        <v>1.5925925925925878E-2</v>
      </c>
    </row>
    <row r="170" spans="2:5" x14ac:dyDescent="0.35">
      <c r="B170" s="206">
        <v>38534</v>
      </c>
      <c r="C170" s="207">
        <v>137.51</v>
      </c>
      <c r="D170" s="208">
        <f t="shared" si="6"/>
        <v>-0.71873593781959499</v>
      </c>
      <c r="E170" s="16">
        <v>1.5883569739952551E-2</v>
      </c>
    </row>
    <row r="171" spans="2:5" x14ac:dyDescent="0.35">
      <c r="B171" s="206">
        <v>41395</v>
      </c>
      <c r="C171" s="207">
        <v>488.9</v>
      </c>
      <c r="D171" s="208">
        <f t="shared" si="6"/>
        <v>-0.27635766196474304</v>
      </c>
      <c r="E171" s="16">
        <v>1.4904924022253487E-2</v>
      </c>
    </row>
    <row r="172" spans="2:5" x14ac:dyDescent="0.35">
      <c r="B172" s="206">
        <v>42309</v>
      </c>
      <c r="C172" s="207">
        <v>675.61</v>
      </c>
      <c r="D172" s="208">
        <f t="shared" si="6"/>
        <v>2.4180410806435297</v>
      </c>
      <c r="E172" s="16">
        <v>1.4170557065013517E-2</v>
      </c>
    </row>
    <row r="173" spans="2:5" x14ac:dyDescent="0.35">
      <c r="B173" s="206">
        <v>40238</v>
      </c>
      <c r="C173" s="207">
        <v>197.66</v>
      </c>
      <c r="D173" s="208">
        <f t="shared" si="6"/>
        <v>-0.86037903778369551</v>
      </c>
      <c r="E173" s="16">
        <v>1.4161108260646439E-2</v>
      </c>
    </row>
    <row r="174" spans="2:5" x14ac:dyDescent="0.35">
      <c r="B174" s="206">
        <v>43374</v>
      </c>
      <c r="C174" s="207">
        <v>1415.69</v>
      </c>
      <c r="D174" s="208">
        <f t="shared" si="6"/>
        <v>-0.42907438176509488</v>
      </c>
      <c r="E174" s="16">
        <v>1.4017419706042578E-2</v>
      </c>
    </row>
    <row r="175" spans="2:5" x14ac:dyDescent="0.35">
      <c r="B175" s="206">
        <v>44805</v>
      </c>
      <c r="C175" s="207">
        <v>2479.64</v>
      </c>
      <c r="D175" s="208">
        <f t="shared" si="6"/>
        <v>2.3756347250772554</v>
      </c>
      <c r="E175" s="16">
        <v>1.3761355366765E-2</v>
      </c>
    </row>
    <row r="176" spans="2:5" x14ac:dyDescent="0.35">
      <c r="B176" s="206">
        <v>42767</v>
      </c>
      <c r="C176" s="207">
        <v>734.57</v>
      </c>
      <c r="D176" s="208">
        <f t="shared" si="6"/>
        <v>-0.70612380430390576</v>
      </c>
      <c r="E176" s="16">
        <v>1.2278477523909382E-2</v>
      </c>
    </row>
    <row r="177" spans="2:5" x14ac:dyDescent="0.35">
      <c r="B177" s="206">
        <v>45078</v>
      </c>
      <c r="C177" s="207">
        <v>2499.59</v>
      </c>
      <c r="D177" s="208">
        <f t="shared" si="6"/>
        <v>9.1568061763510773</v>
      </c>
      <c r="E177" s="16">
        <v>1.2176455343548611E-2</v>
      </c>
    </row>
    <row r="178" spans="2:5" x14ac:dyDescent="0.35">
      <c r="B178" s="206">
        <v>40483</v>
      </c>
      <c r="C178" s="207">
        <v>246.1</v>
      </c>
      <c r="D178" s="208">
        <f t="shared" si="6"/>
        <v>-0.78575781318011662</v>
      </c>
      <c r="E178" s="16">
        <v>1.2049183698647065E-2</v>
      </c>
    </row>
    <row r="179" spans="2:5" x14ac:dyDescent="0.35">
      <c r="B179" s="206">
        <v>43160</v>
      </c>
      <c r="C179" s="207">
        <v>1148.7</v>
      </c>
      <c r="D179" s="208">
        <f t="shared" si="6"/>
        <v>0.61959816707789928</v>
      </c>
      <c r="E179" s="16">
        <v>1.1838697743248291E-2</v>
      </c>
    </row>
    <row r="180" spans="2:5" x14ac:dyDescent="0.35">
      <c r="B180" s="206">
        <v>42125</v>
      </c>
      <c r="C180" s="207">
        <v>709.25</v>
      </c>
      <c r="D180" s="208">
        <f t="shared" si="6"/>
        <v>4.3808512252484642</v>
      </c>
      <c r="E180" s="16">
        <v>1.0817204914060987E-2</v>
      </c>
    </row>
    <row r="181" spans="2:5" x14ac:dyDescent="0.35">
      <c r="B181" s="206">
        <v>35916</v>
      </c>
      <c r="C181" s="207">
        <v>131.81</v>
      </c>
      <c r="D181" s="208">
        <f t="shared" si="6"/>
        <v>-0.39168358870223374</v>
      </c>
      <c r="E181" s="16">
        <v>1.0193133047210397E-2</v>
      </c>
    </row>
    <row r="182" spans="2:5" x14ac:dyDescent="0.35">
      <c r="B182" s="206">
        <v>40057</v>
      </c>
      <c r="C182" s="207">
        <v>216.68</v>
      </c>
      <c r="D182" s="208">
        <f t="shared" si="6"/>
        <v>-0.91141383003949339</v>
      </c>
      <c r="E182" s="16">
        <v>1.0163170163170195E-2</v>
      </c>
    </row>
    <row r="183" spans="2:5" x14ac:dyDescent="0.35">
      <c r="B183" s="206">
        <v>44774</v>
      </c>
      <c r="C183" s="207">
        <v>2445.98</v>
      </c>
      <c r="D183" s="208">
        <f t="shared" si="6"/>
        <v>1.3999610315851431E-2</v>
      </c>
      <c r="E183" s="16">
        <v>8.5101470309316921E-3</v>
      </c>
    </row>
    <row r="184" spans="2:5" x14ac:dyDescent="0.35">
      <c r="B184" s="206">
        <v>45962</v>
      </c>
      <c r="C184" s="207">
        <v>2412.21</v>
      </c>
      <c r="D184" s="208">
        <f t="shared" si="6"/>
        <v>0.29475006306794704</v>
      </c>
      <c r="E184" s="16">
        <v>8.3098903579356155E-3</v>
      </c>
    </row>
    <row r="185" spans="2:5" x14ac:dyDescent="0.35">
      <c r="B185" s="206">
        <v>44105</v>
      </c>
      <c r="C185" s="207">
        <v>1863.07</v>
      </c>
      <c r="D185" s="208">
        <f t="shared" si="6"/>
        <v>8.6302594851648919</v>
      </c>
      <c r="E185" s="16">
        <v>7.9529531424985516E-3</v>
      </c>
    </row>
    <row r="186" spans="2:5" x14ac:dyDescent="0.35">
      <c r="B186" s="206">
        <v>38930</v>
      </c>
      <c r="C186" s="207">
        <v>193.46</v>
      </c>
      <c r="D186" s="208">
        <f t="shared" si="6"/>
        <v>0.12555271119385625</v>
      </c>
      <c r="E186" s="16">
        <v>7.5516900161450816E-3</v>
      </c>
    </row>
    <row r="187" spans="2:5" x14ac:dyDescent="0.35">
      <c r="B187" s="206">
        <v>39295</v>
      </c>
      <c r="C187" s="207">
        <v>171.88</v>
      </c>
      <c r="D187" s="208">
        <f t="shared" si="6"/>
        <v>0.87600960488976187</v>
      </c>
      <c r="E187" s="16">
        <v>7.5029308323563961E-3</v>
      </c>
    </row>
    <row r="188" spans="2:5" x14ac:dyDescent="0.35">
      <c r="B188" s="206">
        <v>35551</v>
      </c>
      <c r="C188" s="207">
        <v>91.62</v>
      </c>
      <c r="D188" s="208">
        <f t="shared" si="6"/>
        <v>-0.96048102554369863</v>
      </c>
      <c r="E188" s="16">
        <v>7.477457664394181E-3</v>
      </c>
    </row>
    <row r="189" spans="2:5" x14ac:dyDescent="0.35">
      <c r="B189" s="206">
        <v>45200</v>
      </c>
      <c r="C189" s="207">
        <v>2318.38</v>
      </c>
      <c r="D189" s="208">
        <f t="shared" si="6"/>
        <v>0.47498409466853303</v>
      </c>
      <c r="E189" s="16">
        <v>7.4612921028502713E-3</v>
      </c>
    </row>
    <row r="190" spans="2:5" x14ac:dyDescent="0.35">
      <c r="B190" s="206">
        <v>43617</v>
      </c>
      <c r="C190" s="207">
        <v>1571.8</v>
      </c>
      <c r="D190" s="208">
        <f t="shared" si="6"/>
        <v>7.0991394857525636</v>
      </c>
      <c r="E190" s="16">
        <v>6.71871697484805E-3</v>
      </c>
    </row>
    <row r="191" spans="2:5" x14ac:dyDescent="0.35">
      <c r="B191" s="206">
        <v>39022</v>
      </c>
      <c r="C191" s="207">
        <v>194.07</v>
      </c>
      <c r="D191" s="208">
        <f t="shared" si="6"/>
        <v>-0.91864462200162644</v>
      </c>
      <c r="E191" s="16">
        <v>6.5871369294604864E-3</v>
      </c>
    </row>
    <row r="192" spans="2:5" x14ac:dyDescent="0.35">
      <c r="B192" s="206">
        <v>44927</v>
      </c>
      <c r="C192" s="207">
        <v>2385.46</v>
      </c>
      <c r="D192" s="208">
        <f t="shared" si="6"/>
        <v>9.1366591594781799</v>
      </c>
      <c r="E192" s="16">
        <v>6.1283968738006607E-3</v>
      </c>
    </row>
    <row r="193" spans="2:5" x14ac:dyDescent="0.35">
      <c r="B193" s="206">
        <v>40118</v>
      </c>
      <c r="C193" s="207">
        <v>235.33</v>
      </c>
      <c r="D193" s="208">
        <f t="shared" si="6"/>
        <v>0.2465172943482177</v>
      </c>
      <c r="E193" s="16">
        <v>5.9846962766639837E-3</v>
      </c>
    </row>
    <row r="194" spans="2:5" x14ac:dyDescent="0.35">
      <c r="B194" s="206">
        <v>39508</v>
      </c>
      <c r="C194" s="207">
        <v>188.79</v>
      </c>
      <c r="D194" s="208">
        <f t="shared" si="6"/>
        <v>-0.75175215979171328</v>
      </c>
      <c r="E194" s="16">
        <v>5.6999786916684062E-3</v>
      </c>
    </row>
    <row r="195" spans="2:5" x14ac:dyDescent="0.35">
      <c r="B195" s="206">
        <v>42186</v>
      </c>
      <c r="C195" s="207">
        <v>760.49</v>
      </c>
      <c r="D195" s="208">
        <f t="shared" si="6"/>
        <v>0.23544414841770109</v>
      </c>
      <c r="E195" s="16">
        <v>5.3939001335255232E-3</v>
      </c>
    </row>
    <row r="196" spans="2:5" x14ac:dyDescent="0.35">
      <c r="B196" s="206">
        <v>41883</v>
      </c>
      <c r="C196" s="207">
        <v>615.55999999999995</v>
      </c>
      <c r="D196" s="208">
        <f t="shared" si="6"/>
        <v>0.96213183730715257</v>
      </c>
      <c r="E196" s="16">
        <v>4.7826583745489938E-3</v>
      </c>
    </row>
    <row r="197" spans="2:5" x14ac:dyDescent="0.35">
      <c r="B197" s="206">
        <v>40940</v>
      </c>
      <c r="C197" s="207">
        <v>313.72000000000003</v>
      </c>
      <c r="D197" s="208">
        <f t="shared" si="6"/>
        <v>-0.86087126201278108</v>
      </c>
      <c r="E197" s="16">
        <v>3.293997249672294E-3</v>
      </c>
    </row>
    <row r="198" spans="2:5" x14ac:dyDescent="0.35">
      <c r="B198" s="206">
        <v>45778</v>
      </c>
      <c r="C198" s="207">
        <v>2254.89</v>
      </c>
      <c r="D198" s="208">
        <f t="shared" si="6"/>
        <v>33.305340027384752</v>
      </c>
      <c r="E198" s="16">
        <v>2.6456908588045115E-3</v>
      </c>
    </row>
    <row r="199" spans="2:5" x14ac:dyDescent="0.35">
      <c r="B199" s="206">
        <v>35370</v>
      </c>
      <c r="C199" s="207">
        <v>65.73</v>
      </c>
      <c r="D199" s="208">
        <f t="shared" si="6"/>
        <v>-0.61498359887535148</v>
      </c>
      <c r="E199" s="16">
        <v>2.1344717182497416E-3</v>
      </c>
    </row>
    <row r="200" spans="2:5" x14ac:dyDescent="0.35">
      <c r="B200" s="206">
        <v>36892</v>
      </c>
      <c r="C200" s="207">
        <v>170.72</v>
      </c>
      <c r="D200" s="208">
        <f t="shared" si="6"/>
        <v>-0.62148020043457042</v>
      </c>
      <c r="E200" s="16">
        <v>1.7015783606172154E-3</v>
      </c>
    </row>
    <row r="201" spans="2:5" x14ac:dyDescent="0.35">
      <c r="B201" s="206">
        <v>41183</v>
      </c>
      <c r="C201" s="207">
        <v>451.02</v>
      </c>
      <c r="D201" s="208">
        <f t="shared" ref="D201:D264" si="7">(C201-C202)/C202</f>
        <v>-0.61768894313904998</v>
      </c>
      <c r="E201" s="16">
        <v>1.3765541740675057E-3</v>
      </c>
    </row>
    <row r="202" spans="2:5" x14ac:dyDescent="0.35">
      <c r="B202" s="206">
        <v>43101</v>
      </c>
      <c r="C202" s="207">
        <v>1179.72</v>
      </c>
      <c r="D202" s="208">
        <f t="shared" si="7"/>
        <v>4.9620963258705206</v>
      </c>
      <c r="E202" s="16">
        <v>1.1031720439231806E-3</v>
      </c>
    </row>
    <row r="203" spans="2:5" x14ac:dyDescent="0.35">
      <c r="B203" s="206">
        <v>40269</v>
      </c>
      <c r="C203" s="207">
        <v>197.87</v>
      </c>
      <c r="D203" s="208">
        <f t="shared" si="7"/>
        <v>2.0464973056197078</v>
      </c>
      <c r="E203" s="16">
        <v>1.0624304361024383E-3</v>
      </c>
    </row>
    <row r="204" spans="2:5" x14ac:dyDescent="0.35">
      <c r="B204" s="206">
        <v>35186</v>
      </c>
      <c r="C204" s="207">
        <v>64.95</v>
      </c>
      <c r="D204" s="208">
        <f t="shared" si="7"/>
        <v>-0.41407307171853852</v>
      </c>
      <c r="E204" s="16">
        <v>4.6210720887247591E-4</v>
      </c>
    </row>
    <row r="205" spans="2:5" x14ac:dyDescent="0.35">
      <c r="B205" s="206">
        <v>35674</v>
      </c>
      <c r="C205" s="207">
        <v>110.85</v>
      </c>
      <c r="D205" s="208">
        <f t="shared" si="7"/>
        <v>-0.76435950852429757</v>
      </c>
      <c r="E205" s="16">
        <v>-3.6071782847872896E-4</v>
      </c>
    </row>
    <row r="206" spans="2:5" x14ac:dyDescent="0.35">
      <c r="B206" s="206">
        <v>41640</v>
      </c>
      <c r="C206" s="207">
        <v>470.42</v>
      </c>
      <c r="D206" s="208">
        <f t="shared" si="7"/>
        <v>-0.8037348864764734</v>
      </c>
      <c r="E206" s="16">
        <v>-9.5567778792445609E-4</v>
      </c>
    </row>
    <row r="207" spans="2:5" x14ac:dyDescent="0.35">
      <c r="B207" s="206">
        <v>45597</v>
      </c>
      <c r="C207" s="207">
        <v>2396.86</v>
      </c>
      <c r="D207" s="208">
        <f t="shared" si="7"/>
        <v>13.049589683470106</v>
      </c>
      <c r="E207" s="16">
        <v>-1.2084541787512463E-3</v>
      </c>
    </row>
    <row r="208" spans="2:5" x14ac:dyDescent="0.35">
      <c r="B208" s="206">
        <v>39387</v>
      </c>
      <c r="C208" s="207">
        <v>170.6</v>
      </c>
      <c r="D208" s="208">
        <f t="shared" si="7"/>
        <v>-0.76375117708968032</v>
      </c>
      <c r="E208" s="16">
        <v>-1.463271875914545E-3</v>
      </c>
    </row>
    <row r="209" spans="2:5" x14ac:dyDescent="0.35">
      <c r="B209" s="206">
        <v>42461</v>
      </c>
      <c r="C209" s="207">
        <v>722.12</v>
      </c>
      <c r="D209" s="208">
        <f t="shared" si="7"/>
        <v>11.394782011671817</v>
      </c>
      <c r="E209" s="16">
        <v>-1.8384131591679326E-3</v>
      </c>
    </row>
    <row r="210" spans="2:5" x14ac:dyDescent="0.35">
      <c r="B210" s="206">
        <v>35125</v>
      </c>
      <c r="C210" s="207">
        <v>58.26</v>
      </c>
      <c r="D210" s="208">
        <f t="shared" si="7"/>
        <v>-0.43425907943289965</v>
      </c>
      <c r="E210" s="16">
        <v>-4.6130189646335744E-3</v>
      </c>
    </row>
    <row r="211" spans="2:5" x14ac:dyDescent="0.35">
      <c r="B211" s="206">
        <v>38261</v>
      </c>
      <c r="C211" s="207">
        <v>102.98</v>
      </c>
      <c r="D211" s="208">
        <f t="shared" si="7"/>
        <v>-0.95107396867175653</v>
      </c>
      <c r="E211" s="16">
        <v>-4.7356721755097602E-3</v>
      </c>
    </row>
    <row r="212" spans="2:5" x14ac:dyDescent="0.35">
      <c r="B212" s="206">
        <v>44317</v>
      </c>
      <c r="C212" s="207">
        <v>2104.81</v>
      </c>
      <c r="D212" s="208">
        <f t="shared" si="7"/>
        <v>1.7284169864150158</v>
      </c>
      <c r="E212" s="16">
        <v>-5.8191986321105282E-3</v>
      </c>
    </row>
    <row r="213" spans="2:5" x14ac:dyDescent="0.35">
      <c r="B213" s="206">
        <v>42583</v>
      </c>
      <c r="C213" s="207">
        <v>771.44</v>
      </c>
      <c r="D213" s="208">
        <f t="shared" si="7"/>
        <v>2.8987213827260323</v>
      </c>
      <c r="E213" s="16">
        <v>-5.9531479524777614E-3</v>
      </c>
    </row>
    <row r="214" spans="2:5" x14ac:dyDescent="0.35">
      <c r="B214" s="206">
        <v>36617</v>
      </c>
      <c r="C214" s="207">
        <v>197.87</v>
      </c>
      <c r="D214" s="208">
        <f t="shared" si="7"/>
        <v>2.0287769784172665</v>
      </c>
      <c r="E214" s="16">
        <v>-5.9780970561639588E-3</v>
      </c>
    </row>
    <row r="215" spans="2:5" x14ac:dyDescent="0.35">
      <c r="B215" s="206">
        <v>35400</v>
      </c>
      <c r="C215" s="207">
        <v>65.33</v>
      </c>
      <c r="D215" s="208">
        <f t="shared" si="7"/>
        <v>-0.87381697377061851</v>
      </c>
      <c r="E215" s="16">
        <v>-6.0855012931691106E-3</v>
      </c>
    </row>
    <row r="216" spans="2:5" x14ac:dyDescent="0.35">
      <c r="B216" s="206">
        <v>41518</v>
      </c>
      <c r="C216" s="207">
        <v>517.74</v>
      </c>
      <c r="D216" s="208">
        <f t="shared" si="7"/>
        <v>-0.75557548862241519</v>
      </c>
      <c r="E216" s="16">
        <v>-6.3334868724089412E-3</v>
      </c>
    </row>
    <row r="217" spans="2:5" x14ac:dyDescent="0.35">
      <c r="B217" s="206">
        <v>46174</v>
      </c>
      <c r="C217" s="207">
        <v>2118.1999999999998</v>
      </c>
      <c r="D217" s="208">
        <f t="shared" si="7"/>
        <v>8.0009773509539794</v>
      </c>
      <c r="E217" s="16">
        <v>-6.3889071309962122E-3</v>
      </c>
    </row>
    <row r="218" spans="2:5" x14ac:dyDescent="0.35">
      <c r="B218" s="206">
        <v>40634</v>
      </c>
      <c r="C218" s="207">
        <v>235.33</v>
      </c>
      <c r="D218" s="208">
        <f t="shared" si="7"/>
        <v>0.72327182190978334</v>
      </c>
      <c r="E218" s="16">
        <v>-6.6272688898269027E-3</v>
      </c>
    </row>
    <row r="219" spans="2:5" x14ac:dyDescent="0.35">
      <c r="B219" s="206">
        <v>38565</v>
      </c>
      <c r="C219" s="207">
        <v>136.56</v>
      </c>
      <c r="D219" s="208">
        <f t="shared" si="7"/>
        <v>4.6597179644390044E-2</v>
      </c>
      <c r="E219" s="16">
        <v>-6.9085884662932785E-3</v>
      </c>
    </row>
    <row r="220" spans="2:5" x14ac:dyDescent="0.35">
      <c r="B220" s="206">
        <v>35886</v>
      </c>
      <c r="C220" s="207">
        <v>130.47999999999999</v>
      </c>
      <c r="D220" s="208">
        <f t="shared" si="7"/>
        <v>-0.33823603996551199</v>
      </c>
      <c r="E220" s="16">
        <v>-7.0015220700153412E-3</v>
      </c>
    </row>
    <row r="221" spans="2:5" x14ac:dyDescent="0.35">
      <c r="B221" s="206">
        <v>36739</v>
      </c>
      <c r="C221" s="207">
        <v>197.17</v>
      </c>
      <c r="D221" s="208">
        <f t="shared" si="7"/>
        <v>-0.90616761052681671</v>
      </c>
      <c r="E221" s="16">
        <v>-7.4502894538133304E-3</v>
      </c>
    </row>
    <row r="222" spans="2:5" x14ac:dyDescent="0.35">
      <c r="B222" s="206">
        <v>46204</v>
      </c>
      <c r="C222" s="207">
        <v>2101.3000000000002</v>
      </c>
      <c r="D222" s="208">
        <f t="shared" si="7"/>
        <v>-0.14154866858949741</v>
      </c>
      <c r="E222" s="16">
        <v>-7.9784722877913501E-3</v>
      </c>
    </row>
    <row r="223" spans="2:5" x14ac:dyDescent="0.35">
      <c r="B223" s="206">
        <v>44440</v>
      </c>
      <c r="C223" s="207">
        <v>2447.7800000000002</v>
      </c>
      <c r="D223" s="208">
        <f t="shared" si="7"/>
        <v>19.686047494295618</v>
      </c>
      <c r="E223" s="16">
        <v>-8.1848313195406024E-3</v>
      </c>
    </row>
    <row r="224" spans="2:5" x14ac:dyDescent="0.35">
      <c r="B224" s="206">
        <v>38322</v>
      </c>
      <c r="C224" s="207">
        <v>118.33</v>
      </c>
      <c r="D224" s="208">
        <f t="shared" si="7"/>
        <v>4.3286369037515288E-3</v>
      </c>
      <c r="E224" s="16">
        <v>-8.2970164264163163E-3</v>
      </c>
    </row>
    <row r="225" spans="2:5" x14ac:dyDescent="0.35">
      <c r="B225" s="206">
        <v>35612</v>
      </c>
      <c r="C225" s="207">
        <v>117.82</v>
      </c>
      <c r="D225" s="208">
        <f t="shared" si="7"/>
        <v>-0.82313823798730046</v>
      </c>
      <c r="E225" s="16">
        <v>-9.0832632464256727E-3</v>
      </c>
    </row>
    <row r="226" spans="2:5" x14ac:dyDescent="0.35">
      <c r="B226" s="206">
        <v>42278</v>
      </c>
      <c r="C226" s="207">
        <v>666.17</v>
      </c>
      <c r="D226" s="208">
        <f t="shared" si="7"/>
        <v>2.6906925207756229</v>
      </c>
      <c r="E226" s="16">
        <v>-9.1032143866486264E-3</v>
      </c>
    </row>
    <row r="227" spans="2:5" x14ac:dyDescent="0.35">
      <c r="B227" s="206">
        <v>37104</v>
      </c>
      <c r="C227" s="207">
        <v>180.5</v>
      </c>
      <c r="D227" s="208">
        <f t="shared" si="7"/>
        <v>0.1203525541555458</v>
      </c>
      <c r="E227" s="16">
        <v>-9.2760305175915124E-3</v>
      </c>
    </row>
    <row r="228" spans="2:5" x14ac:dyDescent="0.35">
      <c r="B228" s="206">
        <v>38718</v>
      </c>
      <c r="C228" s="207">
        <v>161.11000000000001</v>
      </c>
      <c r="D228" s="208">
        <f t="shared" si="7"/>
        <v>6.2590687244426915E-2</v>
      </c>
      <c r="E228" s="16">
        <v>-9.8942969518189851E-3</v>
      </c>
    </row>
    <row r="229" spans="2:5" x14ac:dyDescent="0.35">
      <c r="B229" s="206">
        <v>37865</v>
      </c>
      <c r="C229" s="207">
        <v>151.62</v>
      </c>
      <c r="D229" s="208">
        <f t="shared" si="7"/>
        <v>0.15388127853881278</v>
      </c>
      <c r="E229" s="16">
        <v>-9.9902056807051973E-3</v>
      </c>
    </row>
    <row r="230" spans="2:5" x14ac:dyDescent="0.35">
      <c r="B230" s="206">
        <v>36100</v>
      </c>
      <c r="C230" s="207">
        <v>131.4</v>
      </c>
      <c r="D230" s="208">
        <f t="shared" si="7"/>
        <v>-0.78432144967500494</v>
      </c>
      <c r="E230" s="16">
        <v>-1.0244049412473526E-2</v>
      </c>
    </row>
    <row r="231" spans="2:5" x14ac:dyDescent="0.35">
      <c r="B231" s="206">
        <v>41913</v>
      </c>
      <c r="C231" s="207">
        <v>609.24</v>
      </c>
      <c r="D231" s="208">
        <f t="shared" si="7"/>
        <v>3.3598110777157575</v>
      </c>
      <c r="E231" s="16">
        <v>-1.0267073883942974E-2</v>
      </c>
    </row>
    <row r="232" spans="2:5" x14ac:dyDescent="0.35">
      <c r="B232" s="206">
        <v>37653</v>
      </c>
      <c r="C232" s="207">
        <v>139.74</v>
      </c>
      <c r="D232" s="208">
        <f t="shared" si="7"/>
        <v>0.81339216195172603</v>
      </c>
      <c r="E232" s="16">
        <v>-1.0480101968559622E-2</v>
      </c>
    </row>
    <row r="233" spans="2:5" x14ac:dyDescent="0.35">
      <c r="B233" s="206">
        <v>35490</v>
      </c>
      <c r="C233" s="207">
        <v>77.06</v>
      </c>
      <c r="D233" s="208">
        <f t="shared" si="7"/>
        <v>-0.6062742693643981</v>
      </c>
      <c r="E233" s="16">
        <v>-1.0656053408653207E-2</v>
      </c>
    </row>
    <row r="234" spans="2:5" x14ac:dyDescent="0.35">
      <c r="B234" s="206">
        <v>40299</v>
      </c>
      <c r="C234" s="207">
        <v>195.72</v>
      </c>
      <c r="D234" s="208">
        <f t="shared" si="7"/>
        <v>7.5739254699351444E-2</v>
      </c>
      <c r="E234" s="16">
        <v>-1.0865719917117328E-2</v>
      </c>
    </row>
    <row r="235" spans="2:5" x14ac:dyDescent="0.35">
      <c r="B235" s="206">
        <v>37257</v>
      </c>
      <c r="C235" s="207">
        <v>181.94</v>
      </c>
      <c r="D235" s="208">
        <f t="shared" si="7"/>
        <v>-0.31182388985551102</v>
      </c>
      <c r="E235" s="16">
        <v>-1.1034407783877813E-2</v>
      </c>
    </row>
    <row r="236" spans="2:5" x14ac:dyDescent="0.35">
      <c r="B236" s="206">
        <v>40756</v>
      </c>
      <c r="C236" s="207">
        <v>264.38</v>
      </c>
      <c r="D236" s="208">
        <f t="shared" si="7"/>
        <v>0.36489416623644816</v>
      </c>
      <c r="E236" s="16">
        <v>-1.1109033102674498E-2</v>
      </c>
    </row>
    <row r="237" spans="2:5" x14ac:dyDescent="0.35">
      <c r="B237" s="206">
        <v>39904</v>
      </c>
      <c r="C237" s="207">
        <v>193.7</v>
      </c>
      <c r="D237" s="208">
        <f t="shared" si="7"/>
        <v>1.7838459327392928</v>
      </c>
      <c r="E237" s="16">
        <v>-1.1583405623309742E-2</v>
      </c>
    </row>
    <row r="238" spans="2:5" x14ac:dyDescent="0.35">
      <c r="B238" s="206">
        <v>35278</v>
      </c>
      <c r="C238" s="207">
        <v>69.58</v>
      </c>
      <c r="D238" s="208">
        <f t="shared" si="7"/>
        <v>-0.85589130749953402</v>
      </c>
      <c r="E238" s="16">
        <v>-1.1647727272727377E-2</v>
      </c>
    </row>
    <row r="239" spans="2:5" x14ac:dyDescent="0.35">
      <c r="B239" s="206">
        <v>41426</v>
      </c>
      <c r="C239" s="207">
        <v>482.83</v>
      </c>
      <c r="D239" s="208">
        <f t="shared" si="7"/>
        <v>-0.78314394790029196</v>
      </c>
      <c r="E239" s="16">
        <v>-1.2415626917570042E-2</v>
      </c>
    </row>
    <row r="240" spans="2:5" x14ac:dyDescent="0.35">
      <c r="B240" s="206">
        <v>45809</v>
      </c>
      <c r="C240" s="207">
        <v>2226.5</v>
      </c>
      <c r="D240" s="208">
        <f t="shared" si="7"/>
        <v>10.789155988562955</v>
      </c>
      <c r="E240" s="16">
        <v>-1.2590414610025268E-2</v>
      </c>
    </row>
    <row r="241" spans="2:5" x14ac:dyDescent="0.35">
      <c r="B241" s="206">
        <v>36465</v>
      </c>
      <c r="C241" s="207">
        <v>188.86</v>
      </c>
      <c r="D241" s="208">
        <f t="shared" si="7"/>
        <v>-0.918403497857044</v>
      </c>
      <c r="E241" s="16">
        <v>-1.3219081456711286E-2</v>
      </c>
    </row>
    <row r="242" spans="2:5" x14ac:dyDescent="0.35">
      <c r="B242" s="206">
        <v>46054</v>
      </c>
      <c r="C242" s="207">
        <v>2314.56</v>
      </c>
      <c r="D242" s="208">
        <f t="shared" si="7"/>
        <v>0.10374821173104433</v>
      </c>
      <c r="E242" s="16">
        <v>-1.4707697808957511E-2</v>
      </c>
    </row>
    <row r="243" spans="2:5" x14ac:dyDescent="0.35">
      <c r="B243" s="206">
        <v>45383</v>
      </c>
      <c r="C243" s="207">
        <v>2097</v>
      </c>
      <c r="D243" s="208">
        <f t="shared" si="7"/>
        <v>1.9092674805771368</v>
      </c>
      <c r="E243" s="16">
        <v>-1.4975010334072426E-2</v>
      </c>
    </row>
    <row r="244" spans="2:5" x14ac:dyDescent="0.35">
      <c r="B244" s="206">
        <v>42064</v>
      </c>
      <c r="C244" s="207">
        <v>720.8</v>
      </c>
      <c r="D244" s="208">
        <f t="shared" si="7"/>
        <v>0.62338686065629145</v>
      </c>
      <c r="E244" s="16">
        <v>-1.5340901329180524E-2</v>
      </c>
    </row>
    <row r="245" spans="2:5" x14ac:dyDescent="0.35">
      <c r="B245" s="206">
        <v>41214</v>
      </c>
      <c r="C245" s="207">
        <v>444.01</v>
      </c>
      <c r="D245" s="208">
        <f t="shared" si="7"/>
        <v>-0.80705368045506498</v>
      </c>
      <c r="E245" s="16">
        <v>-1.5542548002305865E-2</v>
      </c>
    </row>
    <row r="246" spans="2:5" x14ac:dyDescent="0.35">
      <c r="B246" s="206">
        <v>45170</v>
      </c>
      <c r="C246" s="207">
        <v>2301.21</v>
      </c>
      <c r="D246" s="208">
        <f t="shared" si="7"/>
        <v>11.083648393194707</v>
      </c>
      <c r="E246" s="16">
        <v>-1.5748300920005374E-2</v>
      </c>
    </row>
    <row r="247" spans="2:5" x14ac:dyDescent="0.35">
      <c r="B247" s="206">
        <v>39934</v>
      </c>
      <c r="C247" s="207">
        <v>190.44</v>
      </c>
      <c r="D247" s="208">
        <f t="shared" si="7"/>
        <v>-0.8740934183993917</v>
      </c>
      <c r="E247" s="16">
        <v>-1.683014971605571E-2</v>
      </c>
    </row>
    <row r="248" spans="2:5" x14ac:dyDescent="0.35">
      <c r="B248" s="206">
        <v>43497</v>
      </c>
      <c r="C248" s="207">
        <v>1512.55</v>
      </c>
      <c r="D248" s="208">
        <f t="shared" si="7"/>
        <v>-0.2171066252587992</v>
      </c>
      <c r="E248" s="16">
        <v>-1.7352494055585175E-2</v>
      </c>
    </row>
    <row r="249" spans="2:5" x14ac:dyDescent="0.35">
      <c r="B249" s="206">
        <v>46266</v>
      </c>
      <c r="C249" s="207">
        <v>1932</v>
      </c>
      <c r="D249" s="208">
        <f t="shared" si="7"/>
        <v>9.2222222222222214</v>
      </c>
      <c r="E249" s="16">
        <v>-1.7993290637389494E-2</v>
      </c>
    </row>
    <row r="250" spans="2:5" x14ac:dyDescent="0.35">
      <c r="B250" s="206">
        <v>38869</v>
      </c>
      <c r="C250" s="207">
        <v>189</v>
      </c>
      <c r="D250" s="208">
        <f t="shared" si="7"/>
        <v>-0.92099752124497869</v>
      </c>
      <c r="E250" s="16">
        <v>-1.8844416757514384E-2</v>
      </c>
    </row>
    <row r="251" spans="2:5" x14ac:dyDescent="0.35">
      <c r="B251" s="206">
        <v>45931</v>
      </c>
      <c r="C251" s="207">
        <v>2392.33</v>
      </c>
      <c r="D251" s="208">
        <f t="shared" si="7"/>
        <v>2.4126415794128557</v>
      </c>
      <c r="E251" s="16">
        <v>-1.944847486248771E-2</v>
      </c>
    </row>
    <row r="252" spans="2:5" x14ac:dyDescent="0.35">
      <c r="B252" s="206">
        <v>42705</v>
      </c>
      <c r="C252" s="207">
        <v>701.02</v>
      </c>
      <c r="D252" s="208">
        <f t="shared" si="7"/>
        <v>3.0418588560885604</v>
      </c>
      <c r="E252" s="16">
        <v>-2.0908113241805092E-2</v>
      </c>
    </row>
    <row r="253" spans="2:5" x14ac:dyDescent="0.35">
      <c r="B253" s="206">
        <v>37196</v>
      </c>
      <c r="C253" s="207">
        <v>173.44</v>
      </c>
      <c r="D253" s="208">
        <f t="shared" si="7"/>
        <v>-0.92581788941972509</v>
      </c>
      <c r="E253" s="16">
        <v>-2.1439855563078376E-2</v>
      </c>
    </row>
    <row r="254" spans="2:5" x14ac:dyDescent="0.35">
      <c r="B254" s="206">
        <v>45139</v>
      </c>
      <c r="C254" s="207">
        <v>2338.0300000000002</v>
      </c>
      <c r="D254" s="208">
        <f t="shared" si="7"/>
        <v>9.6100471954982751</v>
      </c>
      <c r="E254" s="16">
        <v>-2.1769327966661818E-2</v>
      </c>
    </row>
    <row r="255" spans="2:5" x14ac:dyDescent="0.35">
      <c r="B255" s="206">
        <v>36373</v>
      </c>
      <c r="C255" s="207">
        <v>220.36</v>
      </c>
      <c r="D255" s="208">
        <f t="shared" si="7"/>
        <v>-0.68775594065719181</v>
      </c>
      <c r="E255" s="16">
        <v>-2.1796066941891935E-2</v>
      </c>
    </row>
    <row r="256" spans="2:5" x14ac:dyDescent="0.35">
      <c r="B256" s="206">
        <v>42491</v>
      </c>
      <c r="C256" s="207">
        <v>705.73</v>
      </c>
      <c r="D256" s="208">
        <f t="shared" si="7"/>
        <v>3.0971262699564588</v>
      </c>
      <c r="E256" s="16">
        <v>-2.2697058660610406E-2</v>
      </c>
    </row>
    <row r="257" spans="2:5" x14ac:dyDescent="0.35">
      <c r="B257" s="206">
        <v>39448</v>
      </c>
      <c r="C257" s="207">
        <v>172.25</v>
      </c>
      <c r="D257" s="208">
        <f t="shared" si="7"/>
        <v>-0.90680978375541688</v>
      </c>
      <c r="E257" s="16">
        <v>-2.3138433618783032E-2</v>
      </c>
    </row>
    <row r="258" spans="2:5" x14ac:dyDescent="0.35">
      <c r="B258" s="206">
        <v>44075</v>
      </c>
      <c r="C258" s="207">
        <v>1848.37</v>
      </c>
      <c r="D258" s="208">
        <f t="shared" si="7"/>
        <v>26.201913171449593</v>
      </c>
      <c r="E258" s="16">
        <v>-2.3189324877791049E-2</v>
      </c>
    </row>
    <row r="259" spans="2:5" x14ac:dyDescent="0.35">
      <c r="B259" s="206">
        <v>35309</v>
      </c>
      <c r="C259" s="207">
        <v>67.95</v>
      </c>
      <c r="D259" s="208">
        <f t="shared" si="7"/>
        <v>-0.84310058187863679</v>
      </c>
      <c r="E259" s="16">
        <v>-2.3426271917217526E-2</v>
      </c>
    </row>
    <row r="260" spans="2:5" x14ac:dyDescent="0.35">
      <c r="B260" s="206">
        <v>41244</v>
      </c>
      <c r="C260" s="207">
        <v>433.08</v>
      </c>
      <c r="D260" s="208">
        <f t="shared" si="7"/>
        <v>-0.11753199119732662</v>
      </c>
      <c r="E260" s="16">
        <v>-2.4616562690029521E-2</v>
      </c>
    </row>
    <row r="261" spans="2:5" x14ac:dyDescent="0.35">
      <c r="B261" s="206">
        <v>41579</v>
      </c>
      <c r="C261" s="207">
        <v>490.76</v>
      </c>
      <c r="D261" s="208">
        <f t="shared" si="7"/>
        <v>1.5180092355053874</v>
      </c>
      <c r="E261" s="16">
        <v>-2.4741161741618785E-2</v>
      </c>
    </row>
    <row r="262" spans="2:5" x14ac:dyDescent="0.35">
      <c r="B262" s="206">
        <v>40210</v>
      </c>
      <c r="C262" s="207">
        <v>194.9</v>
      </c>
      <c r="D262" s="208">
        <f t="shared" si="7"/>
        <v>-0.72223013995382379</v>
      </c>
      <c r="E262" s="16">
        <v>-2.5158805581953689E-2</v>
      </c>
    </row>
    <row r="263" spans="2:5" x14ac:dyDescent="0.35">
      <c r="B263" s="206">
        <v>42095</v>
      </c>
      <c r="C263" s="207">
        <v>701.66</v>
      </c>
      <c r="D263" s="208">
        <f t="shared" si="7"/>
        <v>-0.69062337410382812</v>
      </c>
      <c r="E263" s="16">
        <v>-2.6553829078801314E-2</v>
      </c>
    </row>
    <row r="264" spans="2:5" x14ac:dyDescent="0.35">
      <c r="B264" s="206">
        <v>45323</v>
      </c>
      <c r="C264" s="207">
        <v>2267.98</v>
      </c>
      <c r="D264" s="208">
        <f t="shared" si="7"/>
        <v>3.5070249001410945</v>
      </c>
      <c r="E264" s="16">
        <v>-2.7903029471771184E-2</v>
      </c>
    </row>
    <row r="265" spans="2:5" x14ac:dyDescent="0.35">
      <c r="B265" s="206">
        <v>41548</v>
      </c>
      <c r="C265" s="207">
        <v>503.21</v>
      </c>
      <c r="D265" s="208">
        <f t="shared" ref="D265:D328" si="8">(C265-C266)/C266</f>
        <v>-0.65767794338736996</v>
      </c>
      <c r="E265" s="16">
        <v>-2.8064279368022617E-2</v>
      </c>
    </row>
    <row r="266" spans="2:5" x14ac:dyDescent="0.35">
      <c r="B266" s="206">
        <v>43525</v>
      </c>
      <c r="C266" s="207">
        <v>1469.99</v>
      </c>
      <c r="D266" s="208">
        <f t="shared" si="8"/>
        <v>7.9388263910003047</v>
      </c>
      <c r="E266" s="16">
        <v>-2.8137912796271161E-2</v>
      </c>
    </row>
    <row r="267" spans="2:5" x14ac:dyDescent="0.35">
      <c r="B267" s="206">
        <v>39173</v>
      </c>
      <c r="C267" s="207">
        <v>164.45</v>
      </c>
      <c r="D267" s="208">
        <f t="shared" si="8"/>
        <v>0.38356049133434283</v>
      </c>
      <c r="E267" s="16">
        <v>-2.8762107252539599E-2</v>
      </c>
    </row>
    <row r="268" spans="2:5" x14ac:dyDescent="0.35">
      <c r="B268" s="206">
        <v>37712</v>
      </c>
      <c r="C268" s="207">
        <v>118.86</v>
      </c>
      <c r="D268" s="208">
        <f t="shared" si="8"/>
        <v>5.1858407079646014E-2</v>
      </c>
      <c r="E268" s="16">
        <v>-2.9000898619393818E-2</v>
      </c>
    </row>
    <row r="269" spans="2:5" x14ac:dyDescent="0.35">
      <c r="B269" s="206">
        <v>38108</v>
      </c>
      <c r="C269" s="207">
        <v>113</v>
      </c>
      <c r="D269" s="208">
        <f t="shared" si="8"/>
        <v>-0.92658810077569742</v>
      </c>
      <c r="E269" s="16">
        <v>-3.0791663092889641E-2</v>
      </c>
    </row>
    <row r="270" spans="2:5" x14ac:dyDescent="0.35">
      <c r="B270" s="206">
        <v>43466</v>
      </c>
      <c r="C270" s="207">
        <v>1539.26</v>
      </c>
      <c r="D270" s="208">
        <f t="shared" si="8"/>
        <v>6.3588946789692598</v>
      </c>
      <c r="E270" s="16">
        <v>-3.099779666351905E-2</v>
      </c>
    </row>
    <row r="271" spans="2:5" x14ac:dyDescent="0.35">
      <c r="B271" s="206">
        <v>39845</v>
      </c>
      <c r="C271" s="207">
        <v>209.17</v>
      </c>
      <c r="D271" s="208">
        <f t="shared" si="8"/>
        <v>-0.90098742757602146</v>
      </c>
      <c r="E271" s="16">
        <v>-3.1171838814265947E-2</v>
      </c>
    </row>
    <row r="272" spans="2:5" x14ac:dyDescent="0.35">
      <c r="B272" s="206">
        <v>44501</v>
      </c>
      <c r="C272" s="207">
        <v>2112.56</v>
      </c>
      <c r="D272" s="208">
        <f t="shared" si="8"/>
        <v>-2.1585826094761133E-3</v>
      </c>
      <c r="E272" s="16">
        <v>-3.1588791044570796E-2</v>
      </c>
    </row>
    <row r="273" spans="2:5" x14ac:dyDescent="0.35">
      <c r="B273" s="206">
        <v>44287</v>
      </c>
      <c r="C273" s="207">
        <v>2117.13</v>
      </c>
      <c r="D273" s="208">
        <f t="shared" si="8"/>
        <v>2.3755799677928535</v>
      </c>
      <c r="E273" s="16">
        <v>-3.1974431428492975E-2</v>
      </c>
    </row>
    <row r="274" spans="2:5" x14ac:dyDescent="0.35">
      <c r="B274" s="206">
        <v>41974</v>
      </c>
      <c r="C274" s="207">
        <v>627.19000000000005</v>
      </c>
      <c r="D274" s="208">
        <f t="shared" si="8"/>
        <v>-0.58688850686005223</v>
      </c>
      <c r="E274" s="16">
        <v>-3.3084097741462919E-2</v>
      </c>
    </row>
    <row r="275" spans="2:5" x14ac:dyDescent="0.35">
      <c r="B275" s="206">
        <v>43647</v>
      </c>
      <c r="C275" s="207">
        <v>1518.21</v>
      </c>
      <c r="D275" s="208">
        <f t="shared" si="8"/>
        <v>22.146973624028053</v>
      </c>
      <c r="E275" s="16">
        <v>-3.4094668532892176E-2</v>
      </c>
    </row>
    <row r="276" spans="2:5" x14ac:dyDescent="0.35">
      <c r="B276" s="206">
        <v>35339</v>
      </c>
      <c r="C276" s="207">
        <v>65.59</v>
      </c>
      <c r="D276" s="208">
        <f t="shared" si="8"/>
        <v>-0.41026793742132706</v>
      </c>
      <c r="E276" s="16">
        <v>-3.4731420161883728E-2</v>
      </c>
    </row>
    <row r="277" spans="2:5" x14ac:dyDescent="0.35">
      <c r="B277" s="206">
        <v>35796</v>
      </c>
      <c r="C277" s="207">
        <v>111.22</v>
      </c>
      <c r="D277" s="208">
        <f t="shared" si="8"/>
        <v>-0.84194520236471115</v>
      </c>
      <c r="E277" s="16">
        <v>-3.546960367704452E-2</v>
      </c>
    </row>
    <row r="278" spans="2:5" x14ac:dyDescent="0.35">
      <c r="B278" s="206">
        <v>42644</v>
      </c>
      <c r="C278" s="207">
        <v>703.68</v>
      </c>
      <c r="D278" s="208">
        <f t="shared" si="8"/>
        <v>0.5526577083471238</v>
      </c>
      <c r="E278" s="16">
        <v>-3.6120813642901178E-2</v>
      </c>
    </row>
    <row r="279" spans="2:5" x14ac:dyDescent="0.35">
      <c r="B279" s="206">
        <v>41671</v>
      </c>
      <c r="C279" s="207">
        <v>453.21</v>
      </c>
      <c r="D279" s="208">
        <f t="shared" si="8"/>
        <v>-0.78133579075860138</v>
      </c>
      <c r="E279" s="16">
        <v>-3.658432889758096E-2</v>
      </c>
    </row>
    <row r="280" spans="2:5" x14ac:dyDescent="0.35">
      <c r="B280" s="206">
        <v>44562</v>
      </c>
      <c r="C280" s="207">
        <v>2072.63</v>
      </c>
      <c r="D280" s="208">
        <f t="shared" si="8"/>
        <v>21.426206448820601</v>
      </c>
      <c r="E280" s="16">
        <v>-3.6608890066422067E-2</v>
      </c>
    </row>
    <row r="281" spans="2:5" x14ac:dyDescent="0.35">
      <c r="B281" s="206">
        <v>38200</v>
      </c>
      <c r="C281" s="207">
        <v>92.42</v>
      </c>
      <c r="D281" s="208">
        <f t="shared" si="8"/>
        <v>-0.90802058141502207</v>
      </c>
      <c r="E281" s="16">
        <v>-3.689037098791155E-2</v>
      </c>
    </row>
    <row r="282" spans="2:5" x14ac:dyDescent="0.35">
      <c r="B282" s="206">
        <v>42979</v>
      </c>
      <c r="C282" s="207">
        <v>1004.79</v>
      </c>
      <c r="D282" s="208">
        <f t="shared" si="8"/>
        <v>4.8472416201117312</v>
      </c>
      <c r="E282" s="16">
        <v>-3.759434504425118E-2</v>
      </c>
    </row>
    <row r="283" spans="2:5" x14ac:dyDescent="0.35">
      <c r="B283" s="206">
        <v>39083</v>
      </c>
      <c r="C283" s="207">
        <v>171.84</v>
      </c>
      <c r="D283" s="208">
        <f t="shared" si="8"/>
        <v>-0.8486337931398974</v>
      </c>
      <c r="E283" s="16">
        <v>-3.7634408602150532E-2</v>
      </c>
    </row>
    <row r="284" spans="2:5" x14ac:dyDescent="0.35">
      <c r="B284" s="206">
        <v>43132</v>
      </c>
      <c r="C284" s="207">
        <v>1135.26</v>
      </c>
      <c r="D284" s="208">
        <f t="shared" si="8"/>
        <v>-0.50095829230552824</v>
      </c>
      <c r="E284" s="16">
        <v>-3.7686908758010403E-2</v>
      </c>
    </row>
    <row r="285" spans="2:5" x14ac:dyDescent="0.35">
      <c r="B285" s="206">
        <v>45017</v>
      </c>
      <c r="C285" s="207">
        <v>2274.88</v>
      </c>
      <c r="D285" s="208">
        <f t="shared" si="8"/>
        <v>12.103392661713034</v>
      </c>
      <c r="E285" s="16">
        <v>-4.0248409470611105E-2</v>
      </c>
    </row>
    <row r="286" spans="2:5" x14ac:dyDescent="0.35">
      <c r="B286" s="206">
        <v>36982</v>
      </c>
      <c r="C286" s="207">
        <v>173.61</v>
      </c>
      <c r="D286" s="208">
        <f t="shared" si="8"/>
        <v>-0.63129950941873547</v>
      </c>
      <c r="E286" s="16">
        <v>-4.0351556022331453E-2</v>
      </c>
    </row>
    <row r="287" spans="2:5" x14ac:dyDescent="0.35">
      <c r="B287" s="206">
        <v>41609</v>
      </c>
      <c r="C287" s="207">
        <v>470.87</v>
      </c>
      <c r="D287" s="208">
        <f t="shared" si="8"/>
        <v>2.3459106089675266</v>
      </c>
      <c r="E287" s="16">
        <v>-4.0528975466623172E-2</v>
      </c>
    </row>
    <row r="288" spans="2:5" x14ac:dyDescent="0.35">
      <c r="B288" s="206">
        <v>37803</v>
      </c>
      <c r="C288" s="207">
        <v>140.72999999999999</v>
      </c>
      <c r="D288" s="208">
        <f t="shared" si="8"/>
        <v>-0.33350698555529251</v>
      </c>
      <c r="E288" s="16">
        <v>-4.1283466176170056E-2</v>
      </c>
    </row>
    <row r="289" spans="2:5" x14ac:dyDescent="0.35">
      <c r="B289" s="206">
        <v>36404</v>
      </c>
      <c r="C289" s="207">
        <v>211.15</v>
      </c>
      <c r="D289" s="208">
        <f t="shared" si="8"/>
        <v>-0.88841326463205172</v>
      </c>
      <c r="E289" s="16">
        <v>-4.1795244145943038E-2</v>
      </c>
    </row>
    <row r="290" spans="2:5" x14ac:dyDescent="0.35">
      <c r="B290" s="206">
        <v>44044</v>
      </c>
      <c r="C290" s="207">
        <v>1892.25</v>
      </c>
      <c r="D290" s="208">
        <f t="shared" si="8"/>
        <v>-0.11237815575423823</v>
      </c>
      <c r="E290" s="16">
        <v>-4.1879329201604101E-2</v>
      </c>
    </row>
    <row r="291" spans="2:5" x14ac:dyDescent="0.35">
      <c r="B291" s="206">
        <v>46143</v>
      </c>
      <c r="C291" s="207">
        <v>2131.8200000000002</v>
      </c>
      <c r="D291" s="208">
        <f t="shared" si="8"/>
        <v>3.927848872638643E-2</v>
      </c>
      <c r="E291" s="16">
        <v>-4.3271819911679006E-2</v>
      </c>
    </row>
    <row r="292" spans="2:5" x14ac:dyDescent="0.35">
      <c r="B292" s="206">
        <v>44713</v>
      </c>
      <c r="C292" s="207">
        <v>2051.25</v>
      </c>
      <c r="D292" s="208">
        <f t="shared" si="8"/>
        <v>-0.14175794749922593</v>
      </c>
      <c r="E292" s="16">
        <v>-4.3750874085124195E-2</v>
      </c>
    </row>
    <row r="293" spans="2:5" x14ac:dyDescent="0.35">
      <c r="B293" s="206">
        <v>45108</v>
      </c>
      <c r="C293" s="207">
        <v>2390.06</v>
      </c>
      <c r="D293" s="208">
        <f t="shared" si="8"/>
        <v>0.20711929978737048</v>
      </c>
      <c r="E293" s="16">
        <v>-4.3819186346560915E-2</v>
      </c>
    </row>
    <row r="294" spans="2:5" x14ac:dyDescent="0.35">
      <c r="B294" s="206">
        <v>44593</v>
      </c>
      <c r="C294" s="207">
        <v>1979.97</v>
      </c>
      <c r="D294" s="208">
        <f t="shared" si="8"/>
        <v>2.0576789258008852E-2</v>
      </c>
      <c r="E294" s="16">
        <v>-4.4706484032364713E-2</v>
      </c>
    </row>
    <row r="295" spans="2:5" x14ac:dyDescent="0.35">
      <c r="B295" s="206">
        <v>43922</v>
      </c>
      <c r="C295" s="207">
        <v>1940.05</v>
      </c>
      <c r="D295" s="208">
        <f t="shared" si="8"/>
        <v>-0.14834634193452095</v>
      </c>
      <c r="E295" s="16">
        <v>-4.5030100466151135E-2</v>
      </c>
    </row>
    <row r="296" spans="2:5" x14ac:dyDescent="0.35">
      <c r="B296" s="206">
        <v>44958</v>
      </c>
      <c r="C296" s="207">
        <v>2277.98</v>
      </c>
      <c r="D296" s="208">
        <f t="shared" si="8"/>
        <v>20.526932526932526</v>
      </c>
      <c r="E296" s="16">
        <v>-4.5056299413949515E-2</v>
      </c>
    </row>
    <row r="297" spans="2:5" x14ac:dyDescent="0.35">
      <c r="B297" s="206">
        <v>35704</v>
      </c>
      <c r="C297" s="207">
        <v>105.82</v>
      </c>
      <c r="D297" s="208">
        <f t="shared" si="8"/>
        <v>-0.41506826598861313</v>
      </c>
      <c r="E297" s="16">
        <v>-4.537663509246731E-2</v>
      </c>
    </row>
    <row r="298" spans="2:5" x14ac:dyDescent="0.35">
      <c r="B298" s="206">
        <v>36951</v>
      </c>
      <c r="C298" s="207">
        <v>180.91</v>
      </c>
      <c r="D298" s="208">
        <f t="shared" si="8"/>
        <v>0.36268454353721008</v>
      </c>
      <c r="E298" s="16">
        <v>-4.5531286272026988E-2</v>
      </c>
    </row>
    <row r="299" spans="2:5" x14ac:dyDescent="0.35">
      <c r="B299" s="206">
        <v>36069</v>
      </c>
      <c r="C299" s="207">
        <v>132.76</v>
      </c>
      <c r="D299" s="208">
        <f t="shared" si="8"/>
        <v>-0.94400509504709129</v>
      </c>
      <c r="E299" s="16">
        <v>-4.5578720345075513E-2</v>
      </c>
    </row>
    <row r="300" spans="2:5" x14ac:dyDescent="0.35">
      <c r="B300" s="206">
        <v>44896</v>
      </c>
      <c r="C300" s="207">
        <v>2370.9299999999998</v>
      </c>
      <c r="D300" s="208">
        <f t="shared" si="8"/>
        <v>8.7500925278611668</v>
      </c>
      <c r="E300" s="16">
        <v>-4.5934134917185801E-2</v>
      </c>
    </row>
    <row r="301" spans="2:5" x14ac:dyDescent="0.35">
      <c r="B301" s="206">
        <v>40452</v>
      </c>
      <c r="C301" s="207">
        <v>243.17</v>
      </c>
      <c r="D301" s="208">
        <f t="shared" si="8"/>
        <v>-0.66781416062183252</v>
      </c>
      <c r="E301" s="16">
        <v>-4.6429551782283064E-2</v>
      </c>
    </row>
    <row r="302" spans="2:5" x14ac:dyDescent="0.35">
      <c r="B302" s="206">
        <v>42036</v>
      </c>
      <c r="C302" s="207">
        <v>732.03</v>
      </c>
      <c r="D302" s="208">
        <f t="shared" si="8"/>
        <v>-0.68069598443674817</v>
      </c>
      <c r="E302" s="16">
        <v>-4.8681594302720031E-2</v>
      </c>
    </row>
    <row r="303" spans="2:5" x14ac:dyDescent="0.35">
      <c r="B303" s="206">
        <v>45992</v>
      </c>
      <c r="C303" s="207">
        <v>2292.58</v>
      </c>
      <c r="D303" s="208">
        <f t="shared" si="8"/>
        <v>16.198649662415601</v>
      </c>
      <c r="E303" s="16">
        <v>-4.9593526268442677E-2</v>
      </c>
    </row>
    <row r="304" spans="2:5" x14ac:dyDescent="0.35">
      <c r="B304" s="206">
        <v>36008</v>
      </c>
      <c r="C304" s="207">
        <v>133.30000000000001</v>
      </c>
      <c r="D304" s="208">
        <f t="shared" si="8"/>
        <v>-7.3404699012929245E-2</v>
      </c>
      <c r="E304" s="16">
        <v>-5.023156394727455E-2</v>
      </c>
    </row>
    <row r="305" spans="2:5" x14ac:dyDescent="0.35">
      <c r="B305" s="206">
        <v>37895</v>
      </c>
      <c r="C305" s="207">
        <v>143.86000000000001</v>
      </c>
      <c r="D305" s="208">
        <f t="shared" si="8"/>
        <v>-0.26466980167654863</v>
      </c>
      <c r="E305" s="16">
        <v>-5.1180583036538656E-2</v>
      </c>
    </row>
    <row r="306" spans="2:5" x14ac:dyDescent="0.35">
      <c r="B306" s="206">
        <v>39569</v>
      </c>
      <c r="C306" s="207">
        <v>195.64</v>
      </c>
      <c r="D306" s="208">
        <f t="shared" si="8"/>
        <v>-0.71216289779164033</v>
      </c>
      <c r="E306" s="16">
        <v>-5.2544917429415576E-2</v>
      </c>
    </row>
    <row r="307" spans="2:5" x14ac:dyDescent="0.35">
      <c r="B307" s="206">
        <v>42370</v>
      </c>
      <c r="C307" s="207">
        <v>679.69</v>
      </c>
      <c r="D307" s="208">
        <f t="shared" si="8"/>
        <v>2.9782850453614285</v>
      </c>
      <c r="E307" s="16">
        <v>-5.3145547754374196E-2</v>
      </c>
    </row>
    <row r="308" spans="2:5" x14ac:dyDescent="0.35">
      <c r="B308" s="206">
        <v>37135</v>
      </c>
      <c r="C308" s="207">
        <v>170.85</v>
      </c>
      <c r="D308" s="208">
        <f t="shared" si="8"/>
        <v>-0.74586859837272601</v>
      </c>
      <c r="E308" s="16">
        <v>-5.3462603878116376E-2</v>
      </c>
    </row>
    <row r="309" spans="2:5" x14ac:dyDescent="0.35">
      <c r="B309" s="206">
        <v>42248</v>
      </c>
      <c r="C309" s="207">
        <v>672.29</v>
      </c>
      <c r="D309" s="208">
        <f t="shared" si="8"/>
        <v>-7.9117868639134295E-2</v>
      </c>
      <c r="E309" s="16">
        <v>-5.3605867364894408E-2</v>
      </c>
    </row>
    <row r="310" spans="2:5" x14ac:dyDescent="0.35">
      <c r="B310" s="206">
        <v>42614</v>
      </c>
      <c r="C310" s="207">
        <v>730.05</v>
      </c>
      <c r="D310" s="208">
        <f t="shared" si="8"/>
        <v>-0.68875900085691999</v>
      </c>
      <c r="E310" s="16">
        <v>-5.3652908845795003E-2</v>
      </c>
    </row>
    <row r="311" spans="2:5" x14ac:dyDescent="0.35">
      <c r="B311" s="206">
        <v>44835</v>
      </c>
      <c r="C311" s="207">
        <v>2345.61</v>
      </c>
      <c r="D311" s="208">
        <f t="shared" si="8"/>
        <v>-3.8597742419398499E-2</v>
      </c>
      <c r="E311" s="16">
        <v>-5.4052201125969798E-2</v>
      </c>
    </row>
    <row r="312" spans="2:5" x14ac:dyDescent="0.35">
      <c r="B312" s="206">
        <v>45901</v>
      </c>
      <c r="C312" s="207">
        <v>2439.7800000000002</v>
      </c>
      <c r="D312" s="208">
        <f t="shared" si="8"/>
        <v>0.1981378080940526</v>
      </c>
      <c r="E312" s="16">
        <v>-5.4663949226226888E-2</v>
      </c>
    </row>
    <row r="313" spans="2:5" x14ac:dyDescent="0.35">
      <c r="B313" s="206">
        <v>44197</v>
      </c>
      <c r="C313" s="207">
        <v>2036.31</v>
      </c>
      <c r="D313" s="208">
        <f t="shared" si="8"/>
        <v>0.19808312348497317</v>
      </c>
      <c r="E313" s="16">
        <v>-5.4896755299152132E-2</v>
      </c>
    </row>
    <row r="314" spans="2:5" x14ac:dyDescent="0.35">
      <c r="B314" s="206">
        <v>43800</v>
      </c>
      <c r="C314" s="207">
        <v>1699.64</v>
      </c>
      <c r="D314" s="208">
        <f t="shared" si="8"/>
        <v>-0.19597714199212835</v>
      </c>
      <c r="E314" s="16">
        <v>-5.5178164433820662E-2</v>
      </c>
    </row>
    <row r="315" spans="2:5" x14ac:dyDescent="0.35">
      <c r="B315" s="206">
        <v>44378</v>
      </c>
      <c r="C315" s="207">
        <v>2113.92</v>
      </c>
      <c r="D315" s="208">
        <f t="shared" si="8"/>
        <v>12.980027775940744</v>
      </c>
      <c r="E315" s="16">
        <v>-5.5843140757944464E-2</v>
      </c>
    </row>
    <row r="316" spans="2:5" x14ac:dyDescent="0.35">
      <c r="B316" s="206">
        <v>36192</v>
      </c>
      <c r="C316" s="207">
        <v>151.21</v>
      </c>
      <c r="D316" s="208">
        <f t="shared" si="8"/>
        <v>-0.91902818832198085</v>
      </c>
      <c r="E316" s="16">
        <v>-5.6294077263932985E-2</v>
      </c>
    </row>
    <row r="317" spans="2:5" x14ac:dyDescent="0.35">
      <c r="B317" s="206">
        <v>44621</v>
      </c>
      <c r="C317" s="207">
        <v>1867.44</v>
      </c>
      <c r="D317" s="208">
        <f t="shared" si="8"/>
        <v>5.9850009351037965</v>
      </c>
      <c r="E317" s="16">
        <v>-5.6834194457491764E-2</v>
      </c>
    </row>
    <row r="318" spans="2:5" x14ac:dyDescent="0.35">
      <c r="B318" s="206">
        <v>40725</v>
      </c>
      <c r="C318" s="207">
        <v>267.35000000000002</v>
      </c>
      <c r="D318" s="208">
        <f t="shared" si="8"/>
        <v>0.89314544682056385</v>
      </c>
      <c r="E318" s="16">
        <v>-5.7166031880377978E-2</v>
      </c>
    </row>
    <row r="319" spans="2:5" x14ac:dyDescent="0.35">
      <c r="B319" s="206">
        <v>37622</v>
      </c>
      <c r="C319" s="207">
        <v>141.22</v>
      </c>
      <c r="D319" s="208">
        <f t="shared" si="8"/>
        <v>-0.92636046972446451</v>
      </c>
      <c r="E319" s="16">
        <v>-5.8093777095978176E-2</v>
      </c>
    </row>
    <row r="320" spans="2:5" x14ac:dyDescent="0.35">
      <c r="B320" s="206">
        <v>44228</v>
      </c>
      <c r="C320" s="207">
        <v>1917.72</v>
      </c>
      <c r="D320" s="208">
        <f t="shared" si="8"/>
        <v>16.293894850752999</v>
      </c>
      <c r="E320" s="16">
        <v>-5.8237694653564494E-2</v>
      </c>
    </row>
    <row r="321" spans="2:5" x14ac:dyDescent="0.35">
      <c r="B321" s="206">
        <v>35643</v>
      </c>
      <c r="C321" s="207">
        <v>110.89</v>
      </c>
      <c r="D321" s="208">
        <f t="shared" si="8"/>
        <v>-0.32110934247581735</v>
      </c>
      <c r="E321" s="16">
        <v>-5.8818536750976008E-2</v>
      </c>
    </row>
    <row r="322" spans="2:5" x14ac:dyDescent="0.35">
      <c r="B322" s="206">
        <v>37012</v>
      </c>
      <c r="C322" s="207">
        <v>163.34</v>
      </c>
      <c r="D322" s="208">
        <f t="shared" si="8"/>
        <v>-0.21274339695392322</v>
      </c>
      <c r="E322" s="16">
        <v>-5.9155578595703064E-2</v>
      </c>
    </row>
    <row r="323" spans="2:5" x14ac:dyDescent="0.35">
      <c r="B323" s="206">
        <v>40360</v>
      </c>
      <c r="C323" s="207">
        <v>207.48</v>
      </c>
      <c r="D323" s="208">
        <f t="shared" si="8"/>
        <v>0.67674155487312104</v>
      </c>
      <c r="E323" s="16">
        <v>-6.0198396521266566E-2</v>
      </c>
    </row>
    <row r="324" spans="2:5" x14ac:dyDescent="0.35">
      <c r="B324" s="206">
        <v>35947</v>
      </c>
      <c r="C324" s="207">
        <v>123.74</v>
      </c>
      <c r="D324" s="208">
        <f t="shared" si="8"/>
        <v>-0.94187554019014696</v>
      </c>
      <c r="E324" s="16">
        <v>-6.1224489795918421E-2</v>
      </c>
    </row>
    <row r="325" spans="2:5" x14ac:dyDescent="0.35">
      <c r="B325" s="206">
        <v>45352</v>
      </c>
      <c r="C325" s="207">
        <v>2128.88</v>
      </c>
      <c r="D325" s="208">
        <f t="shared" si="8"/>
        <v>11.460520924787827</v>
      </c>
      <c r="E325" s="16">
        <v>-6.1332110512438344E-2</v>
      </c>
    </row>
    <row r="326" spans="2:5" x14ac:dyDescent="0.35">
      <c r="B326" s="206">
        <v>39356</v>
      </c>
      <c r="C326" s="207">
        <v>170.85</v>
      </c>
      <c r="D326" s="208">
        <f t="shared" si="8"/>
        <v>-0.90604325804695363</v>
      </c>
      <c r="E326" s="16">
        <v>-6.1418447508652455E-2</v>
      </c>
    </row>
    <row r="327" spans="2:5" x14ac:dyDescent="0.35">
      <c r="B327" s="206">
        <v>43952</v>
      </c>
      <c r="C327" s="207">
        <v>1818.39</v>
      </c>
      <c r="D327" s="208">
        <f t="shared" si="8"/>
        <v>2.8832084054071374</v>
      </c>
      <c r="E327" s="16">
        <v>-6.2709723976186113E-2</v>
      </c>
    </row>
    <row r="328" spans="2:5" x14ac:dyDescent="0.35">
      <c r="B328" s="206">
        <v>41730</v>
      </c>
      <c r="C328" s="207">
        <v>468.27</v>
      </c>
      <c r="D328" s="208">
        <f t="shared" si="8"/>
        <v>1.3894983926111137</v>
      </c>
      <c r="E328" s="16">
        <v>-6.2841475373746736E-2</v>
      </c>
    </row>
    <row r="329" spans="2:5" x14ac:dyDescent="0.35">
      <c r="B329" s="206">
        <v>39873</v>
      </c>
      <c r="C329" s="207">
        <v>195.97</v>
      </c>
      <c r="D329" s="208">
        <f t="shared" ref="D329:D376" si="9">(C329-C330)/C330</f>
        <v>-0.90039137948561554</v>
      </c>
      <c r="E329" s="16">
        <v>-6.3106564038820048E-2</v>
      </c>
    </row>
    <row r="330" spans="2:5" x14ac:dyDescent="0.35">
      <c r="B330" s="206">
        <v>46235</v>
      </c>
      <c r="C330" s="207">
        <v>1967.4</v>
      </c>
      <c r="D330" s="208">
        <f t="shared" si="9"/>
        <v>9.3668352882316966E-2</v>
      </c>
      <c r="E330" s="16">
        <v>-6.3722457526293283E-2</v>
      </c>
    </row>
    <row r="331" spans="2:5" x14ac:dyDescent="0.35">
      <c r="B331" s="206">
        <v>43770</v>
      </c>
      <c r="C331" s="207">
        <v>1798.9</v>
      </c>
      <c r="D331" s="208">
        <f t="shared" si="9"/>
        <v>3.9206739974834517</v>
      </c>
      <c r="E331" s="16">
        <v>-6.4378887802442414E-2</v>
      </c>
    </row>
    <row r="332" spans="2:5" x14ac:dyDescent="0.35">
      <c r="B332" s="206">
        <v>41306</v>
      </c>
      <c r="C332" s="207">
        <v>365.58</v>
      </c>
      <c r="D332" s="208">
        <f t="shared" si="9"/>
        <v>-0.48536678069175221</v>
      </c>
      <c r="E332" s="16">
        <v>-6.5204050322184723E-2</v>
      </c>
    </row>
    <row r="333" spans="2:5" x14ac:dyDescent="0.35">
      <c r="B333" s="206">
        <v>42217</v>
      </c>
      <c r="C333" s="207">
        <v>710.37</v>
      </c>
      <c r="D333" s="208">
        <f t="shared" si="9"/>
        <v>3.0293250141803738</v>
      </c>
      <c r="E333" s="16">
        <v>-6.5904877118699787E-2</v>
      </c>
    </row>
    <row r="334" spans="2:5" x14ac:dyDescent="0.35">
      <c r="B334" s="206">
        <v>36495</v>
      </c>
      <c r="C334" s="207">
        <v>176.3</v>
      </c>
      <c r="D334" s="208">
        <f t="shared" si="9"/>
        <v>-0.92109385489862594</v>
      </c>
      <c r="E334" s="16">
        <v>-6.65042888912422E-2</v>
      </c>
    </row>
    <row r="335" spans="2:5" x14ac:dyDescent="0.35">
      <c r="B335" s="206">
        <v>45627</v>
      </c>
      <c r="C335" s="207">
        <v>2234.3000000000002</v>
      </c>
      <c r="D335" s="208">
        <f t="shared" si="9"/>
        <v>-4.2338882507243533E-2</v>
      </c>
      <c r="E335" s="16">
        <v>-6.7822067204592648E-2</v>
      </c>
    </row>
    <row r="336" spans="2:5" x14ac:dyDescent="0.35">
      <c r="B336" s="206">
        <v>45292</v>
      </c>
      <c r="C336" s="207">
        <v>2333.08</v>
      </c>
      <c r="D336" s="208">
        <f t="shared" si="9"/>
        <v>6.4613195177332177</v>
      </c>
      <c r="E336" s="16">
        <v>-6.8470835313047845E-2</v>
      </c>
    </row>
    <row r="337" spans="2:5" x14ac:dyDescent="0.35">
      <c r="B337" s="206">
        <v>40909</v>
      </c>
      <c r="C337" s="207">
        <v>312.69</v>
      </c>
      <c r="D337" s="208">
        <f t="shared" si="9"/>
        <v>1.9768659558263515</v>
      </c>
      <c r="E337" s="16">
        <v>-6.981794383626852E-2</v>
      </c>
    </row>
    <row r="338" spans="2:5" x14ac:dyDescent="0.35">
      <c r="B338" s="206">
        <v>38139</v>
      </c>
      <c r="C338" s="207">
        <v>105.04</v>
      </c>
      <c r="D338" s="208">
        <f t="shared" si="9"/>
        <v>-0.51926773455377573</v>
      </c>
      <c r="E338" s="16">
        <v>-7.0442477876106135E-2</v>
      </c>
    </row>
    <row r="339" spans="2:5" x14ac:dyDescent="0.35">
      <c r="B339" s="206">
        <v>40148</v>
      </c>
      <c r="C339" s="207">
        <v>218.5</v>
      </c>
      <c r="D339" s="208">
        <f t="shared" si="9"/>
        <v>0.65342413923571696</v>
      </c>
      <c r="E339" s="16">
        <v>-7.151659371945783E-2</v>
      </c>
    </row>
    <row r="340" spans="2:5" x14ac:dyDescent="0.35">
      <c r="B340" s="206">
        <v>37530</v>
      </c>
      <c r="C340" s="207">
        <v>132.15</v>
      </c>
      <c r="D340" s="208">
        <f t="shared" si="9"/>
        <v>-0.15081609047680244</v>
      </c>
      <c r="E340" s="16">
        <v>-7.1849978929624872E-2</v>
      </c>
    </row>
    <row r="341" spans="2:5" x14ac:dyDescent="0.35">
      <c r="B341" s="206">
        <v>39234</v>
      </c>
      <c r="C341" s="207">
        <v>155.62</v>
      </c>
      <c r="D341" s="208">
        <f t="shared" si="9"/>
        <v>8.4233261339092896E-2</v>
      </c>
      <c r="E341" s="16">
        <v>-7.2752189715783872E-2</v>
      </c>
    </row>
    <row r="342" spans="2:5" x14ac:dyDescent="0.35">
      <c r="B342" s="206">
        <v>38018</v>
      </c>
      <c r="C342" s="207">
        <v>143.53</v>
      </c>
      <c r="D342" s="208">
        <f t="shared" si="9"/>
        <v>8.0769771035258155E-3</v>
      </c>
      <c r="E342" s="16">
        <v>-7.4238906088751236E-2</v>
      </c>
    </row>
    <row r="343" spans="2:5" x14ac:dyDescent="0.35">
      <c r="B343" s="206">
        <v>37500</v>
      </c>
      <c r="C343" s="207">
        <v>142.38</v>
      </c>
      <c r="D343" s="208">
        <f t="shared" si="9"/>
        <v>-0.20262096774193553</v>
      </c>
      <c r="E343" s="16">
        <v>-7.5514576975521039E-2</v>
      </c>
    </row>
    <row r="344" spans="2:5" x14ac:dyDescent="0.35">
      <c r="B344" s="206">
        <v>39052</v>
      </c>
      <c r="C344" s="207">
        <v>178.56</v>
      </c>
      <c r="D344" s="208">
        <f t="shared" si="9"/>
        <v>0.15170278637770906</v>
      </c>
      <c r="E344" s="16">
        <v>-7.9919616633173554E-2</v>
      </c>
    </row>
    <row r="345" spans="2:5" x14ac:dyDescent="0.35">
      <c r="B345" s="206">
        <v>37987</v>
      </c>
      <c r="C345" s="207">
        <v>155.04</v>
      </c>
      <c r="D345" s="208">
        <f t="shared" si="9"/>
        <v>0.42395297575312269</v>
      </c>
      <c r="E345" s="16">
        <v>-8.0972139893301709E-2</v>
      </c>
    </row>
    <row r="346" spans="2:5" x14ac:dyDescent="0.35">
      <c r="B346" s="206">
        <v>38412</v>
      </c>
      <c r="C346" s="207">
        <v>108.88</v>
      </c>
      <c r="D346" s="208">
        <f t="shared" si="9"/>
        <v>-6.6129170597821488E-2</v>
      </c>
      <c r="E346" s="16">
        <v>-8.3964327780582229E-2</v>
      </c>
    </row>
    <row r="347" spans="2:5" x14ac:dyDescent="0.35">
      <c r="B347" s="206">
        <v>38078</v>
      </c>
      <c r="C347" s="207">
        <v>116.59</v>
      </c>
      <c r="D347" s="208">
        <f t="shared" si="9"/>
        <v>-0.23747547416612166</v>
      </c>
      <c r="E347" s="16">
        <v>-8.4850863422292006E-2</v>
      </c>
    </row>
    <row r="348" spans="2:5" x14ac:dyDescent="0.35">
      <c r="B348" s="206">
        <v>37377</v>
      </c>
      <c r="C348" s="207">
        <v>152.9</v>
      </c>
      <c r="D348" s="208">
        <f t="shared" si="9"/>
        <v>-0.23523233131596058</v>
      </c>
      <c r="E348" s="16">
        <v>-8.4924292297564166E-2</v>
      </c>
    </row>
    <row r="349" spans="2:5" x14ac:dyDescent="0.35">
      <c r="B349" s="206">
        <v>40179</v>
      </c>
      <c r="C349" s="207">
        <v>199.93</v>
      </c>
      <c r="D349" s="208">
        <f t="shared" si="9"/>
        <v>1.0834722801167156</v>
      </c>
      <c r="E349" s="16">
        <v>-8.498855835240271E-2</v>
      </c>
    </row>
    <row r="350" spans="2:5" x14ac:dyDescent="0.35">
      <c r="B350" s="206">
        <v>38169</v>
      </c>
      <c r="C350" s="207">
        <v>95.96</v>
      </c>
      <c r="D350" s="208">
        <f t="shared" si="9"/>
        <v>-0.43668916935720575</v>
      </c>
      <c r="E350" s="16">
        <v>-8.6443259710586556E-2</v>
      </c>
    </row>
    <row r="351" spans="2:5" x14ac:dyDescent="0.35">
      <c r="B351" s="206">
        <v>36251</v>
      </c>
      <c r="C351" s="207">
        <v>170.35</v>
      </c>
      <c r="D351" s="208">
        <f t="shared" si="9"/>
        <v>-0.11644190871369303</v>
      </c>
      <c r="E351" s="16">
        <v>-8.8550026752273997E-2</v>
      </c>
    </row>
    <row r="352" spans="2:5" x14ac:dyDescent="0.35">
      <c r="B352" s="206">
        <v>38991</v>
      </c>
      <c r="C352" s="207">
        <v>192.8</v>
      </c>
      <c r="D352" s="208">
        <f t="shared" si="9"/>
        <v>7.3671560687602541E-3</v>
      </c>
      <c r="E352" s="16">
        <v>-9.1380366652528328E-2</v>
      </c>
    </row>
    <row r="353" spans="2:5" x14ac:dyDescent="0.35">
      <c r="B353" s="206">
        <v>36434</v>
      </c>
      <c r="C353" s="207">
        <v>191.39</v>
      </c>
      <c r="D353" s="208">
        <f t="shared" si="9"/>
        <v>3.0197007212832302E-2</v>
      </c>
      <c r="E353" s="16">
        <v>-9.3582761070329243E-2</v>
      </c>
    </row>
    <row r="354" spans="2:5" x14ac:dyDescent="0.35">
      <c r="B354" s="206">
        <v>37316</v>
      </c>
      <c r="C354" s="207">
        <v>185.78</v>
      </c>
      <c r="D354" s="208">
        <f t="shared" si="9"/>
        <v>-0.8669312093516317</v>
      </c>
      <c r="E354" s="16">
        <v>-9.3977078761277782E-2</v>
      </c>
    </row>
    <row r="355" spans="2:5" x14ac:dyDescent="0.35">
      <c r="B355" s="206">
        <v>43344</v>
      </c>
      <c r="C355" s="207">
        <v>1396.12</v>
      </c>
      <c r="D355" s="208">
        <f t="shared" si="9"/>
        <v>2.5699089700317073</v>
      </c>
      <c r="E355" s="16">
        <v>-9.6450182830146058E-2</v>
      </c>
    </row>
    <row r="356" spans="2:5" x14ac:dyDescent="0.35">
      <c r="B356" s="206">
        <v>41275</v>
      </c>
      <c r="C356" s="207">
        <v>391.08</v>
      </c>
      <c r="D356" s="208">
        <f t="shared" si="9"/>
        <v>2.2902574457344773</v>
      </c>
      <c r="E356" s="16">
        <v>-9.697977279024661E-2</v>
      </c>
    </row>
    <row r="357" spans="2:5" x14ac:dyDescent="0.35">
      <c r="B357" s="206">
        <v>38384</v>
      </c>
      <c r="C357" s="207">
        <v>118.86</v>
      </c>
      <c r="D357" s="208">
        <f t="shared" si="9"/>
        <v>-0.28864683703393385</v>
      </c>
      <c r="E357" s="16">
        <v>-9.8589413013802613E-2</v>
      </c>
    </row>
    <row r="358" spans="2:5" x14ac:dyDescent="0.35">
      <c r="B358" s="206">
        <v>37347</v>
      </c>
      <c r="C358" s="207">
        <v>167.09</v>
      </c>
      <c r="D358" s="208">
        <f t="shared" si="9"/>
        <v>-0.22102564102564101</v>
      </c>
      <c r="E358" s="16">
        <v>-0.10060286360211002</v>
      </c>
    </row>
    <row r="359" spans="2:5" x14ac:dyDescent="0.35">
      <c r="B359" s="206">
        <v>40026</v>
      </c>
      <c r="C359" s="207">
        <v>214.5</v>
      </c>
      <c r="D359" s="208">
        <f t="shared" si="9"/>
        <v>0.61011860081068914</v>
      </c>
      <c r="E359" s="16">
        <v>-0.10821934893776244</v>
      </c>
    </row>
    <row r="360" spans="2:5" x14ac:dyDescent="0.35">
      <c r="B360" s="206">
        <v>38626</v>
      </c>
      <c r="C360" s="207">
        <v>133.22</v>
      </c>
      <c r="D360" s="208">
        <f t="shared" si="9"/>
        <v>-0.93893108775275391</v>
      </c>
      <c r="E360" s="16">
        <v>-0.10877709392560872</v>
      </c>
    </row>
    <row r="361" spans="2:5" x14ac:dyDescent="0.35">
      <c r="B361" s="206">
        <v>44470</v>
      </c>
      <c r="C361" s="207">
        <v>2181.4699999999998</v>
      </c>
      <c r="D361" s="208">
        <f t="shared" si="9"/>
        <v>16.122998430141283</v>
      </c>
      <c r="E361" s="16">
        <v>-0.10879654217290785</v>
      </c>
    </row>
    <row r="362" spans="2:5" x14ac:dyDescent="0.35">
      <c r="B362" s="206">
        <v>38047</v>
      </c>
      <c r="C362" s="207">
        <v>127.4</v>
      </c>
      <c r="D362" s="208">
        <f t="shared" si="9"/>
        <v>-0.93942362098396193</v>
      </c>
      <c r="E362" s="16">
        <v>-0.11238068696439765</v>
      </c>
    </row>
    <row r="363" spans="2:5" x14ac:dyDescent="0.35">
      <c r="B363" s="206">
        <v>45689</v>
      </c>
      <c r="C363" s="207">
        <v>2103.13</v>
      </c>
      <c r="D363" s="208">
        <f t="shared" si="9"/>
        <v>13.922165460479638</v>
      </c>
      <c r="E363" s="16">
        <v>-0.11282797603982106</v>
      </c>
    </row>
    <row r="364" spans="2:5" x14ac:dyDescent="0.35">
      <c r="B364" s="206">
        <v>37438</v>
      </c>
      <c r="C364" s="207">
        <v>140.94</v>
      </c>
      <c r="D364" s="208">
        <f t="shared" si="9"/>
        <v>-0.22975188545196193</v>
      </c>
      <c r="E364" s="16">
        <v>-0.11519869420553704</v>
      </c>
    </row>
    <row r="365" spans="2:5" x14ac:dyDescent="0.35">
      <c r="B365" s="206">
        <v>39722</v>
      </c>
      <c r="C365" s="207">
        <v>182.98</v>
      </c>
      <c r="D365" s="208">
        <f t="shared" si="9"/>
        <v>-0.91006188222225493</v>
      </c>
      <c r="E365" s="16">
        <v>-0.12088017680407417</v>
      </c>
    </row>
    <row r="366" spans="2:5" x14ac:dyDescent="0.35">
      <c r="B366" s="206">
        <v>46082</v>
      </c>
      <c r="C366" s="207">
        <v>2034.51</v>
      </c>
      <c r="D366" s="208">
        <f t="shared" si="9"/>
        <v>15.620455845110694</v>
      </c>
      <c r="E366" s="16">
        <v>-0.12099491912069679</v>
      </c>
    </row>
    <row r="367" spans="2:5" x14ac:dyDescent="0.35">
      <c r="B367" s="206">
        <v>37681</v>
      </c>
      <c r="C367" s="207">
        <v>122.41</v>
      </c>
      <c r="D367" s="208">
        <f t="shared" si="9"/>
        <v>-0.28385888960393146</v>
      </c>
      <c r="E367" s="16">
        <v>-0.12401602976957214</v>
      </c>
    </row>
    <row r="368" spans="2:5" x14ac:dyDescent="0.35">
      <c r="B368" s="206">
        <v>39600</v>
      </c>
      <c r="C368" s="207">
        <v>170.93</v>
      </c>
      <c r="D368" s="208">
        <f t="shared" si="9"/>
        <v>-6.6829381682938496E-3</v>
      </c>
      <c r="E368" s="16">
        <v>-0.12630341443467583</v>
      </c>
    </row>
    <row r="369" spans="2:5" x14ac:dyDescent="0.35">
      <c r="B369" s="206">
        <v>36770</v>
      </c>
      <c r="C369" s="207">
        <v>172.08</v>
      </c>
      <c r="D369" s="208">
        <f t="shared" si="9"/>
        <v>-0.2308930008045052</v>
      </c>
      <c r="E369" s="16">
        <v>-0.12725059593244398</v>
      </c>
    </row>
    <row r="370" spans="2:5" x14ac:dyDescent="0.35">
      <c r="B370" s="206">
        <v>40544</v>
      </c>
      <c r="C370" s="207">
        <v>223.74</v>
      </c>
      <c r="D370" s="208">
        <f t="shared" si="9"/>
        <v>-0.90676567656765683</v>
      </c>
      <c r="E370" s="16">
        <v>-0.13342887021185945</v>
      </c>
    </row>
    <row r="371" spans="2:5" x14ac:dyDescent="0.35">
      <c r="B371" s="206">
        <v>45566</v>
      </c>
      <c r="C371" s="207">
        <v>2399.7600000000002</v>
      </c>
      <c r="D371" s="208">
        <f t="shared" si="9"/>
        <v>15.348252605763339</v>
      </c>
      <c r="E371" s="16">
        <v>-0.14537244120286608</v>
      </c>
    </row>
    <row r="372" spans="2:5" x14ac:dyDescent="0.35">
      <c r="B372" s="206">
        <v>36800</v>
      </c>
      <c r="C372" s="207">
        <v>146.79</v>
      </c>
      <c r="D372" s="208">
        <f t="shared" si="9"/>
        <v>-0.26106216964510454</v>
      </c>
      <c r="E372" s="16">
        <v>-0.14696652719665282</v>
      </c>
    </row>
    <row r="373" spans="2:5" x14ac:dyDescent="0.35">
      <c r="B373" s="206">
        <v>36708</v>
      </c>
      <c r="C373" s="207">
        <v>198.65</v>
      </c>
      <c r="D373" s="208">
        <f t="shared" si="9"/>
        <v>0.36519826816026402</v>
      </c>
      <c r="E373" s="16">
        <v>-0.15161221439248346</v>
      </c>
    </row>
    <row r="374" spans="2:5" x14ac:dyDescent="0.35">
      <c r="B374" s="206">
        <v>39114</v>
      </c>
      <c r="C374" s="207">
        <v>145.51</v>
      </c>
      <c r="D374" s="208">
        <f t="shared" si="9"/>
        <v>-0.26901436752737873</v>
      </c>
      <c r="E374" s="16">
        <v>-0.15322392923649913</v>
      </c>
    </row>
    <row r="375" spans="2:5" x14ac:dyDescent="0.35">
      <c r="B375" s="206">
        <v>36586</v>
      </c>
      <c r="C375" s="207">
        <v>199.06</v>
      </c>
      <c r="D375" s="208">
        <f t="shared" si="9"/>
        <v>3.3380055027773491E-2</v>
      </c>
      <c r="E375" s="16">
        <v>-0.15773885080815775</v>
      </c>
    </row>
    <row r="376" spans="2:5" x14ac:dyDescent="0.35">
      <c r="B376" s="206">
        <v>38838</v>
      </c>
      <c r="C376" s="207">
        <v>192.63</v>
      </c>
      <c r="D376" s="208" t="e">
        <f t="shared" si="9"/>
        <v>#DIV/0!</v>
      </c>
      <c r="E376" s="16">
        <v>-0.19653806047966635</v>
      </c>
    </row>
  </sheetData>
  <pageMargins left="0.7" right="0.7" top="0.75" bottom="0.75" header="0.3" footer="0.3"/>
  <pageSetup scale="96" orientation="portrait" r:id="rId1"/>
  <rowBreaks count="1" manualBreakCount="1">
    <brk id="45" max="16383" man="1"/>
  </rowBreaks>
  <colBreaks count="1" manualBreakCount="1">
    <brk id="11"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78356-5BFE-4CC0-AD75-C8D42BA1D1DC}">
  <dimension ref="A1:P10007"/>
  <sheetViews>
    <sheetView showGridLines="0" topLeftCell="B10" zoomScale="89" zoomScaleNormal="89" workbookViewId="0">
      <selection activeCell="N20" sqref="N20"/>
    </sheetView>
  </sheetViews>
  <sheetFormatPr defaultRowHeight="14.5" x14ac:dyDescent="0.35"/>
  <cols>
    <col min="1" max="1" width="1.81640625" customWidth="1"/>
    <col min="2" max="2" width="8.81640625" style="205" bestFit="1" customWidth="1"/>
    <col min="3" max="3" width="9.26953125" style="205" bestFit="1" customWidth="1"/>
    <col min="4" max="4" width="9" bestFit="1" customWidth="1"/>
    <col min="6" max="6" width="0.90625" customWidth="1"/>
    <col min="7" max="7" width="10.1796875" customWidth="1"/>
    <col min="8" max="8" width="15.453125" bestFit="1" customWidth="1"/>
    <col min="10" max="10" width="10.1796875" bestFit="1" customWidth="1"/>
    <col min="11" max="12" width="9.90625" bestFit="1" customWidth="1"/>
  </cols>
  <sheetData>
    <row r="1" spans="1:13" x14ac:dyDescent="0.35">
      <c r="B1" s="47"/>
      <c r="C1" s="47"/>
      <c r="D1" s="47"/>
      <c r="E1" s="47"/>
      <c r="F1" s="47"/>
      <c r="G1" s="47"/>
      <c r="H1" s="47"/>
      <c r="I1" s="47"/>
      <c r="J1" s="47"/>
      <c r="K1" s="47"/>
      <c r="L1" s="47"/>
      <c r="M1" s="47"/>
    </row>
    <row r="2" spans="1:13" ht="26" x14ac:dyDescent="0.6">
      <c r="B2" s="186" t="s">
        <v>289</v>
      </c>
      <c r="C2"/>
    </row>
    <row r="3" spans="1:13" ht="18.5" x14ac:dyDescent="0.45">
      <c r="B3" s="188" t="s">
        <v>388</v>
      </c>
      <c r="C3"/>
    </row>
    <row r="4" spans="1:13" ht="21" x14ac:dyDescent="0.5">
      <c r="B4" s="187" t="s">
        <v>389</v>
      </c>
      <c r="C4"/>
    </row>
    <row r="5" spans="1:13" ht="18.5" x14ac:dyDescent="0.45">
      <c r="B5" s="188" t="s">
        <v>390</v>
      </c>
      <c r="C5"/>
    </row>
    <row r="7" spans="1:13" ht="29" x14ac:dyDescent="0.35">
      <c r="A7" t="s">
        <v>147</v>
      </c>
      <c r="B7" s="209" t="s">
        <v>0</v>
      </c>
      <c r="C7" s="209" t="s">
        <v>401</v>
      </c>
      <c r="D7" s="209" t="s">
        <v>402</v>
      </c>
      <c r="E7" s="209" t="s">
        <v>403</v>
      </c>
      <c r="F7" s="209"/>
      <c r="G7" s="209" t="s">
        <v>414</v>
      </c>
      <c r="H7" s="47" t="s">
        <v>415</v>
      </c>
      <c r="I7" s="47" t="s">
        <v>417</v>
      </c>
      <c r="J7" s="47"/>
      <c r="K7" s="47"/>
      <c r="L7" s="47"/>
      <c r="M7" s="47"/>
    </row>
    <row r="8" spans="1:13" ht="15" thickBot="1" x14ac:dyDescent="0.4">
      <c r="B8" s="206">
        <v>35582</v>
      </c>
      <c r="C8" s="207">
        <v>118.9</v>
      </c>
      <c r="D8" s="208">
        <f t="shared" ref="D8:D71" si="0">(C8-C9)/C9</f>
        <v>-0.75317611890724911</v>
      </c>
      <c r="E8" s="16">
        <v>0.29775158262388124</v>
      </c>
      <c r="F8" s="16"/>
      <c r="G8" s="215">
        <v>1</v>
      </c>
      <c r="H8" s="16">
        <f t="shared" ref="H8:H71" ca="1" si="1">_xlfn.NORM.INV(RAND(),M$10,M$11)</f>
        <v>-0.10527362206009318</v>
      </c>
    </row>
    <row r="9" spans="1:13" ht="15" thickBot="1" x14ac:dyDescent="0.4">
      <c r="B9" s="206">
        <v>41365</v>
      </c>
      <c r="C9" s="207">
        <v>481.72</v>
      </c>
      <c r="D9" s="208">
        <f t="shared" si="0"/>
        <v>1.3955442836540852</v>
      </c>
      <c r="E9" s="16">
        <v>0.2502465611212043</v>
      </c>
      <c r="F9" s="16"/>
      <c r="G9" s="215">
        <v>2</v>
      </c>
      <c r="H9" s="16">
        <f t="shared" ca="1" si="1"/>
        <v>7.6759009635821884E-2</v>
      </c>
      <c r="I9" s="219" t="s">
        <v>416</v>
      </c>
      <c r="J9" s="218"/>
      <c r="K9" s="218"/>
      <c r="L9" s="218"/>
      <c r="M9" s="218"/>
    </row>
    <row r="10" spans="1:13" ht="15" thickBot="1" x14ac:dyDescent="0.4">
      <c r="B10" s="206">
        <v>38749</v>
      </c>
      <c r="C10" s="207">
        <v>201.09</v>
      </c>
      <c r="D10" s="208">
        <f t="shared" si="0"/>
        <v>7.5922953451043329E-2</v>
      </c>
      <c r="E10" s="16">
        <v>0.24815343554093469</v>
      </c>
      <c r="F10" s="16"/>
      <c r="G10" s="215">
        <v>3</v>
      </c>
      <c r="H10" s="16">
        <f t="shared" ca="1" si="1"/>
        <v>2.196706240656434E-2</v>
      </c>
      <c r="I10" s="216" t="s">
        <v>227</v>
      </c>
      <c r="J10" s="216"/>
      <c r="K10" s="216"/>
      <c r="L10" s="216"/>
      <c r="M10" s="217">
        <f>AVERAGE(E8:E375)</f>
        <v>1.2539886488536791E-2</v>
      </c>
    </row>
    <row r="11" spans="1:13" ht="15" thickBot="1" x14ac:dyDescent="0.4">
      <c r="B11" s="206">
        <v>36220</v>
      </c>
      <c r="C11" s="207">
        <v>186.9</v>
      </c>
      <c r="D11" s="208">
        <f t="shared" si="0"/>
        <v>-0.75711185330543607</v>
      </c>
      <c r="E11" s="16">
        <v>0.23602936313735862</v>
      </c>
      <c r="F11" s="16"/>
      <c r="G11" s="215">
        <v>4</v>
      </c>
      <c r="H11" s="16">
        <f t="shared" ca="1" si="1"/>
        <v>-6.3176836578252543E-2</v>
      </c>
      <c r="I11" s="49" t="s">
        <v>405</v>
      </c>
      <c r="J11" s="49"/>
      <c r="K11" s="49"/>
      <c r="L11" s="49"/>
      <c r="M11" s="119">
        <f>_xlfn.STDEV.S(E8:E375)</f>
        <v>7.4874623691898373E-2</v>
      </c>
    </row>
    <row r="12" spans="1:13" ht="15" thickBot="1" x14ac:dyDescent="0.4">
      <c r="B12" s="206">
        <v>42005</v>
      </c>
      <c r="C12" s="207">
        <v>769.49</v>
      </c>
      <c r="D12" s="208">
        <f t="shared" si="0"/>
        <v>-0.68272901943645015</v>
      </c>
      <c r="E12" s="16">
        <v>0.2268849949775984</v>
      </c>
      <c r="F12" s="16"/>
      <c r="G12" s="215">
        <v>5</v>
      </c>
      <c r="H12" s="16">
        <f t="shared" ca="1" si="1"/>
        <v>-3.9642301599348534E-2</v>
      </c>
      <c r="I12" s="49" t="s">
        <v>406</v>
      </c>
      <c r="J12" s="49"/>
      <c r="K12" s="49"/>
      <c r="L12" s="49"/>
      <c r="M12" s="119">
        <f>MIN(E8:E375)</f>
        <v>-0.19653806047966635</v>
      </c>
    </row>
    <row r="13" spans="1:13" ht="15" thickBot="1" x14ac:dyDescent="0.4">
      <c r="B13" s="206">
        <v>44743</v>
      </c>
      <c r="C13" s="207">
        <v>2425.34</v>
      </c>
      <c r="D13" s="208">
        <f t="shared" si="0"/>
        <v>25.669672311414121</v>
      </c>
      <c r="E13" s="16">
        <v>0.18237172455819628</v>
      </c>
      <c r="F13" s="16"/>
      <c r="G13" s="215">
        <v>6</v>
      </c>
      <c r="H13" s="16">
        <f t="shared" ca="1" si="1"/>
        <v>8.5628564921996289E-2</v>
      </c>
      <c r="I13" s="49" t="s">
        <v>407</v>
      </c>
      <c r="J13" s="49"/>
      <c r="K13" s="49"/>
      <c r="L13" s="49"/>
      <c r="M13" s="119">
        <f>MAX(E8:E375)</f>
        <v>0.29775158262388124</v>
      </c>
    </row>
    <row r="14" spans="1:13" ht="15" thickBot="1" x14ac:dyDescent="0.4">
      <c r="B14" s="206">
        <v>35521</v>
      </c>
      <c r="C14" s="207">
        <v>90.94</v>
      </c>
      <c r="D14" s="208">
        <f t="shared" si="0"/>
        <v>-0.61521536769061524</v>
      </c>
      <c r="E14" s="16">
        <v>0.18011938749026726</v>
      </c>
      <c r="F14" s="16"/>
      <c r="G14" s="215">
        <v>7</v>
      </c>
      <c r="H14" s="16">
        <f t="shared" ca="1" si="1"/>
        <v>-6.9196249777152857E-2</v>
      </c>
      <c r="I14" s="49" t="s">
        <v>409</v>
      </c>
      <c r="J14" s="49"/>
      <c r="K14" s="49"/>
      <c r="L14" s="49"/>
      <c r="M14" s="210">
        <v>1927</v>
      </c>
    </row>
    <row r="15" spans="1:13" ht="15" thickBot="1" x14ac:dyDescent="0.4">
      <c r="B15" s="206">
        <v>36557</v>
      </c>
      <c r="C15" s="207">
        <v>236.34</v>
      </c>
      <c r="D15" s="208">
        <f t="shared" si="0"/>
        <v>-7.3212815183718236E-2</v>
      </c>
      <c r="E15" s="16">
        <v>0.17383530346677262</v>
      </c>
      <c r="F15" s="16"/>
      <c r="G15" s="215">
        <v>8</v>
      </c>
      <c r="H15" s="16">
        <f t="shared" ca="1" si="1"/>
        <v>5.8522962970010917E-2</v>
      </c>
    </row>
    <row r="16" spans="1:13" ht="15" thickBot="1" x14ac:dyDescent="0.4">
      <c r="B16" s="206">
        <v>40422</v>
      </c>
      <c r="C16" s="207">
        <v>255.01</v>
      </c>
      <c r="D16" s="208">
        <f t="shared" si="0"/>
        <v>-0.89667258243583836</v>
      </c>
      <c r="E16" s="16">
        <v>0.16843069873997704</v>
      </c>
      <c r="F16" s="16"/>
      <c r="G16" s="215">
        <v>9</v>
      </c>
      <c r="H16" s="16">
        <f t="shared" ca="1" si="1"/>
        <v>-2.4429956122711052E-3</v>
      </c>
      <c r="I16" s="219" t="s">
        <v>418</v>
      </c>
      <c r="J16" s="218"/>
      <c r="K16" s="218"/>
      <c r="L16" s="218"/>
      <c r="M16" s="218"/>
    </row>
    <row r="17" spans="2:16" ht="15" thickBot="1" x14ac:dyDescent="0.4">
      <c r="B17" s="206">
        <v>44409</v>
      </c>
      <c r="C17" s="207">
        <v>2467.98</v>
      </c>
      <c r="D17" s="208">
        <f t="shared" si="0"/>
        <v>14.402733570492417</v>
      </c>
      <c r="E17" s="16">
        <v>0.16748978201634873</v>
      </c>
      <c r="F17" s="16"/>
      <c r="G17" s="215">
        <v>10</v>
      </c>
      <c r="H17" s="16">
        <f t="shared" ca="1" si="1"/>
        <v>2.253740629942292E-2</v>
      </c>
      <c r="I17" s="216" t="s">
        <v>227</v>
      </c>
      <c r="J17" s="216"/>
      <c r="K17" s="216"/>
      <c r="L17" s="216"/>
      <c r="M17" s="217">
        <f ca="1">AVERAGE(H8:H10007)</f>
        <v>1.1077691374659922E-2</v>
      </c>
      <c r="P17" t="s">
        <v>56</v>
      </c>
    </row>
    <row r="18" spans="2:16" ht="15" thickBot="1" x14ac:dyDescent="0.4">
      <c r="B18" s="206">
        <v>36161</v>
      </c>
      <c r="C18" s="207">
        <v>160.22999999999999</v>
      </c>
      <c r="D18" s="208">
        <f t="shared" si="0"/>
        <v>-5.3685329553508174E-2</v>
      </c>
      <c r="E18" s="16">
        <v>0.16615720524017455</v>
      </c>
      <c r="F18" s="16"/>
      <c r="G18" s="215">
        <v>11</v>
      </c>
      <c r="H18" s="16">
        <f t="shared" ca="1" si="1"/>
        <v>-0.17903701628360313</v>
      </c>
      <c r="I18" s="49" t="s">
        <v>405</v>
      </c>
      <c r="J18" s="49"/>
      <c r="K18" s="49"/>
      <c r="L18" s="49"/>
      <c r="M18" s="119">
        <f ca="1">_xlfn.STDEV.S(H8:H10007)</f>
        <v>7.4388881577361662E-2</v>
      </c>
    </row>
    <row r="19" spans="2:16" ht="15" thickBot="1" x14ac:dyDescent="0.4">
      <c r="B19" s="206">
        <v>39142</v>
      </c>
      <c r="C19" s="207">
        <v>169.32</v>
      </c>
      <c r="D19" s="208">
        <f t="shared" si="0"/>
        <v>-0.23290898382639424</v>
      </c>
      <c r="E19" s="16">
        <v>0.16363136554188717</v>
      </c>
      <c r="F19" s="16"/>
      <c r="G19" s="215">
        <v>12</v>
      </c>
      <c r="H19" s="16">
        <f t="shared" ca="1" si="1"/>
        <v>0.11753004795799464</v>
      </c>
      <c r="I19" s="49" t="s">
        <v>406</v>
      </c>
      <c r="J19" s="49"/>
      <c r="K19" s="49"/>
      <c r="L19" s="49"/>
      <c r="M19" s="119">
        <f ca="1">MIN(H8:H10007)</f>
        <v>-0.26243464661118471</v>
      </c>
    </row>
    <row r="20" spans="2:16" ht="15" thickBot="1" x14ac:dyDescent="0.4">
      <c r="B20" s="206">
        <v>39965</v>
      </c>
      <c r="C20" s="207">
        <v>220.73</v>
      </c>
      <c r="D20" s="208">
        <f t="shared" si="0"/>
        <v>0.84989943010392222</v>
      </c>
      <c r="E20" s="16">
        <v>0.15905272001680315</v>
      </c>
      <c r="F20" s="16"/>
      <c r="G20" s="215">
        <v>13</v>
      </c>
      <c r="H20" s="16">
        <f t="shared" ca="1" si="1"/>
        <v>2.5987438514434632E-2</v>
      </c>
      <c r="I20" s="49" t="s">
        <v>407</v>
      </c>
      <c r="J20" s="49"/>
      <c r="K20" s="49"/>
      <c r="L20" s="49"/>
      <c r="M20" s="119">
        <f ca="1">MAX(H8:H10007)</f>
        <v>0.32165114070873152</v>
      </c>
    </row>
    <row r="21" spans="2:16" ht="15" thickBot="1" x14ac:dyDescent="0.4">
      <c r="B21" s="206">
        <v>38292</v>
      </c>
      <c r="C21" s="207">
        <v>119.32</v>
      </c>
      <c r="D21" s="208">
        <f t="shared" si="0"/>
        <v>-0.39661188369152972</v>
      </c>
      <c r="E21" s="16">
        <v>0.15867158671586704</v>
      </c>
      <c r="F21" s="16"/>
      <c r="G21" s="215">
        <v>14</v>
      </c>
      <c r="H21" s="16">
        <f t="shared" ca="1" si="1"/>
        <v>0.10470869651121456</v>
      </c>
      <c r="I21" s="49" t="s">
        <v>409</v>
      </c>
      <c r="J21" s="49"/>
      <c r="K21" s="49"/>
      <c r="L21" s="49"/>
      <c r="M21" s="210">
        <v>1927</v>
      </c>
    </row>
    <row r="22" spans="2:16" ht="15" thickBot="1" x14ac:dyDescent="0.4">
      <c r="B22" s="206">
        <v>39630</v>
      </c>
      <c r="C22" s="207">
        <v>197.75</v>
      </c>
      <c r="D22" s="208">
        <f t="shared" si="0"/>
        <v>0.17219917012448141</v>
      </c>
      <c r="E22" s="16">
        <v>0.15690633592698761</v>
      </c>
      <c r="F22" s="16"/>
      <c r="G22" s="215">
        <v>15</v>
      </c>
      <c r="H22" s="16">
        <f t="shared" ca="1" si="1"/>
        <v>-4.2605128792977148E-2</v>
      </c>
    </row>
    <row r="23" spans="2:16" ht="15" thickBot="1" x14ac:dyDescent="0.4">
      <c r="B23" s="206">
        <v>37956</v>
      </c>
      <c r="C23" s="207">
        <v>168.7</v>
      </c>
      <c r="D23" s="208">
        <f t="shared" si="0"/>
        <v>-0.25112087716961878</v>
      </c>
      <c r="E23" s="16">
        <v>0.14699483274408467</v>
      </c>
      <c r="F23" s="16"/>
      <c r="G23" s="215">
        <v>16</v>
      </c>
      <c r="H23" s="16">
        <f t="shared" ca="1" si="1"/>
        <v>3.4371379081995224E-2</v>
      </c>
      <c r="I23" s="211" t="s">
        <v>408</v>
      </c>
      <c r="J23" s="211" t="s">
        <v>413</v>
      </c>
      <c r="K23" s="211" t="s">
        <v>411</v>
      </c>
      <c r="L23" s="211" t="s">
        <v>410</v>
      </c>
      <c r="M23" s="211" t="s">
        <v>412</v>
      </c>
    </row>
    <row r="24" spans="2:16" ht="15" thickBot="1" x14ac:dyDescent="0.4">
      <c r="B24" s="206">
        <v>36342</v>
      </c>
      <c r="C24" s="207">
        <v>225.27</v>
      </c>
      <c r="D24" s="208">
        <f t="shared" si="0"/>
        <v>0.66422872340425521</v>
      </c>
      <c r="E24" s="16">
        <v>0.14658726523133309</v>
      </c>
      <c r="F24" s="16"/>
      <c r="G24" s="215">
        <v>17</v>
      </c>
      <c r="H24" s="16">
        <f t="shared" ca="1" si="1"/>
        <v>0.11442649305871005</v>
      </c>
      <c r="I24" s="220">
        <v>0.05</v>
      </c>
      <c r="J24" s="221">
        <f>100%-I24</f>
        <v>0.95</v>
      </c>
      <c r="K24" s="221">
        <f ca="1">_xlfn.PERCENTILE.INC($H$8:$H$10007,I24)</f>
        <v>-0.11139199401845597</v>
      </c>
      <c r="L24" s="222">
        <f ca="1">$M$14*(1-K24)</f>
        <v>2141.6523724735648</v>
      </c>
      <c r="M24" s="222">
        <f ca="1">$M$14-L24</f>
        <v>-214.65237247356481</v>
      </c>
    </row>
    <row r="25" spans="2:16" ht="15" thickBot="1" x14ac:dyDescent="0.4">
      <c r="B25" s="206">
        <v>38504</v>
      </c>
      <c r="C25" s="207">
        <v>135.36000000000001</v>
      </c>
      <c r="D25" s="208">
        <f t="shared" si="0"/>
        <v>-0.3277043806496473</v>
      </c>
      <c r="E25" s="16">
        <v>0.14517766497461937</v>
      </c>
      <c r="F25" s="16"/>
      <c r="G25" s="215">
        <v>18</v>
      </c>
      <c r="H25" s="16">
        <f t="shared" ca="1" si="1"/>
        <v>2.9351260883449099E-2</v>
      </c>
      <c r="I25" s="223">
        <v>0.01</v>
      </c>
      <c r="J25" s="224">
        <f t="shared" ref="J25:J27" si="2">100%-I25</f>
        <v>0.99</v>
      </c>
      <c r="K25" s="224">
        <f t="shared" ref="K25:K27" ca="1" si="3">_xlfn.PERCENTILE.INC($H$8:$H$10007,I25)</f>
        <v>-0.16130241363988129</v>
      </c>
      <c r="L25" s="225">
        <f ca="1">$M$14*(1-K25)</f>
        <v>2237.8297510840512</v>
      </c>
      <c r="M25" s="225">
        <f ca="1">$M$14-L25</f>
        <v>-310.82975108405117</v>
      </c>
    </row>
    <row r="26" spans="2:16" ht="15" thickBot="1" x14ac:dyDescent="0.4">
      <c r="B26" s="206">
        <v>36526</v>
      </c>
      <c r="C26" s="207">
        <v>201.34</v>
      </c>
      <c r="D26" s="208">
        <f t="shared" si="0"/>
        <v>-0.777564187546953</v>
      </c>
      <c r="E26" s="16">
        <v>0.14203062960862162</v>
      </c>
      <c r="F26" s="16"/>
      <c r="G26" s="215">
        <v>19</v>
      </c>
      <c r="H26" s="16">
        <f t="shared" ca="1" si="1"/>
        <v>0.11090198992182079</v>
      </c>
      <c r="I26" s="223">
        <v>5.0000000000000001E-3</v>
      </c>
      <c r="J26" s="224">
        <f t="shared" si="2"/>
        <v>0.995</v>
      </c>
      <c r="K26" s="224">
        <f t="shared" ca="1" si="3"/>
        <v>-0.18219400177931741</v>
      </c>
      <c r="L26" s="225">
        <f ca="1">$M$14*(1-K26)</f>
        <v>2278.0878414287445</v>
      </c>
      <c r="M26" s="225">
        <f ca="1">$M$14-L26</f>
        <v>-351.08784142874447</v>
      </c>
    </row>
    <row r="27" spans="2:16" ht="15" thickBot="1" x14ac:dyDescent="0.4">
      <c r="B27" s="206">
        <v>42856</v>
      </c>
      <c r="C27" s="207">
        <v>905.16</v>
      </c>
      <c r="D27" s="208">
        <f t="shared" si="0"/>
        <v>-0.58612932429837317</v>
      </c>
      <c r="E27" s="16">
        <v>0.14123609955367272</v>
      </c>
      <c r="F27" s="16"/>
      <c r="G27" s="215">
        <v>20</v>
      </c>
      <c r="H27" s="16">
        <f t="shared" ca="1" si="1"/>
        <v>1.7525740399681258E-3</v>
      </c>
      <c r="I27" s="223">
        <v>0.1</v>
      </c>
      <c r="J27" s="224">
        <f t="shared" si="2"/>
        <v>0.9</v>
      </c>
      <c r="K27" s="224">
        <f t="shared" ca="1" si="3"/>
        <v>-8.4493403619217047E-2</v>
      </c>
      <c r="L27" s="225">
        <f ca="1">$M$14*(1-K27)</f>
        <v>2089.8187887742315</v>
      </c>
      <c r="M27" s="225">
        <f ca="1">$M$14-L27</f>
        <v>-162.81878877423151</v>
      </c>
    </row>
    <row r="28" spans="2:16" x14ac:dyDescent="0.35">
      <c r="B28" s="206">
        <v>44256</v>
      </c>
      <c r="C28" s="207">
        <v>2187.06</v>
      </c>
      <c r="D28" s="208">
        <f t="shared" si="0"/>
        <v>16.264445847805494</v>
      </c>
      <c r="E28" s="16">
        <v>0.14044803203804512</v>
      </c>
      <c r="F28" s="16"/>
      <c r="G28" s="215">
        <v>21</v>
      </c>
      <c r="H28" s="16">
        <f t="shared" ca="1" si="1"/>
        <v>-6.52592782059086E-3</v>
      </c>
    </row>
    <row r="29" spans="2:16" x14ac:dyDescent="0.35">
      <c r="B29" s="206">
        <v>35827</v>
      </c>
      <c r="C29" s="207">
        <v>126.68</v>
      </c>
      <c r="D29" s="208">
        <f t="shared" si="0"/>
        <v>-9.7399358745992079E-2</v>
      </c>
      <c r="E29" s="16">
        <v>0.13900377629922683</v>
      </c>
      <c r="F29" s="16"/>
      <c r="G29" s="215">
        <v>22</v>
      </c>
      <c r="H29" s="16">
        <f t="shared" ca="1" si="1"/>
        <v>8.1723264280166699E-2</v>
      </c>
    </row>
    <row r="30" spans="2:16" x14ac:dyDescent="0.35">
      <c r="B30" s="206">
        <v>35977</v>
      </c>
      <c r="C30" s="207">
        <v>140.35</v>
      </c>
      <c r="D30" s="208">
        <f t="shared" si="0"/>
        <v>-0.89203347846823711</v>
      </c>
      <c r="E30" s="16">
        <v>0.13423306933893647</v>
      </c>
      <c r="F30" s="16"/>
      <c r="G30" s="215">
        <v>23</v>
      </c>
      <c r="H30" s="16">
        <f t="shared" ca="1" si="1"/>
        <v>-1.4128987683968291E-2</v>
      </c>
    </row>
    <row r="31" spans="2:16" x14ac:dyDescent="0.35">
      <c r="B31" s="206">
        <v>43191</v>
      </c>
      <c r="C31" s="207">
        <v>1299.94</v>
      </c>
      <c r="D31" s="208">
        <f t="shared" si="0"/>
        <v>7.8557803665099817</v>
      </c>
      <c r="E31" s="16">
        <v>0.13166187864542528</v>
      </c>
      <c r="F31" s="16"/>
      <c r="G31" s="215">
        <v>24</v>
      </c>
      <c r="H31" s="16">
        <f t="shared" ca="1" si="1"/>
        <v>-1.4496791721726666E-2</v>
      </c>
    </row>
    <row r="32" spans="2:16" x14ac:dyDescent="0.35">
      <c r="B32" s="206">
        <v>37773</v>
      </c>
      <c r="C32" s="207">
        <v>146.79</v>
      </c>
      <c r="D32" s="208">
        <f t="shared" si="0"/>
        <v>-0.48233178163351675</v>
      </c>
      <c r="E32" s="16">
        <v>0.13019710502001847</v>
      </c>
      <c r="F32" s="16"/>
      <c r="G32" s="215">
        <v>25</v>
      </c>
      <c r="H32" s="16">
        <f t="shared" ca="1" si="1"/>
        <v>-0.12261803064131691</v>
      </c>
    </row>
    <row r="33" spans="2:8" x14ac:dyDescent="0.35">
      <c r="B33" s="206">
        <v>40695</v>
      </c>
      <c r="C33" s="207">
        <v>283.56</v>
      </c>
      <c r="D33" s="208">
        <f t="shared" si="0"/>
        <v>0.28441364315803774</v>
      </c>
      <c r="E33" s="16">
        <v>0.12837246319140466</v>
      </c>
      <c r="F33" s="16"/>
      <c r="G33" s="215">
        <v>26</v>
      </c>
      <c r="H33" s="16">
        <f t="shared" ca="1" si="1"/>
        <v>-4.9926216335970316E-2</v>
      </c>
    </row>
    <row r="34" spans="2:8" x14ac:dyDescent="0.35">
      <c r="B34" s="206">
        <v>40330</v>
      </c>
      <c r="C34" s="207">
        <v>220.77</v>
      </c>
      <c r="D34" s="208">
        <f t="shared" si="0"/>
        <v>0.46925329428989765</v>
      </c>
      <c r="E34" s="16">
        <v>0.12798896382587377</v>
      </c>
      <c r="F34" s="16"/>
      <c r="G34" s="215">
        <v>27</v>
      </c>
      <c r="H34" s="16">
        <f t="shared" ca="1" si="1"/>
        <v>-3.5485095326580757E-2</v>
      </c>
    </row>
    <row r="35" spans="2:8" x14ac:dyDescent="0.35">
      <c r="B35" s="206">
        <v>38657</v>
      </c>
      <c r="C35" s="207">
        <v>150.26</v>
      </c>
      <c r="D35" s="208">
        <f t="shared" si="0"/>
        <v>-0.26720312118995376</v>
      </c>
      <c r="E35" s="16">
        <v>0.12790872241405188</v>
      </c>
      <c r="F35" s="16"/>
      <c r="G35" s="215">
        <v>28</v>
      </c>
      <c r="H35" s="16">
        <f t="shared" ca="1" si="1"/>
        <v>8.219348576349865E-2</v>
      </c>
    </row>
    <row r="36" spans="2:8" x14ac:dyDescent="0.35">
      <c r="B36" s="206">
        <v>37288</v>
      </c>
      <c r="C36" s="207">
        <v>205.05</v>
      </c>
      <c r="D36" s="208">
        <f t="shared" si="0"/>
        <v>1.7977896029471958</v>
      </c>
      <c r="E36" s="16">
        <v>0.12701989666923169</v>
      </c>
      <c r="F36" s="16"/>
      <c r="G36" s="215">
        <v>29</v>
      </c>
      <c r="H36" s="16">
        <f t="shared" ca="1" si="1"/>
        <v>-6.4865346430280954E-2</v>
      </c>
    </row>
    <row r="37" spans="2:8" x14ac:dyDescent="0.35">
      <c r="B37" s="206">
        <v>35431</v>
      </c>
      <c r="C37" s="207">
        <v>73.290000000000006</v>
      </c>
      <c r="D37" s="208">
        <f t="shared" si="0"/>
        <v>-0.96598424758306689</v>
      </c>
      <c r="E37" s="16">
        <v>0.12184295117097824</v>
      </c>
      <c r="F37" s="16"/>
      <c r="G37" s="215">
        <v>30</v>
      </c>
      <c r="H37" s="16">
        <f t="shared" ca="1" si="1"/>
        <v>5.6232126869198609E-2</v>
      </c>
    </row>
    <row r="38" spans="2:8" x14ac:dyDescent="0.35">
      <c r="B38" s="206">
        <v>44166</v>
      </c>
      <c r="C38" s="207">
        <v>2154.59</v>
      </c>
      <c r="D38" s="208">
        <f t="shared" si="0"/>
        <v>19.823330433942211</v>
      </c>
      <c r="E38" s="16">
        <v>0.12028597426231646</v>
      </c>
      <c r="F38" s="16"/>
      <c r="G38" s="215">
        <v>31</v>
      </c>
      <c r="H38" s="16">
        <f t="shared" ca="1" si="1"/>
        <v>0.10894754387946036</v>
      </c>
    </row>
    <row r="39" spans="2:8" x14ac:dyDescent="0.35">
      <c r="B39" s="206">
        <v>38231</v>
      </c>
      <c r="C39" s="207">
        <v>103.47</v>
      </c>
      <c r="D39" s="208">
        <f t="shared" si="0"/>
        <v>-0.53898592051327754</v>
      </c>
      <c r="E39" s="16">
        <v>0.11956286518069678</v>
      </c>
      <c r="F39" s="16"/>
      <c r="G39" s="215">
        <v>32</v>
      </c>
      <c r="H39" s="16">
        <f t="shared" ca="1" si="1"/>
        <v>8.1381460126015576E-2</v>
      </c>
    </row>
    <row r="40" spans="2:8" x14ac:dyDescent="0.35">
      <c r="B40" s="206">
        <v>38777</v>
      </c>
      <c r="C40" s="207">
        <v>224.44</v>
      </c>
      <c r="D40" s="208">
        <f t="shared" si="0"/>
        <v>0.702108296678295</v>
      </c>
      <c r="E40" s="16">
        <v>0.11611716146998853</v>
      </c>
      <c r="F40" s="16"/>
      <c r="G40" s="215">
        <v>33</v>
      </c>
      <c r="H40" s="16">
        <f t="shared" ca="1" si="1"/>
        <v>-2.7252941691286395E-2</v>
      </c>
    </row>
    <row r="41" spans="2:8" x14ac:dyDescent="0.35">
      <c r="B41" s="206">
        <v>38353</v>
      </c>
      <c r="C41" s="207">
        <v>131.86000000000001</v>
      </c>
      <c r="D41" s="208">
        <f t="shared" si="0"/>
        <v>1.0311152187307457</v>
      </c>
      <c r="E41" s="16">
        <v>0.11434124904926912</v>
      </c>
      <c r="F41" s="16"/>
      <c r="G41" s="215">
        <v>34</v>
      </c>
      <c r="H41" s="16">
        <f t="shared" ca="1" si="1"/>
        <v>7.4686970605132505E-2</v>
      </c>
    </row>
    <row r="42" spans="2:8" x14ac:dyDescent="0.35">
      <c r="B42" s="206">
        <v>35156</v>
      </c>
      <c r="C42" s="207">
        <v>64.92</v>
      </c>
      <c r="D42" s="208">
        <f t="shared" si="0"/>
        <v>-0.65717906743412369</v>
      </c>
      <c r="E42" s="16">
        <v>0.11431513903192592</v>
      </c>
      <c r="F42" s="16"/>
      <c r="G42" s="215">
        <v>35</v>
      </c>
      <c r="H42" s="16">
        <f t="shared" ca="1" si="1"/>
        <v>-6.60950835112704E-2</v>
      </c>
    </row>
    <row r="43" spans="2:8" x14ac:dyDescent="0.35">
      <c r="B43" s="206">
        <v>36281</v>
      </c>
      <c r="C43" s="207">
        <v>189.37</v>
      </c>
      <c r="D43" s="208">
        <f t="shared" si="0"/>
        <v>-8.9690830431564579E-4</v>
      </c>
      <c r="E43" s="16">
        <v>0.11165248018784861</v>
      </c>
      <c r="F43" s="16"/>
      <c r="G43" s="215">
        <v>36</v>
      </c>
      <c r="H43" s="16">
        <f t="shared" ca="1" si="1"/>
        <v>7.3172346562573903E-2</v>
      </c>
    </row>
    <row r="44" spans="2:8" x14ac:dyDescent="0.35">
      <c r="B44" s="206">
        <v>36923</v>
      </c>
      <c r="C44" s="207">
        <v>189.54</v>
      </c>
      <c r="D44" s="208">
        <f t="shared" si="0"/>
        <v>-0.66544286369894456</v>
      </c>
      <c r="E44" s="16">
        <v>0.11023898781630737</v>
      </c>
      <c r="F44" s="16"/>
      <c r="G44" s="215">
        <v>37</v>
      </c>
      <c r="H44" s="16">
        <f t="shared" ca="1" si="1"/>
        <v>-7.51357595409817E-2</v>
      </c>
    </row>
    <row r="45" spans="2:8" x14ac:dyDescent="0.35">
      <c r="B45" s="206">
        <v>41821</v>
      </c>
      <c r="C45" s="207">
        <v>566.54</v>
      </c>
      <c r="D45" s="208">
        <f t="shared" si="0"/>
        <v>0.82701796252700832</v>
      </c>
      <c r="E45" s="16">
        <v>0.1067828397280612</v>
      </c>
      <c r="F45" s="16"/>
      <c r="G45" s="215">
        <v>38</v>
      </c>
      <c r="H45" s="16">
        <f t="shared" ca="1" si="1"/>
        <v>-1.8598556121718384E-2</v>
      </c>
    </row>
    <row r="46" spans="2:8" x14ac:dyDescent="0.35">
      <c r="B46" s="206">
        <v>40817</v>
      </c>
      <c r="C46" s="207">
        <v>310.08999999999997</v>
      </c>
      <c r="D46" s="208">
        <f t="shared" si="0"/>
        <v>4.2979668546044758</v>
      </c>
      <c r="E46" s="16">
        <v>0.103366068886991</v>
      </c>
      <c r="F46" s="16"/>
      <c r="G46" s="215">
        <v>39</v>
      </c>
      <c r="H46" s="16">
        <f t="shared" ca="1" si="1"/>
        <v>-3.025681101880889E-2</v>
      </c>
    </row>
    <row r="47" spans="2:8" x14ac:dyDescent="0.35">
      <c r="B47" s="206">
        <v>35096</v>
      </c>
      <c r="C47" s="207">
        <v>58.53</v>
      </c>
      <c r="D47" s="208">
        <f t="shared" si="0"/>
        <v>-0.96955811679530657</v>
      </c>
      <c r="E47" s="16">
        <v>0.10329877474081063</v>
      </c>
      <c r="F47" s="16"/>
      <c r="G47" s="215">
        <v>40</v>
      </c>
      <c r="H47" s="16">
        <f t="shared" ca="1" si="1"/>
        <v>-0.11707885862755338</v>
      </c>
    </row>
    <row r="48" spans="2:8" x14ac:dyDescent="0.35">
      <c r="B48" s="206">
        <v>43739</v>
      </c>
      <c r="C48" s="207">
        <v>1922.68</v>
      </c>
      <c r="D48" s="208">
        <f t="shared" si="0"/>
        <v>2.8478996137450716</v>
      </c>
      <c r="E48" s="16">
        <v>0.10328285581486094</v>
      </c>
      <c r="F48" s="16"/>
      <c r="G48" s="215">
        <v>41</v>
      </c>
      <c r="H48" s="16">
        <f t="shared" ca="1" si="1"/>
        <v>1.8212911410873181E-2</v>
      </c>
    </row>
    <row r="49" spans="2:8" x14ac:dyDescent="0.35">
      <c r="B49" s="206">
        <v>41699</v>
      </c>
      <c r="C49" s="207">
        <v>499.67</v>
      </c>
      <c r="D49" s="208">
        <f t="shared" si="0"/>
        <v>0.17561113333176492</v>
      </c>
      <c r="E49" s="16">
        <v>0.10251318373381002</v>
      </c>
      <c r="F49" s="16"/>
      <c r="G49" s="215">
        <v>42</v>
      </c>
      <c r="H49" s="16">
        <f t="shared" ca="1" si="1"/>
        <v>4.8455217812113753E-3</v>
      </c>
    </row>
    <row r="50" spans="2:8" x14ac:dyDescent="0.35">
      <c r="B50" s="206">
        <v>41122</v>
      </c>
      <c r="C50" s="207">
        <v>425.03</v>
      </c>
      <c r="D50" s="208">
        <f t="shared" si="0"/>
        <v>0.81520392910527428</v>
      </c>
      <c r="E50" s="16">
        <v>0.10217047428882602</v>
      </c>
      <c r="F50" s="16"/>
      <c r="G50" s="215">
        <v>43</v>
      </c>
      <c r="H50" s="16">
        <f t="shared" ca="1" si="1"/>
        <v>1.2745954347072944E-2</v>
      </c>
    </row>
    <row r="51" spans="2:8" x14ac:dyDescent="0.35">
      <c r="B51" s="206">
        <v>36678</v>
      </c>
      <c r="C51" s="207">
        <v>234.15</v>
      </c>
      <c r="D51" s="208">
        <f t="shared" si="0"/>
        <v>-0.90428715081058542</v>
      </c>
      <c r="E51" s="16">
        <v>0.10038065698576068</v>
      </c>
      <c r="F51" s="16"/>
      <c r="G51" s="215">
        <v>44</v>
      </c>
      <c r="H51" s="16">
        <f t="shared" ca="1" si="1"/>
        <v>7.3473758365205061E-2</v>
      </c>
    </row>
    <row r="52" spans="2:8" x14ac:dyDescent="0.35">
      <c r="B52" s="206">
        <v>45839</v>
      </c>
      <c r="C52" s="207">
        <v>2446.38</v>
      </c>
      <c r="D52" s="208">
        <f t="shared" si="0"/>
        <v>10.529195532305952</v>
      </c>
      <c r="E52" s="16">
        <v>9.8755894902313096E-2</v>
      </c>
      <c r="F52" s="16"/>
      <c r="G52" s="215">
        <v>45</v>
      </c>
      <c r="H52" s="16">
        <f t="shared" ca="1" si="1"/>
        <v>-1.3740645290408575E-2</v>
      </c>
    </row>
    <row r="53" spans="2:8" x14ac:dyDescent="0.35">
      <c r="B53" s="206">
        <v>38961</v>
      </c>
      <c r="C53" s="207">
        <v>212.19</v>
      </c>
      <c r="D53" s="208">
        <f t="shared" si="0"/>
        <v>0.24378663540445489</v>
      </c>
      <c r="E53" s="16">
        <v>9.6815879251524808E-2</v>
      </c>
      <c r="F53" s="16"/>
      <c r="G53" s="215">
        <v>46</v>
      </c>
      <c r="H53" s="16">
        <f t="shared" ca="1" si="1"/>
        <v>5.2132309240327912E-2</v>
      </c>
    </row>
    <row r="54" spans="2:8" x14ac:dyDescent="0.35">
      <c r="B54" s="206">
        <v>39264</v>
      </c>
      <c r="C54" s="207">
        <v>170.6</v>
      </c>
      <c r="D54" s="208">
        <f t="shared" si="0"/>
        <v>-0.92343733170574094</v>
      </c>
      <c r="E54" s="16">
        <v>9.6260120807094132E-2</v>
      </c>
      <c r="F54" s="16"/>
      <c r="G54" s="215">
        <v>47</v>
      </c>
      <c r="H54" s="16">
        <f t="shared" ca="1" si="1"/>
        <v>-0.19891412484399487</v>
      </c>
    </row>
    <row r="55" spans="2:8" x14ac:dyDescent="0.35">
      <c r="B55" s="206">
        <v>46113</v>
      </c>
      <c r="C55" s="207">
        <v>2228.2399999999998</v>
      </c>
      <c r="D55" s="208">
        <f t="shared" si="0"/>
        <v>13.906609579876905</v>
      </c>
      <c r="E55" s="16">
        <v>9.5221945333274244E-2</v>
      </c>
      <c r="F55" s="16"/>
      <c r="G55" s="215">
        <v>48</v>
      </c>
      <c r="H55" s="16">
        <f t="shared" ca="1" si="1"/>
        <v>-1.1375713945544211E-2</v>
      </c>
    </row>
    <row r="56" spans="2:8" x14ac:dyDescent="0.35">
      <c r="B56" s="206">
        <v>38596</v>
      </c>
      <c r="C56" s="207">
        <v>149.47999999999999</v>
      </c>
      <c r="D56" s="208">
        <f t="shared" si="0"/>
        <v>-0.94179467710219422</v>
      </c>
      <c r="E56" s="16">
        <v>9.4610427650849344E-2</v>
      </c>
      <c r="F56" s="16"/>
      <c r="G56" s="215">
        <v>49</v>
      </c>
      <c r="H56" s="16">
        <f t="shared" ca="1" si="1"/>
        <v>4.126170904172792E-2</v>
      </c>
    </row>
    <row r="57" spans="2:8" x14ac:dyDescent="0.35">
      <c r="B57" s="206">
        <v>45474</v>
      </c>
      <c r="C57" s="207">
        <v>2568.15</v>
      </c>
      <c r="D57" s="208">
        <f t="shared" si="0"/>
        <v>11.437164027313671</v>
      </c>
      <c r="E57" s="16">
        <v>9.405419682453138E-2</v>
      </c>
      <c r="F57" s="16"/>
      <c r="G57" s="215">
        <v>50</v>
      </c>
      <c r="H57" s="16">
        <f t="shared" ca="1" si="1"/>
        <v>-8.2463490310558663E-2</v>
      </c>
    </row>
    <row r="58" spans="2:8" x14ac:dyDescent="0.35">
      <c r="B58" s="206">
        <v>39539</v>
      </c>
      <c r="C58" s="207">
        <v>206.49</v>
      </c>
      <c r="D58" s="208">
        <f t="shared" si="0"/>
        <v>0.34075709369521473</v>
      </c>
      <c r="E58" s="16">
        <v>9.3754965835054924E-2</v>
      </c>
      <c r="F58" s="16"/>
      <c r="G58" s="215">
        <v>51</v>
      </c>
      <c r="H58" s="16">
        <f t="shared" ca="1" si="1"/>
        <v>3.5428850623642719E-2</v>
      </c>
    </row>
    <row r="59" spans="2:8" x14ac:dyDescent="0.35">
      <c r="B59" s="206">
        <v>37469</v>
      </c>
      <c r="C59" s="207">
        <v>154.01</v>
      </c>
      <c r="D59" s="208">
        <f t="shared" si="0"/>
        <v>0.18578688019710499</v>
      </c>
      <c r="E59" s="16">
        <v>9.2734496949056291E-2</v>
      </c>
      <c r="F59" s="16"/>
      <c r="G59" s="215">
        <v>52</v>
      </c>
      <c r="H59" s="16">
        <f t="shared" ca="1" si="1"/>
        <v>2.9414845862624054E-2</v>
      </c>
    </row>
    <row r="60" spans="2:8" x14ac:dyDescent="0.35">
      <c r="B60" s="206">
        <v>37742</v>
      </c>
      <c r="C60" s="207">
        <v>129.88</v>
      </c>
      <c r="D60" s="208">
        <f t="shared" si="0"/>
        <v>-0.93624488874271661</v>
      </c>
      <c r="E60" s="16">
        <v>9.2714117449099742E-2</v>
      </c>
      <c r="F60" s="16"/>
      <c r="G60" s="215">
        <v>53</v>
      </c>
      <c r="H60" s="16">
        <f t="shared" ca="1" si="1"/>
        <v>-3.1665379599054203E-2</v>
      </c>
    </row>
    <row r="61" spans="2:8" x14ac:dyDescent="0.35">
      <c r="B61" s="206">
        <v>44652</v>
      </c>
      <c r="C61" s="207">
        <v>2037.17</v>
      </c>
      <c r="D61" s="208">
        <f t="shared" si="0"/>
        <v>0.23112671630245601</v>
      </c>
      <c r="E61" s="16">
        <v>9.0889131645461169E-2</v>
      </c>
      <c r="F61" s="16"/>
      <c r="G61" s="215">
        <v>54</v>
      </c>
      <c r="H61" s="16">
        <f t="shared" ca="1" si="1"/>
        <v>-3.3628241774976197E-2</v>
      </c>
    </row>
    <row r="62" spans="2:8" x14ac:dyDescent="0.35">
      <c r="B62" s="206">
        <v>43678</v>
      </c>
      <c r="C62" s="207">
        <v>1654.72</v>
      </c>
      <c r="D62" s="208">
        <f t="shared" si="0"/>
        <v>7.8148305987641171</v>
      </c>
      <c r="E62" s="16">
        <v>8.9915097384419801E-2</v>
      </c>
      <c r="F62" s="16"/>
      <c r="G62" s="215">
        <v>55</v>
      </c>
      <c r="H62" s="16">
        <f t="shared" ca="1" si="1"/>
        <v>4.9113753216602621E-2</v>
      </c>
    </row>
    <row r="63" spans="2:8" x14ac:dyDescent="0.35">
      <c r="B63" s="206">
        <v>39479</v>
      </c>
      <c r="C63" s="207">
        <v>187.72</v>
      </c>
      <c r="D63" s="208">
        <f t="shared" si="0"/>
        <v>-0.21955681204007818</v>
      </c>
      <c r="E63" s="16">
        <v>8.981132075471697E-2</v>
      </c>
      <c r="F63" s="16"/>
      <c r="G63" s="215">
        <v>56</v>
      </c>
      <c r="H63" s="16">
        <f t="shared" ca="1" si="1"/>
        <v>5.5062758990790509E-2</v>
      </c>
    </row>
    <row r="64" spans="2:8" x14ac:dyDescent="0.35">
      <c r="B64" s="206">
        <v>39995</v>
      </c>
      <c r="C64" s="207">
        <v>240.53</v>
      </c>
      <c r="D64" s="208">
        <f t="shared" si="0"/>
        <v>0.57055174665360753</v>
      </c>
      <c r="E64" s="16">
        <v>8.9702351288905052E-2</v>
      </c>
      <c r="F64" s="16"/>
      <c r="G64" s="215">
        <v>57</v>
      </c>
      <c r="H64" s="16">
        <f t="shared" ca="1" si="1"/>
        <v>-7.6662900898694916E-2</v>
      </c>
    </row>
    <row r="65" spans="2:8" x14ac:dyDescent="0.35">
      <c r="B65" s="206">
        <v>37834</v>
      </c>
      <c r="C65" s="207">
        <v>153.15</v>
      </c>
      <c r="D65" s="208">
        <f t="shared" si="0"/>
        <v>-4.0774145058248723E-2</v>
      </c>
      <c r="E65" s="16">
        <v>8.8254103602643477E-2</v>
      </c>
      <c r="F65" s="16"/>
      <c r="G65" s="215">
        <v>58</v>
      </c>
      <c r="H65" s="16">
        <f t="shared" ca="1" si="1"/>
        <v>1.5988890593575347E-2</v>
      </c>
    </row>
    <row r="66" spans="2:8" x14ac:dyDescent="0.35">
      <c r="B66" s="206">
        <v>36831</v>
      </c>
      <c r="C66" s="207">
        <v>159.66</v>
      </c>
      <c r="D66" s="208">
        <f t="shared" si="0"/>
        <v>-0.93534775988856145</v>
      </c>
      <c r="E66" s="16">
        <v>8.7676272225628488E-2</v>
      </c>
      <c r="F66" s="16"/>
      <c r="G66" s="215">
        <v>59</v>
      </c>
      <c r="H66" s="16">
        <f t="shared" ca="1" si="1"/>
        <v>0.14193663942375798</v>
      </c>
    </row>
    <row r="67" spans="2:8" x14ac:dyDescent="0.35">
      <c r="B67" s="206">
        <v>45047</v>
      </c>
      <c r="C67" s="207">
        <v>2469.52</v>
      </c>
      <c r="D67" s="208">
        <f t="shared" si="0"/>
        <v>14.176499508357917</v>
      </c>
      <c r="E67" s="16">
        <v>8.5560557040371299E-2</v>
      </c>
      <c r="F67" s="16"/>
      <c r="G67" s="215">
        <v>60</v>
      </c>
      <c r="H67" s="16">
        <f t="shared" ca="1" si="1"/>
        <v>4.708383686479109E-2</v>
      </c>
    </row>
    <row r="68" spans="2:8" x14ac:dyDescent="0.35">
      <c r="B68" s="206">
        <v>38687</v>
      </c>
      <c r="C68" s="207">
        <v>162.72</v>
      </c>
      <c r="D68" s="208">
        <f t="shared" si="0"/>
        <v>-0.89372971349081431</v>
      </c>
      <c r="E68" s="16">
        <v>8.2922933581791619E-2</v>
      </c>
      <c r="F68" s="16"/>
      <c r="G68" s="215">
        <v>61</v>
      </c>
      <c r="H68" s="16">
        <f t="shared" ca="1" si="1"/>
        <v>2.012833874219995E-2</v>
      </c>
    </row>
    <row r="69" spans="2:8" x14ac:dyDescent="0.35">
      <c r="B69" s="206">
        <v>43405</v>
      </c>
      <c r="C69" s="207">
        <v>1531.19</v>
      </c>
      <c r="D69" s="208">
        <f t="shared" si="0"/>
        <v>1.4993715619541976</v>
      </c>
      <c r="E69" s="16">
        <v>8.1585657877077611E-2</v>
      </c>
      <c r="F69" s="16"/>
      <c r="G69" s="215">
        <v>62</v>
      </c>
      <c r="H69" s="16">
        <f t="shared" ca="1" si="1"/>
        <v>-1.8382234200581264E-2</v>
      </c>
    </row>
    <row r="70" spans="2:8" x14ac:dyDescent="0.35">
      <c r="B70" s="206">
        <v>41852</v>
      </c>
      <c r="C70" s="207">
        <v>612.63</v>
      </c>
      <c r="D70" s="208">
        <f t="shared" si="0"/>
        <v>1.6188603428376009</v>
      </c>
      <c r="E70" s="16">
        <v>8.1353479012955893E-2</v>
      </c>
      <c r="F70" s="16"/>
      <c r="G70" s="215">
        <v>63</v>
      </c>
      <c r="H70" s="16">
        <f t="shared" ca="1" si="1"/>
        <v>5.5103718221381159E-2</v>
      </c>
    </row>
    <row r="71" spans="2:8" x14ac:dyDescent="0.35">
      <c r="B71" s="206">
        <v>40087</v>
      </c>
      <c r="C71" s="207">
        <v>233.93</v>
      </c>
      <c r="D71" s="208">
        <f t="shared" si="0"/>
        <v>-0.30861533914585493</v>
      </c>
      <c r="E71" s="16">
        <v>7.9610485508584086E-2</v>
      </c>
      <c r="F71" s="16"/>
      <c r="G71" s="215">
        <v>64</v>
      </c>
      <c r="H71" s="16">
        <f t="shared" ca="1" si="1"/>
        <v>3.9794224598531852E-2</v>
      </c>
    </row>
    <row r="72" spans="2:8" x14ac:dyDescent="0.35">
      <c r="B72" s="206">
        <v>40969</v>
      </c>
      <c r="C72" s="207">
        <v>338.35</v>
      </c>
      <c r="D72" s="208">
        <f t="shared" ref="D72:D135" si="4">(C72-C73)/C73</f>
        <v>0.59006532261854427</v>
      </c>
      <c r="E72" s="16">
        <v>7.8509498916231019E-2</v>
      </c>
      <c r="F72" s="16"/>
      <c r="G72" s="215">
        <v>65</v>
      </c>
      <c r="H72" s="16">
        <f t="shared" ref="H72:H135" ca="1" si="5">_xlfn.NORM.INV(RAND(),M$10,M$11)</f>
        <v>-6.0068294952930479E-2</v>
      </c>
    </row>
    <row r="73" spans="2:8" x14ac:dyDescent="0.35">
      <c r="B73" s="206">
        <v>36647</v>
      </c>
      <c r="C73" s="207">
        <v>212.79</v>
      </c>
      <c r="D73" s="208">
        <f t="shared" si="4"/>
        <v>0.16795652889840273</v>
      </c>
      <c r="E73" s="16">
        <v>7.5403042401576734E-2</v>
      </c>
      <c r="F73" s="16"/>
      <c r="G73" s="215">
        <v>66</v>
      </c>
      <c r="H73" s="16">
        <f t="shared" ca="1" si="5"/>
        <v>9.8706188571443722E-3</v>
      </c>
    </row>
    <row r="74" spans="2:8" x14ac:dyDescent="0.35">
      <c r="B74" s="206">
        <v>37073</v>
      </c>
      <c r="C74" s="207">
        <v>182.19</v>
      </c>
      <c r="D74" s="208">
        <f t="shared" si="4"/>
        <v>-0.84539468101356052</v>
      </c>
      <c r="E74" s="16">
        <v>7.4994099598772762E-2</v>
      </c>
      <c r="F74" s="16"/>
      <c r="G74" s="215">
        <v>67</v>
      </c>
      <c r="H74" s="16">
        <f t="shared" ca="1" si="5"/>
        <v>4.9126260493147209E-2</v>
      </c>
    </row>
    <row r="75" spans="2:8" x14ac:dyDescent="0.35">
      <c r="B75" s="206">
        <v>43070</v>
      </c>
      <c r="C75" s="207">
        <v>1178.42</v>
      </c>
      <c r="D75" s="208">
        <f t="shared" si="4"/>
        <v>9.3880465444287733</v>
      </c>
      <c r="E75" s="16">
        <v>7.4965336057797621E-2</v>
      </c>
      <c r="F75" s="16"/>
      <c r="G75" s="215">
        <v>68</v>
      </c>
      <c r="H75" s="16">
        <f t="shared" ca="1" si="5"/>
        <v>5.0793378454915689E-2</v>
      </c>
    </row>
    <row r="76" spans="2:8" x14ac:dyDescent="0.35">
      <c r="B76" s="206">
        <v>35735</v>
      </c>
      <c r="C76" s="207">
        <v>113.44</v>
      </c>
      <c r="D76" s="208">
        <f t="shared" si="4"/>
        <v>-0.95167357510746065</v>
      </c>
      <c r="E76" s="16">
        <v>7.2009072009072056E-2</v>
      </c>
      <c r="F76" s="16"/>
      <c r="G76" s="215">
        <v>69</v>
      </c>
      <c r="H76" s="16">
        <f t="shared" ca="1" si="5"/>
        <v>-8.2898196734757151E-2</v>
      </c>
    </row>
    <row r="77" spans="2:8" x14ac:dyDescent="0.35">
      <c r="B77" s="206">
        <v>45444</v>
      </c>
      <c r="C77" s="207">
        <v>2347.37</v>
      </c>
      <c r="D77" s="208">
        <f t="shared" si="4"/>
        <v>15.572790172267723</v>
      </c>
      <c r="E77" s="16">
        <v>7.2000401879700901E-2</v>
      </c>
      <c r="F77" s="16"/>
      <c r="G77" s="215">
        <v>70</v>
      </c>
      <c r="H77" s="16">
        <f t="shared" ca="1" si="5"/>
        <v>2.3875194564894953E-2</v>
      </c>
    </row>
    <row r="78" spans="2:8" x14ac:dyDescent="0.35">
      <c r="B78" s="206">
        <v>37561</v>
      </c>
      <c r="C78" s="207">
        <v>141.63999999999999</v>
      </c>
      <c r="D78" s="208">
        <f t="shared" si="4"/>
        <v>-0.81261575911520345</v>
      </c>
      <c r="E78" s="16">
        <v>7.1812334468406958E-2</v>
      </c>
      <c r="F78" s="16"/>
      <c r="G78" s="215">
        <v>71</v>
      </c>
      <c r="H78" s="16">
        <f t="shared" ca="1" si="5"/>
        <v>-6.8254679058859138E-2</v>
      </c>
    </row>
    <row r="79" spans="2:8" x14ac:dyDescent="0.35">
      <c r="B79" s="206">
        <v>42522</v>
      </c>
      <c r="C79" s="207">
        <v>755.88</v>
      </c>
      <c r="D79" s="208">
        <f t="shared" si="4"/>
        <v>-0.23591371328063401</v>
      </c>
      <c r="E79" s="16">
        <v>7.1061170702676632E-2</v>
      </c>
      <c r="F79" s="16"/>
      <c r="G79" s="215">
        <v>72</v>
      </c>
      <c r="H79" s="16">
        <f t="shared" ca="1" si="5"/>
        <v>4.7288763697428238E-2</v>
      </c>
    </row>
    <row r="80" spans="2:8" x14ac:dyDescent="0.35">
      <c r="B80" s="206">
        <v>42917</v>
      </c>
      <c r="C80" s="207">
        <v>989.26</v>
      </c>
      <c r="D80" s="208">
        <f t="shared" si="4"/>
        <v>-0.48533673230497104</v>
      </c>
      <c r="E80" s="16">
        <v>7.0535018613107028E-2</v>
      </c>
      <c r="F80" s="16"/>
      <c r="G80" s="215">
        <v>73</v>
      </c>
      <c r="H80" s="16">
        <f t="shared" ca="1" si="5"/>
        <v>-4.1265113363849512E-2</v>
      </c>
    </row>
    <row r="81" spans="2:8" x14ac:dyDescent="0.35">
      <c r="B81" s="206">
        <v>43862</v>
      </c>
      <c r="C81" s="207">
        <v>1922.15</v>
      </c>
      <c r="D81" s="208">
        <f t="shared" si="4"/>
        <v>7.0173096976016689</v>
      </c>
      <c r="E81" s="16">
        <v>6.9066780869536229E-2</v>
      </c>
      <c r="F81" s="16"/>
      <c r="G81" s="215">
        <v>74</v>
      </c>
      <c r="H81" s="16">
        <f t="shared" ca="1" si="5"/>
        <v>-8.0523257113436372E-2</v>
      </c>
    </row>
    <row r="82" spans="2:8" x14ac:dyDescent="0.35">
      <c r="B82" s="206">
        <v>38808</v>
      </c>
      <c r="C82" s="207">
        <v>239.75</v>
      </c>
      <c r="D82" s="208">
        <f t="shared" si="4"/>
        <v>-0.82730553414632391</v>
      </c>
      <c r="E82" s="16">
        <v>6.8214222063803259E-2</v>
      </c>
      <c r="F82" s="16"/>
      <c r="G82" s="215">
        <v>75</v>
      </c>
      <c r="H82" s="16">
        <f t="shared" ca="1" si="5"/>
        <v>2.1809026772797245E-2</v>
      </c>
    </row>
    <row r="83" spans="2:8" x14ac:dyDescent="0.35">
      <c r="B83" s="206">
        <v>43221</v>
      </c>
      <c r="C83" s="207">
        <v>1388.29</v>
      </c>
      <c r="D83" s="208">
        <f t="shared" si="4"/>
        <v>4.5244329486669317</v>
      </c>
      <c r="E83" s="16">
        <v>6.7964675292705751E-2</v>
      </c>
      <c r="F83" s="16"/>
      <c r="G83" s="215">
        <v>76</v>
      </c>
      <c r="H83" s="16">
        <f t="shared" ca="1" si="5"/>
        <v>-6.3969940241202748E-3</v>
      </c>
    </row>
    <row r="84" spans="2:8" x14ac:dyDescent="0.35">
      <c r="B84" s="206">
        <v>40664</v>
      </c>
      <c r="C84" s="207">
        <v>251.3</v>
      </c>
      <c r="D84" s="208">
        <f t="shared" si="4"/>
        <v>0.47450566214868273</v>
      </c>
      <c r="E84" s="16">
        <v>6.7862151021969144E-2</v>
      </c>
      <c r="F84" s="16"/>
      <c r="G84" s="215">
        <v>77</v>
      </c>
      <c r="H84" s="16">
        <f t="shared" ca="1" si="5"/>
        <v>-4.538303330866239E-2</v>
      </c>
    </row>
    <row r="85" spans="2:8" x14ac:dyDescent="0.35">
      <c r="B85" s="206">
        <v>36861</v>
      </c>
      <c r="C85" s="207">
        <v>170.43</v>
      </c>
      <c r="D85" s="208">
        <f t="shared" si="4"/>
        <v>-0.91214676742579659</v>
      </c>
      <c r="E85" s="16">
        <v>6.7455843667794127E-2</v>
      </c>
      <c r="F85" s="16"/>
      <c r="G85" s="215">
        <v>78</v>
      </c>
      <c r="H85" s="16">
        <f t="shared" ca="1" si="5"/>
        <v>3.3874971216642492E-2</v>
      </c>
    </row>
    <row r="86" spans="2:8" x14ac:dyDescent="0.35">
      <c r="B86" s="206">
        <v>43983</v>
      </c>
      <c r="C86" s="207">
        <v>1939.94</v>
      </c>
      <c r="D86" s="208">
        <f t="shared" si="4"/>
        <v>1.5646673100567157</v>
      </c>
      <c r="E86" s="16">
        <v>6.684484626510262E-2</v>
      </c>
      <c r="F86" s="16"/>
      <c r="G86" s="215">
        <v>79</v>
      </c>
      <c r="H86" s="16">
        <f t="shared" ca="1" si="5"/>
        <v>1.2609042013196414E-2</v>
      </c>
    </row>
    <row r="87" spans="2:8" x14ac:dyDescent="0.35">
      <c r="B87" s="206">
        <v>42156</v>
      </c>
      <c r="C87" s="207">
        <v>756.41</v>
      </c>
      <c r="D87" s="208">
        <f t="shared" si="4"/>
        <v>2.8778324618066229</v>
      </c>
      <c r="E87" s="16">
        <v>6.6492774057102522E-2</v>
      </c>
      <c r="F87" s="16"/>
      <c r="G87" s="215">
        <v>80</v>
      </c>
      <c r="H87" s="16">
        <f t="shared" ca="1" si="5"/>
        <v>2.401431999817364E-2</v>
      </c>
    </row>
    <row r="88" spans="2:8" x14ac:dyDescent="0.35">
      <c r="B88" s="206">
        <v>39753</v>
      </c>
      <c r="C88" s="207">
        <v>195.06</v>
      </c>
      <c r="D88" s="208">
        <f t="shared" si="4"/>
        <v>-0.93053319847861082</v>
      </c>
      <c r="E88" s="16">
        <v>6.6018144059460118E-2</v>
      </c>
      <c r="F88" s="16"/>
      <c r="G88" s="215">
        <v>81</v>
      </c>
      <c r="H88" s="16">
        <f t="shared" ca="1" si="5"/>
        <v>-4.7818800506242251E-2</v>
      </c>
    </row>
    <row r="89" spans="2:8" x14ac:dyDescent="0.35">
      <c r="B89" s="206">
        <v>45536</v>
      </c>
      <c r="C89" s="207">
        <v>2807.96</v>
      </c>
      <c r="D89" s="208">
        <f t="shared" si="4"/>
        <v>3.3289293147305945</v>
      </c>
      <c r="E89" s="16">
        <v>6.490393731843655E-2</v>
      </c>
      <c r="F89" s="16"/>
      <c r="G89" s="215">
        <v>82</v>
      </c>
      <c r="H89" s="16">
        <f t="shared" ca="1" si="5"/>
        <v>0.13637962693235425</v>
      </c>
    </row>
    <row r="90" spans="2:8" x14ac:dyDescent="0.35">
      <c r="B90" s="206">
        <v>41944</v>
      </c>
      <c r="C90" s="207">
        <v>648.65</v>
      </c>
      <c r="D90" s="208">
        <f t="shared" si="4"/>
        <v>-0.71028830478572536</v>
      </c>
      <c r="E90" s="16">
        <v>6.4687151204779678E-2</v>
      </c>
      <c r="F90" s="16"/>
      <c r="G90" s="215">
        <v>83</v>
      </c>
      <c r="H90" s="16">
        <f t="shared" ca="1" si="5"/>
        <v>7.1699010350091824E-2</v>
      </c>
    </row>
    <row r="91" spans="2:8" x14ac:dyDescent="0.35">
      <c r="B91" s="206">
        <v>44348</v>
      </c>
      <c r="C91" s="207">
        <v>2238.9499999999998</v>
      </c>
      <c r="D91" s="208">
        <f t="shared" si="4"/>
        <v>3.4972381239329113</v>
      </c>
      <c r="E91" s="16">
        <v>6.373021792940925E-2</v>
      </c>
      <c r="F91" s="16"/>
      <c r="G91" s="215">
        <v>84</v>
      </c>
      <c r="H91" s="16">
        <f t="shared" ca="1" si="5"/>
        <v>0.17015195463891625</v>
      </c>
    </row>
    <row r="92" spans="2:8" x14ac:dyDescent="0.35">
      <c r="B92" s="206">
        <v>41760</v>
      </c>
      <c r="C92" s="207">
        <v>497.85</v>
      </c>
      <c r="D92" s="208">
        <f t="shared" si="4"/>
        <v>0.77145602049530315</v>
      </c>
      <c r="E92" s="16">
        <v>6.3168684733166849E-2</v>
      </c>
      <c r="F92" s="16"/>
      <c r="G92" s="215">
        <v>85</v>
      </c>
      <c r="H92" s="16">
        <f t="shared" ca="1" si="5"/>
        <v>-4.0091505570068214E-2</v>
      </c>
    </row>
    <row r="93" spans="2:8" x14ac:dyDescent="0.35">
      <c r="B93" s="206">
        <v>40787</v>
      </c>
      <c r="C93" s="207">
        <v>281.04000000000002</v>
      </c>
      <c r="D93" s="208">
        <f t="shared" si="4"/>
        <v>2.6081653614071132</v>
      </c>
      <c r="E93" s="16">
        <v>6.3015356683561632E-2</v>
      </c>
      <c r="F93" s="16"/>
      <c r="G93" s="215">
        <v>86</v>
      </c>
      <c r="H93" s="16">
        <f t="shared" ca="1" si="5"/>
        <v>5.1137346193286567E-2</v>
      </c>
    </row>
    <row r="94" spans="2:8" x14ac:dyDescent="0.35">
      <c r="B94" s="206">
        <v>35462</v>
      </c>
      <c r="C94" s="207">
        <v>77.89</v>
      </c>
      <c r="D94" s="208">
        <f t="shared" si="4"/>
        <v>-0.89149392622311385</v>
      </c>
      <c r="E94" s="16">
        <v>6.2764360758630011E-2</v>
      </c>
      <c r="F94" s="16"/>
      <c r="G94" s="215">
        <v>87</v>
      </c>
      <c r="H94" s="16">
        <f t="shared" ca="1" si="5"/>
        <v>1.3729319924297514E-2</v>
      </c>
    </row>
    <row r="95" spans="2:8" x14ac:dyDescent="0.35">
      <c r="B95" s="206">
        <v>42339</v>
      </c>
      <c r="C95" s="207">
        <v>717.84</v>
      </c>
      <c r="D95" s="208">
        <f t="shared" si="4"/>
        <v>0.91408687305015623</v>
      </c>
      <c r="E95" s="16">
        <v>6.2506475629431207E-2</v>
      </c>
      <c r="F95" s="16"/>
      <c r="G95" s="215">
        <v>88</v>
      </c>
      <c r="H95" s="16">
        <f t="shared" ca="1" si="5"/>
        <v>-4.9799174705304539E-2</v>
      </c>
    </row>
    <row r="96" spans="2:8" x14ac:dyDescent="0.35">
      <c r="B96" s="206">
        <v>41061</v>
      </c>
      <c r="C96" s="207">
        <v>375.03</v>
      </c>
      <c r="D96" s="208">
        <f t="shared" si="4"/>
        <v>-0.8417995444191344</v>
      </c>
      <c r="E96" s="16">
        <v>6.1926605504587007E-2</v>
      </c>
      <c r="F96" s="16"/>
      <c r="G96" s="215">
        <v>89</v>
      </c>
      <c r="H96" s="16">
        <f t="shared" ca="1" si="5"/>
        <v>6.3795405390653162E-3</v>
      </c>
    </row>
    <row r="97" spans="2:8" x14ac:dyDescent="0.35">
      <c r="B97" s="206">
        <v>45658</v>
      </c>
      <c r="C97" s="207">
        <v>2370.6</v>
      </c>
      <c r="D97" s="208">
        <f t="shared" si="4"/>
        <v>11.885796597271295</v>
      </c>
      <c r="E97" s="16">
        <v>6.1003446269525002E-2</v>
      </c>
      <c r="F97" s="16"/>
      <c r="G97" s="215">
        <v>90</v>
      </c>
      <c r="H97" s="16">
        <f t="shared" ca="1" si="5"/>
        <v>4.9499716106902486E-2</v>
      </c>
    </row>
    <row r="98" spans="2:8" x14ac:dyDescent="0.35">
      <c r="B98" s="206">
        <v>37226</v>
      </c>
      <c r="C98" s="207">
        <v>183.97</v>
      </c>
      <c r="D98" s="208">
        <f t="shared" si="4"/>
        <v>-0.59154085257548839</v>
      </c>
      <c r="E98" s="16">
        <v>6.0712638376383771E-2</v>
      </c>
      <c r="F98" s="16"/>
      <c r="G98" s="215">
        <v>91</v>
      </c>
      <c r="H98" s="16">
        <f t="shared" ca="1" si="5"/>
        <v>-2.8741038887951226E-2</v>
      </c>
    </row>
    <row r="99" spans="2:8" x14ac:dyDescent="0.35">
      <c r="B99" s="206">
        <v>41153</v>
      </c>
      <c r="C99" s="207">
        <v>450.4</v>
      </c>
      <c r="D99" s="208">
        <f t="shared" si="4"/>
        <v>-0.81875834983179607</v>
      </c>
      <c r="E99" s="16">
        <v>5.9689904242053518E-2</v>
      </c>
      <c r="F99" s="16"/>
      <c r="G99" s="215">
        <v>92</v>
      </c>
      <c r="H99" s="16">
        <f t="shared" ca="1" si="5"/>
        <v>3.221792433271739E-3</v>
      </c>
    </row>
    <row r="100" spans="2:8" x14ac:dyDescent="0.35">
      <c r="B100" s="206">
        <v>44866</v>
      </c>
      <c r="C100" s="207">
        <v>2485.08</v>
      </c>
      <c r="D100" s="208">
        <f t="shared" si="4"/>
        <v>12.652035378783715</v>
      </c>
      <c r="E100" s="16">
        <v>5.9460012534052885E-2</v>
      </c>
      <c r="F100" s="16"/>
      <c r="G100" s="215">
        <v>93</v>
      </c>
      <c r="H100" s="16">
        <f t="shared" ca="1" si="5"/>
        <v>0.14290822271041326</v>
      </c>
    </row>
    <row r="101" spans="2:8" x14ac:dyDescent="0.35">
      <c r="B101" s="206">
        <v>39326</v>
      </c>
      <c r="C101" s="207">
        <v>182.03</v>
      </c>
      <c r="D101" s="208">
        <f t="shared" si="4"/>
        <v>-0.11862683387401346</v>
      </c>
      <c r="E101" s="16">
        <v>5.9052827554107554E-2</v>
      </c>
      <c r="F101" s="16"/>
      <c r="G101" s="215">
        <v>94</v>
      </c>
      <c r="H101" s="16">
        <f t="shared" ca="1" si="5"/>
        <v>-1.5614110691183583E-2</v>
      </c>
    </row>
    <row r="102" spans="2:8" x14ac:dyDescent="0.35">
      <c r="B102" s="206">
        <v>39783</v>
      </c>
      <c r="C102" s="207">
        <v>206.53</v>
      </c>
      <c r="D102" s="208">
        <f t="shared" si="4"/>
        <v>0.37750950443540315</v>
      </c>
      <c r="E102" s="16">
        <v>5.8802419768276423E-2</v>
      </c>
      <c r="F102" s="16"/>
      <c r="G102" s="215">
        <v>95</v>
      </c>
      <c r="H102" s="16">
        <f t="shared" ca="1" si="5"/>
        <v>-0.100251638663073</v>
      </c>
    </row>
    <row r="103" spans="2:8" x14ac:dyDescent="0.35">
      <c r="B103" s="206">
        <v>37591</v>
      </c>
      <c r="C103" s="207">
        <v>149.93</v>
      </c>
      <c r="D103" s="208">
        <f t="shared" si="4"/>
        <v>-0.91661151187172196</v>
      </c>
      <c r="E103" s="16">
        <v>5.8528664219147285E-2</v>
      </c>
      <c r="F103" s="16"/>
      <c r="G103" s="215">
        <v>96</v>
      </c>
      <c r="H103" s="16">
        <f t="shared" ca="1" si="5"/>
        <v>9.5859650813938727E-2</v>
      </c>
    </row>
    <row r="104" spans="2:8" x14ac:dyDescent="0.35">
      <c r="B104" s="206">
        <v>43831</v>
      </c>
      <c r="C104" s="207">
        <v>1797.97</v>
      </c>
      <c r="D104" s="208">
        <f t="shared" si="4"/>
        <v>-0.11496753678262193</v>
      </c>
      <c r="E104" s="16">
        <v>5.7853427784707305E-2</v>
      </c>
      <c r="F104" s="16"/>
      <c r="G104" s="215">
        <v>97</v>
      </c>
      <c r="H104" s="16">
        <f t="shared" ca="1" si="5"/>
        <v>3.5349852582348185E-2</v>
      </c>
    </row>
    <row r="105" spans="2:8" x14ac:dyDescent="0.35">
      <c r="B105" s="206">
        <v>43891</v>
      </c>
      <c r="C105" s="207">
        <v>2031.53</v>
      </c>
      <c r="D105" s="208">
        <f t="shared" si="4"/>
        <v>5.1991699978639652</v>
      </c>
      <c r="E105" s="16">
        <v>5.6905028223603715E-2</v>
      </c>
      <c r="F105" s="16"/>
      <c r="G105" s="215">
        <v>98</v>
      </c>
      <c r="H105" s="16">
        <f t="shared" ca="1" si="5"/>
        <v>-3.2672040259109345E-2</v>
      </c>
    </row>
    <row r="106" spans="2:8" x14ac:dyDescent="0.35">
      <c r="B106" s="206">
        <v>40848</v>
      </c>
      <c r="C106" s="207">
        <v>327.71</v>
      </c>
      <c r="D106" s="208">
        <f t="shared" si="4"/>
        <v>-0.68611355886747627</v>
      </c>
      <c r="E106" s="16">
        <v>5.6822212905930557E-2</v>
      </c>
      <c r="F106" s="16"/>
      <c r="G106" s="215">
        <v>99</v>
      </c>
      <c r="H106" s="16">
        <f t="shared" ca="1" si="5"/>
        <v>3.3868573401518252E-3</v>
      </c>
    </row>
    <row r="107" spans="2:8" x14ac:dyDescent="0.35">
      <c r="B107" s="206">
        <v>42948</v>
      </c>
      <c r="C107" s="207">
        <v>1044.04</v>
      </c>
      <c r="D107" s="208">
        <f t="shared" si="4"/>
        <v>-0.30540882176834538</v>
      </c>
      <c r="E107" s="16">
        <v>5.5374724541576506E-2</v>
      </c>
      <c r="F107" s="16"/>
      <c r="G107" s="215">
        <v>100</v>
      </c>
      <c r="H107" s="16">
        <f t="shared" ca="1" si="5"/>
        <v>7.4277531631882693E-2</v>
      </c>
    </row>
    <row r="108" spans="2:8" x14ac:dyDescent="0.35">
      <c r="B108" s="206">
        <v>43282</v>
      </c>
      <c r="C108" s="207">
        <v>1503.1</v>
      </c>
      <c r="D108" s="208">
        <f t="shared" si="4"/>
        <v>-0.41759723503018381</v>
      </c>
      <c r="E108" s="16">
        <v>5.5147626602271571E-2</v>
      </c>
      <c r="F108" s="16"/>
      <c r="G108" s="215">
        <v>101</v>
      </c>
      <c r="H108" s="16">
        <f t="shared" ca="1" si="5"/>
        <v>7.2002957153680311E-2</v>
      </c>
    </row>
    <row r="109" spans="2:8" x14ac:dyDescent="0.35">
      <c r="B109" s="206">
        <v>45870</v>
      </c>
      <c r="C109" s="207">
        <v>2580.86</v>
      </c>
      <c r="D109" s="208">
        <f t="shared" si="4"/>
        <v>1.4366355422539865</v>
      </c>
      <c r="E109" s="16">
        <v>5.497101840270114E-2</v>
      </c>
      <c r="F109" s="16"/>
      <c r="G109" s="215">
        <v>102</v>
      </c>
      <c r="H109" s="16">
        <f t="shared" ca="1" si="5"/>
        <v>-4.4464563475235336E-2</v>
      </c>
    </row>
    <row r="110" spans="2:8" x14ac:dyDescent="0.35">
      <c r="B110" s="206">
        <v>43009</v>
      </c>
      <c r="C110" s="207">
        <v>1059.19</v>
      </c>
      <c r="D110" s="208">
        <f t="shared" si="4"/>
        <v>1.7490007786140671</v>
      </c>
      <c r="E110" s="16">
        <v>5.4140666208859656E-2</v>
      </c>
      <c r="F110" s="16"/>
      <c r="G110" s="215">
        <v>103</v>
      </c>
      <c r="H110" s="16">
        <f t="shared" ca="1" si="5"/>
        <v>8.4959516520188155E-2</v>
      </c>
    </row>
    <row r="111" spans="2:8" x14ac:dyDescent="0.35">
      <c r="B111" s="206">
        <v>41334</v>
      </c>
      <c r="C111" s="207">
        <v>385.3</v>
      </c>
      <c r="D111" s="208">
        <f t="shared" si="4"/>
        <v>-0.77890502613775259</v>
      </c>
      <c r="E111" s="16">
        <v>5.3941681711253429E-2</v>
      </c>
      <c r="F111" s="16"/>
      <c r="G111" s="215">
        <v>104</v>
      </c>
      <c r="H111" s="16">
        <f t="shared" ca="1" si="5"/>
        <v>-2.1183736995198762E-2</v>
      </c>
    </row>
    <row r="112" spans="2:8" x14ac:dyDescent="0.35">
      <c r="B112" s="206">
        <v>43709</v>
      </c>
      <c r="C112" s="207">
        <v>1742.69</v>
      </c>
      <c r="D112" s="208">
        <f t="shared" si="4"/>
        <v>-0.18759498391683366</v>
      </c>
      <c r="E112" s="16">
        <v>5.3163072906594486E-2</v>
      </c>
      <c r="F112" s="16"/>
      <c r="G112" s="215">
        <v>105</v>
      </c>
      <c r="H112" s="16">
        <f t="shared" ca="1" si="5"/>
        <v>-7.2890810201666476E-2</v>
      </c>
    </row>
    <row r="113" spans="2:8" x14ac:dyDescent="0.35">
      <c r="B113" s="206">
        <v>44682</v>
      </c>
      <c r="C113" s="207">
        <v>2145.1</v>
      </c>
      <c r="D113" s="208">
        <f t="shared" si="4"/>
        <v>1.7733819460605589</v>
      </c>
      <c r="E113" s="16">
        <v>5.2980360009228407E-2</v>
      </c>
      <c r="F113" s="16"/>
      <c r="G113" s="215">
        <v>106</v>
      </c>
      <c r="H113" s="16">
        <f t="shared" ca="1" si="5"/>
        <v>0.12964974708597296</v>
      </c>
    </row>
    <row r="114" spans="2:8" x14ac:dyDescent="0.35">
      <c r="B114" s="206">
        <v>42795</v>
      </c>
      <c r="C114" s="207">
        <v>773.46</v>
      </c>
      <c r="D114" s="208">
        <f t="shared" si="4"/>
        <v>2.5439175257731961</v>
      </c>
      <c r="E114" s="16">
        <v>5.2942537811236486E-2</v>
      </c>
      <c r="F114" s="16"/>
      <c r="G114" s="215">
        <v>107</v>
      </c>
      <c r="H114" s="16">
        <f t="shared" ca="1" si="5"/>
        <v>7.7643818325807537E-2</v>
      </c>
    </row>
    <row r="115" spans="2:8" x14ac:dyDescent="0.35">
      <c r="B115" s="206">
        <v>40391</v>
      </c>
      <c r="C115" s="207">
        <v>218.25</v>
      </c>
      <c r="D115" s="208">
        <f t="shared" si="4"/>
        <v>2.1954612005856515</v>
      </c>
      <c r="E115" s="16">
        <v>5.1908617698091436E-2</v>
      </c>
      <c r="F115" s="16"/>
      <c r="G115" s="215">
        <v>108</v>
      </c>
      <c r="H115" s="16">
        <f t="shared" ca="1" si="5"/>
        <v>1.9657518049018982E-2</v>
      </c>
    </row>
    <row r="116" spans="2:8" x14ac:dyDescent="0.35">
      <c r="B116" s="206">
        <v>35217</v>
      </c>
      <c r="C116" s="207">
        <v>68.3</v>
      </c>
      <c r="D116" s="208">
        <f t="shared" si="4"/>
        <v>-0.73546612959448465</v>
      </c>
      <c r="E116" s="16">
        <v>5.1578137028483358E-2</v>
      </c>
      <c r="F116" s="16"/>
      <c r="G116" s="215">
        <v>109</v>
      </c>
      <c r="H116" s="16">
        <f t="shared" ca="1" si="5"/>
        <v>-4.061798490552361E-3</v>
      </c>
    </row>
    <row r="117" spans="2:8" x14ac:dyDescent="0.35">
      <c r="B117" s="206">
        <v>40513</v>
      </c>
      <c r="C117" s="207">
        <v>258.19</v>
      </c>
      <c r="D117" s="208">
        <f t="shared" si="4"/>
        <v>-0.64311286198078654</v>
      </c>
      <c r="E117" s="16">
        <v>4.9126371393742395E-2</v>
      </c>
      <c r="F117" s="16"/>
      <c r="G117" s="215">
        <v>110</v>
      </c>
      <c r="H117" s="16">
        <f t="shared" ca="1" si="5"/>
        <v>0.15225230731977649</v>
      </c>
    </row>
    <row r="118" spans="2:8" x14ac:dyDescent="0.35">
      <c r="B118" s="206">
        <v>42430</v>
      </c>
      <c r="C118" s="207">
        <v>723.45</v>
      </c>
      <c r="D118" s="208">
        <f t="shared" si="4"/>
        <v>0.43132716049382724</v>
      </c>
      <c r="E118" s="16">
        <v>4.7082151334452739E-2</v>
      </c>
      <c r="F118" s="16"/>
      <c r="G118" s="215">
        <v>111</v>
      </c>
      <c r="H118" s="16">
        <f t="shared" ca="1" si="5"/>
        <v>5.1580752612427297E-2</v>
      </c>
    </row>
    <row r="119" spans="2:8" x14ac:dyDescent="0.35">
      <c r="B119" s="206">
        <v>41456</v>
      </c>
      <c r="C119" s="207">
        <v>505.44</v>
      </c>
      <c r="D119" s="208">
        <f t="shared" si="4"/>
        <v>-0.79819290337263482</v>
      </c>
      <c r="E119" s="16">
        <v>4.6828076134457289E-2</v>
      </c>
      <c r="F119" s="16"/>
      <c r="G119" s="215">
        <v>112</v>
      </c>
      <c r="H119" s="16">
        <f t="shared" ca="1" si="5"/>
        <v>5.8367170769087845E-2</v>
      </c>
    </row>
    <row r="120" spans="2:8" x14ac:dyDescent="0.35">
      <c r="B120" s="206">
        <v>45261</v>
      </c>
      <c r="C120" s="207">
        <v>2504.5700000000002</v>
      </c>
      <c r="D120" s="208">
        <f t="shared" si="4"/>
        <v>17.228311499272198</v>
      </c>
      <c r="E120" s="16">
        <v>4.6514154392562485E-2</v>
      </c>
      <c r="F120" s="16"/>
      <c r="G120" s="215">
        <v>113</v>
      </c>
      <c r="H120" s="16">
        <f t="shared" ca="1" si="5"/>
        <v>3.1733870577021275E-2</v>
      </c>
    </row>
    <row r="121" spans="2:8" x14ac:dyDescent="0.35">
      <c r="B121" s="206">
        <v>36130</v>
      </c>
      <c r="C121" s="207">
        <v>137.4</v>
      </c>
      <c r="D121" s="208">
        <f t="shared" si="4"/>
        <v>-0.36359425660027789</v>
      </c>
      <c r="E121" s="16">
        <v>4.5662100456621002E-2</v>
      </c>
      <c r="F121" s="16"/>
      <c r="G121" s="215">
        <v>114</v>
      </c>
      <c r="H121" s="16">
        <f t="shared" ca="1" si="5"/>
        <v>7.6667293160347413E-2</v>
      </c>
    </row>
    <row r="122" spans="2:8" x14ac:dyDescent="0.35">
      <c r="B122" s="206">
        <v>39814</v>
      </c>
      <c r="C122" s="207">
        <v>215.9</v>
      </c>
      <c r="D122" s="208">
        <f t="shared" si="4"/>
        <v>-0.90140246882007202</v>
      </c>
      <c r="E122" s="16">
        <v>4.5368711567326803E-2</v>
      </c>
      <c r="F122" s="16"/>
      <c r="G122" s="215">
        <v>115</v>
      </c>
      <c r="H122" s="16">
        <f t="shared" ca="1" si="5"/>
        <v>-1.0118648771175368E-2</v>
      </c>
    </row>
    <row r="123" spans="2:8" x14ac:dyDescent="0.35">
      <c r="B123" s="206">
        <v>45413</v>
      </c>
      <c r="C123" s="207">
        <v>2189.71</v>
      </c>
      <c r="D123" s="208">
        <f t="shared" si="4"/>
        <v>0.42706038763832582</v>
      </c>
      <c r="E123" s="16">
        <v>4.4210777300906071E-2</v>
      </c>
      <c r="F123" s="16"/>
      <c r="G123" s="215">
        <v>116</v>
      </c>
      <c r="H123" s="16">
        <f t="shared" ca="1" si="5"/>
        <v>0.13364818175511228</v>
      </c>
    </row>
    <row r="124" spans="2:8" x14ac:dyDescent="0.35">
      <c r="B124" s="206">
        <v>43556</v>
      </c>
      <c r="C124" s="207">
        <v>1534.42</v>
      </c>
      <c r="D124" s="208">
        <f t="shared" si="4"/>
        <v>10.031056793673617</v>
      </c>
      <c r="E124" s="16">
        <v>4.3830230137620024E-2</v>
      </c>
      <c r="F124" s="16"/>
      <c r="G124" s="215">
        <v>117</v>
      </c>
      <c r="H124" s="16">
        <f t="shared" ca="1" si="5"/>
        <v>5.1701907181025353E-2</v>
      </c>
    </row>
    <row r="125" spans="2:8" x14ac:dyDescent="0.35">
      <c r="B125" s="206">
        <v>36039</v>
      </c>
      <c r="C125" s="207">
        <v>139.1</v>
      </c>
      <c r="D125" s="208">
        <f t="shared" si="4"/>
        <v>0.2255506607929515</v>
      </c>
      <c r="E125" s="16">
        <v>4.3510877719429727E-2</v>
      </c>
      <c r="F125" s="16"/>
      <c r="G125" s="215">
        <v>118</v>
      </c>
      <c r="H125" s="16">
        <f t="shared" ca="1" si="5"/>
        <v>-5.8227080310270851E-2</v>
      </c>
    </row>
    <row r="126" spans="2:8" x14ac:dyDescent="0.35">
      <c r="B126" s="206">
        <v>38443</v>
      </c>
      <c r="C126" s="207">
        <v>113.5</v>
      </c>
      <c r="D126" s="208">
        <f t="shared" si="4"/>
        <v>-0.28746311758428023</v>
      </c>
      <c r="E126" s="16">
        <v>4.2432035268185203E-2</v>
      </c>
      <c r="F126" s="16"/>
      <c r="G126" s="215">
        <v>119</v>
      </c>
      <c r="H126" s="16">
        <f t="shared" ca="1" si="5"/>
        <v>-5.7892549032894522E-2</v>
      </c>
    </row>
    <row r="127" spans="2:8" x14ac:dyDescent="0.35">
      <c r="B127" s="206">
        <v>37408</v>
      </c>
      <c r="C127" s="207">
        <v>159.29</v>
      </c>
      <c r="D127" s="208">
        <f t="shared" si="4"/>
        <v>0.3476311336717427</v>
      </c>
      <c r="E127" s="16">
        <v>4.1792020928711489E-2</v>
      </c>
      <c r="F127" s="16"/>
      <c r="G127" s="215">
        <v>120</v>
      </c>
      <c r="H127" s="16">
        <f t="shared" ca="1" si="5"/>
        <v>-5.4942503405068344E-2</v>
      </c>
    </row>
    <row r="128" spans="2:8" x14ac:dyDescent="0.35">
      <c r="B128" s="206">
        <v>38473</v>
      </c>
      <c r="C128" s="207">
        <v>118.2</v>
      </c>
      <c r="D128" s="208">
        <f t="shared" si="4"/>
        <v>-0.95013247380056376</v>
      </c>
      <c r="E128" s="16">
        <v>4.1409691629955975E-2</v>
      </c>
      <c r="F128" s="16"/>
      <c r="G128" s="215">
        <v>121</v>
      </c>
      <c r="H128" s="16">
        <f t="shared" ca="1" si="5"/>
        <v>-2.4827139444074244E-2</v>
      </c>
    </row>
    <row r="129" spans="2:8" x14ac:dyDescent="0.35">
      <c r="B129" s="206">
        <v>44986</v>
      </c>
      <c r="C129" s="207">
        <v>2370.2800000000002</v>
      </c>
      <c r="D129" s="208">
        <f t="shared" si="4"/>
        <v>9.1864282951566469</v>
      </c>
      <c r="E129" s="16">
        <v>4.0518353980280856E-2</v>
      </c>
      <c r="F129" s="16"/>
      <c r="G129" s="215">
        <v>122</v>
      </c>
      <c r="H129" s="16">
        <f t="shared" ca="1" si="5"/>
        <v>0.12747807266290634</v>
      </c>
    </row>
    <row r="130" spans="2:8" x14ac:dyDescent="0.35">
      <c r="B130" s="206">
        <v>40575</v>
      </c>
      <c r="C130" s="207">
        <v>232.69</v>
      </c>
      <c r="D130" s="208">
        <f t="shared" si="4"/>
        <v>0.3729643615765873</v>
      </c>
      <c r="E130" s="16">
        <v>4.0001787789398356E-2</v>
      </c>
      <c r="F130" s="16"/>
      <c r="G130" s="215">
        <v>123</v>
      </c>
      <c r="H130" s="16">
        <f t="shared" ca="1" si="5"/>
        <v>-1.1883345053676182E-2</v>
      </c>
    </row>
    <row r="131" spans="2:8" x14ac:dyDescent="0.35">
      <c r="B131" s="206">
        <v>37043</v>
      </c>
      <c r="C131" s="207">
        <v>169.48</v>
      </c>
      <c r="D131" s="208">
        <f t="shared" si="4"/>
        <v>-0.13737466279839167</v>
      </c>
      <c r="E131" s="16">
        <v>3.7590302436635158E-2</v>
      </c>
      <c r="F131" s="16"/>
      <c r="G131" s="215">
        <v>124</v>
      </c>
      <c r="H131" s="16">
        <f t="shared" ca="1" si="5"/>
        <v>6.3084984571528654E-2</v>
      </c>
    </row>
    <row r="132" spans="2:8" x14ac:dyDescent="0.35">
      <c r="B132" s="206">
        <v>36312</v>
      </c>
      <c r="C132" s="207">
        <v>196.47</v>
      </c>
      <c r="D132" s="208">
        <f t="shared" si="4"/>
        <v>-0.87631728045325774</v>
      </c>
      <c r="E132" s="16">
        <v>3.7492739082219964E-2</v>
      </c>
      <c r="F132" s="16"/>
      <c r="G132" s="215">
        <v>125</v>
      </c>
      <c r="H132" s="16">
        <f t="shared" ca="1" si="5"/>
        <v>-5.6969552098192364E-2</v>
      </c>
    </row>
    <row r="133" spans="2:8" x14ac:dyDescent="0.35">
      <c r="B133" s="206">
        <v>43435</v>
      </c>
      <c r="C133" s="207">
        <v>1588.5</v>
      </c>
      <c r="D133" s="208">
        <f t="shared" si="4"/>
        <v>7.9624238320920782</v>
      </c>
      <c r="E133" s="16">
        <v>3.7428405357924195E-2</v>
      </c>
      <c r="F133" s="16"/>
      <c r="G133" s="215">
        <v>126</v>
      </c>
      <c r="H133" s="16">
        <f t="shared" ca="1" si="5"/>
        <v>-4.6305819005094354E-2</v>
      </c>
    </row>
    <row r="134" spans="2:8" x14ac:dyDescent="0.35">
      <c r="B134" s="206">
        <v>37165</v>
      </c>
      <c r="C134" s="207">
        <v>177.24</v>
      </c>
      <c r="D134" s="208">
        <f t="shared" si="4"/>
        <v>0.34885844748858447</v>
      </c>
      <c r="E134" s="16">
        <v>3.7401229148375854E-2</v>
      </c>
      <c r="F134" s="16"/>
      <c r="G134" s="215">
        <v>127</v>
      </c>
      <c r="H134" s="16">
        <f t="shared" ca="1" si="5"/>
        <v>0.16307295683057621</v>
      </c>
    </row>
    <row r="135" spans="2:8" x14ac:dyDescent="0.35">
      <c r="B135" s="206">
        <v>35855</v>
      </c>
      <c r="C135" s="207">
        <v>131.4</v>
      </c>
      <c r="D135" s="208">
        <f t="shared" si="4"/>
        <v>-0.94157247414337419</v>
      </c>
      <c r="E135" s="16">
        <v>3.7259235869908418E-2</v>
      </c>
      <c r="F135" s="16"/>
      <c r="G135" s="215">
        <v>128</v>
      </c>
      <c r="H135" s="16">
        <f t="shared" ca="1" si="5"/>
        <v>-3.6548644577268259E-3</v>
      </c>
    </row>
    <row r="136" spans="2:8" x14ac:dyDescent="0.35">
      <c r="B136" s="206">
        <v>45748</v>
      </c>
      <c r="C136" s="207">
        <v>2248.94</v>
      </c>
      <c r="D136" s="208">
        <f t="shared" ref="D136:D199" si="6">(C136-C137)/C137</f>
        <v>2.099164898161674</v>
      </c>
      <c r="E136" s="16">
        <v>3.6855693868142025E-2</v>
      </c>
      <c r="F136" s="16"/>
      <c r="G136" s="215">
        <v>129</v>
      </c>
      <c r="H136" s="16">
        <f t="shared" ref="H136:H199" ca="1" si="7">_xlfn.NORM.INV(RAND(),M$10,M$11)</f>
        <v>7.6161800562458706E-2</v>
      </c>
    </row>
    <row r="137" spans="2:8" x14ac:dyDescent="0.35">
      <c r="B137" s="206">
        <v>42736</v>
      </c>
      <c r="C137" s="207">
        <v>725.66</v>
      </c>
      <c r="D137" s="208">
        <f t="shared" si="6"/>
        <v>-0.3380464131941911</v>
      </c>
      <c r="E137" s="16">
        <v>3.514878320162048E-2</v>
      </c>
      <c r="F137" s="16"/>
      <c r="G137" s="215">
        <v>130</v>
      </c>
      <c r="H137" s="16">
        <f t="shared" ca="1" si="7"/>
        <v>-4.7748595038649977E-2</v>
      </c>
    </row>
    <row r="138" spans="2:8" x14ac:dyDescent="0.35">
      <c r="B138" s="206">
        <v>43040</v>
      </c>
      <c r="C138" s="207">
        <v>1096.24</v>
      </c>
      <c r="D138" s="208">
        <f t="shared" si="6"/>
        <v>5.2169795270231942</v>
      </c>
      <c r="E138" s="16">
        <v>3.4979559852339949E-2</v>
      </c>
      <c r="F138" s="16"/>
      <c r="G138" s="215">
        <v>131</v>
      </c>
      <c r="H138" s="16">
        <f t="shared" ca="1" si="7"/>
        <v>6.1793799251928322E-2</v>
      </c>
    </row>
    <row r="139" spans="2:8" x14ac:dyDescent="0.35">
      <c r="B139" s="206">
        <v>39417</v>
      </c>
      <c r="C139" s="207">
        <v>176.33</v>
      </c>
      <c r="D139" s="208">
        <f t="shared" si="6"/>
        <v>-0.90831665150136487</v>
      </c>
      <c r="E139" s="16">
        <v>3.3587338804220504E-2</v>
      </c>
      <c r="F139" s="16"/>
      <c r="G139" s="215">
        <v>132</v>
      </c>
      <c r="H139" s="16">
        <f t="shared" ca="1" si="7"/>
        <v>2.7415012893664964E-2</v>
      </c>
    </row>
    <row r="140" spans="2:8" x14ac:dyDescent="0.35">
      <c r="B140" s="206">
        <v>44136</v>
      </c>
      <c r="C140" s="207">
        <v>1923.25</v>
      </c>
      <c r="D140" s="208">
        <f t="shared" si="6"/>
        <v>-0.19638566802465268</v>
      </c>
      <c r="E140" s="16">
        <v>3.2301523828949026E-2</v>
      </c>
      <c r="F140" s="16"/>
      <c r="G140" s="215">
        <v>133</v>
      </c>
      <c r="H140" s="16">
        <f t="shared" ca="1" si="7"/>
        <v>-9.3013162639810867E-2</v>
      </c>
    </row>
    <row r="141" spans="2:8" x14ac:dyDescent="0.35">
      <c r="B141" s="206">
        <v>45231</v>
      </c>
      <c r="C141" s="207">
        <v>2393.25</v>
      </c>
      <c r="D141" s="208">
        <f t="shared" si="6"/>
        <v>0.10338865836791147</v>
      </c>
      <c r="E141" s="16">
        <v>3.2294101915993016E-2</v>
      </c>
      <c r="F141" s="16"/>
      <c r="G141" s="215">
        <v>134</v>
      </c>
      <c r="H141" s="16">
        <f t="shared" ca="1" si="7"/>
        <v>-6.4619005817238617E-2</v>
      </c>
    </row>
    <row r="142" spans="2:8" x14ac:dyDescent="0.35">
      <c r="B142" s="206">
        <v>45717</v>
      </c>
      <c r="C142" s="207">
        <v>2169</v>
      </c>
      <c r="D142" s="208">
        <f t="shared" si="6"/>
        <v>3.1628281897742978</v>
      </c>
      <c r="E142" s="16">
        <v>3.1319984974775637E-2</v>
      </c>
      <c r="F142" s="16"/>
      <c r="G142" s="215">
        <v>135</v>
      </c>
      <c r="H142" s="16">
        <f t="shared" ca="1" si="7"/>
        <v>9.6448535185743811E-2</v>
      </c>
    </row>
    <row r="143" spans="2:8" x14ac:dyDescent="0.35">
      <c r="B143" s="206">
        <v>41487</v>
      </c>
      <c r="C143" s="207">
        <v>521.04</v>
      </c>
      <c r="D143" s="208">
        <f t="shared" si="6"/>
        <v>6.401136363636363</v>
      </c>
      <c r="E143" s="16">
        <v>3.086419753086413E-2</v>
      </c>
      <c r="F143" s="16"/>
      <c r="G143" s="215">
        <v>136</v>
      </c>
      <c r="H143" s="16">
        <f t="shared" ca="1" si="7"/>
        <v>4.1533815760244196E-2</v>
      </c>
    </row>
    <row r="144" spans="2:8" x14ac:dyDescent="0.35">
      <c r="B144" s="206">
        <v>35247</v>
      </c>
      <c r="C144" s="207">
        <v>70.400000000000006</v>
      </c>
      <c r="D144" s="208">
        <f t="shared" si="6"/>
        <v>-0.81744158908798592</v>
      </c>
      <c r="E144" s="16">
        <v>3.0746705710102615E-2</v>
      </c>
      <c r="F144" s="16"/>
      <c r="G144" s="215">
        <v>137</v>
      </c>
      <c r="H144" s="16">
        <f t="shared" ca="1" si="7"/>
        <v>-8.3674066673000341E-2</v>
      </c>
    </row>
    <row r="145" spans="2:8" x14ac:dyDescent="0.35">
      <c r="B145" s="206">
        <v>41091</v>
      </c>
      <c r="C145" s="207">
        <v>385.63</v>
      </c>
      <c r="D145" s="208">
        <f t="shared" si="6"/>
        <v>-0.24663983746190513</v>
      </c>
      <c r="E145" s="16">
        <v>2.8264405514225592E-2</v>
      </c>
      <c r="F145" s="16"/>
      <c r="G145" s="215">
        <v>138</v>
      </c>
      <c r="H145" s="16">
        <f t="shared" ca="1" si="7"/>
        <v>3.4218643750910036E-2</v>
      </c>
    </row>
    <row r="146" spans="2:8" x14ac:dyDescent="0.35">
      <c r="B146" s="206">
        <v>41791</v>
      </c>
      <c r="C146" s="207">
        <v>511.88</v>
      </c>
      <c r="D146" s="208">
        <f t="shared" si="6"/>
        <v>-0.66871824741934438</v>
      </c>
      <c r="E146" s="16">
        <v>2.8181179070000947E-2</v>
      </c>
      <c r="F146" s="16"/>
      <c r="G146" s="215">
        <v>139</v>
      </c>
      <c r="H146" s="16">
        <f t="shared" ca="1" si="7"/>
        <v>6.8188166296990607E-2</v>
      </c>
    </row>
    <row r="147" spans="2:8" x14ac:dyDescent="0.35">
      <c r="B147" s="206">
        <v>43313</v>
      </c>
      <c r="C147" s="207">
        <v>1545.15</v>
      </c>
      <c r="D147" s="208">
        <f t="shared" si="6"/>
        <v>6.4236091092533885</v>
      </c>
      <c r="E147" s="16">
        <v>2.7975517264320526E-2</v>
      </c>
      <c r="F147" s="16"/>
      <c r="G147" s="215">
        <v>140</v>
      </c>
      <c r="H147" s="16">
        <f t="shared" ca="1" si="7"/>
        <v>2.4408996405911328E-2</v>
      </c>
    </row>
    <row r="148" spans="2:8" x14ac:dyDescent="0.35">
      <c r="B148" s="206">
        <v>39692</v>
      </c>
      <c r="C148" s="207">
        <v>208.14</v>
      </c>
      <c r="D148" s="208">
        <f t="shared" si="6"/>
        <v>-0.92106400891983531</v>
      </c>
      <c r="E148" s="16">
        <v>2.7902612474689996E-2</v>
      </c>
      <c r="F148" s="16"/>
      <c r="G148" s="215">
        <v>141</v>
      </c>
      <c r="H148" s="16">
        <f t="shared" ca="1" si="7"/>
        <v>-4.9253740778102975E-2</v>
      </c>
    </row>
    <row r="149" spans="2:8" x14ac:dyDescent="0.35">
      <c r="B149" s="206">
        <v>45505</v>
      </c>
      <c r="C149" s="207">
        <v>2636.82</v>
      </c>
      <c r="D149" s="208">
        <f t="shared" si="6"/>
        <v>2.3977012086694334</v>
      </c>
      <c r="E149" s="16">
        <v>2.6739092342737018E-2</v>
      </c>
      <c r="F149" s="16"/>
      <c r="G149" s="215">
        <v>142</v>
      </c>
      <c r="H149" s="16">
        <f t="shared" ca="1" si="7"/>
        <v>2.2768694719285224E-2</v>
      </c>
    </row>
    <row r="150" spans="2:8" x14ac:dyDescent="0.35">
      <c r="B150" s="206">
        <v>42552</v>
      </c>
      <c r="C150" s="207">
        <v>776.06</v>
      </c>
      <c r="D150" s="208">
        <f t="shared" si="6"/>
        <v>-0.45522063262526852</v>
      </c>
      <c r="E150" s="16">
        <v>2.6697359369211977E-2</v>
      </c>
      <c r="F150" s="16"/>
      <c r="G150" s="215">
        <v>143</v>
      </c>
      <c r="H150" s="16">
        <f t="shared" ca="1" si="7"/>
        <v>-9.8577584973408711E-3</v>
      </c>
    </row>
    <row r="151" spans="2:8" x14ac:dyDescent="0.35">
      <c r="B151" s="206">
        <v>43252</v>
      </c>
      <c r="C151" s="207">
        <v>1424.54</v>
      </c>
      <c r="D151" s="208">
        <f t="shared" si="6"/>
        <v>3.2376844359828647</v>
      </c>
      <c r="E151" s="16">
        <v>2.6111259174956242E-2</v>
      </c>
      <c r="F151" s="16"/>
      <c r="G151" s="215">
        <v>144</v>
      </c>
      <c r="H151" s="16">
        <f t="shared" ca="1" si="7"/>
        <v>-3.0632612964403925E-2</v>
      </c>
    </row>
    <row r="152" spans="2:8" x14ac:dyDescent="0.35">
      <c r="B152" s="206">
        <v>40878</v>
      </c>
      <c r="C152" s="207">
        <v>336.16</v>
      </c>
      <c r="D152" s="208">
        <f t="shared" si="6"/>
        <v>-0.57616562019315631</v>
      </c>
      <c r="E152" s="16">
        <v>2.5784992829025803E-2</v>
      </c>
      <c r="F152" s="16"/>
      <c r="G152" s="215">
        <v>145</v>
      </c>
      <c r="H152" s="16">
        <f t="shared" ca="1" si="7"/>
        <v>0.15692328181243254</v>
      </c>
    </row>
    <row r="153" spans="2:8" x14ac:dyDescent="0.35">
      <c r="B153" s="206">
        <v>42826</v>
      </c>
      <c r="C153" s="207">
        <v>793.14</v>
      </c>
      <c r="D153" s="208">
        <f t="shared" si="6"/>
        <v>1.2458375806999658</v>
      </c>
      <c r="E153" s="16">
        <v>2.5444108292607178E-2</v>
      </c>
      <c r="F153" s="16"/>
      <c r="G153" s="215">
        <v>146</v>
      </c>
      <c r="H153" s="16">
        <f t="shared" ca="1" si="7"/>
        <v>-4.87531765902742E-2</v>
      </c>
    </row>
    <row r="154" spans="2:8" x14ac:dyDescent="0.35">
      <c r="B154" s="206">
        <v>41030</v>
      </c>
      <c r="C154" s="207">
        <v>353.16</v>
      </c>
      <c r="D154" s="208">
        <f t="shared" si="6"/>
        <v>-0.84966221249749907</v>
      </c>
      <c r="E154" s="16">
        <v>2.4899878112484883E-2</v>
      </c>
      <c r="F154" s="16"/>
      <c r="G154" s="215">
        <v>147</v>
      </c>
      <c r="H154" s="16">
        <f t="shared" ca="1" si="7"/>
        <v>-7.5983365045652118E-2</v>
      </c>
    </row>
    <row r="155" spans="2:8" x14ac:dyDescent="0.35">
      <c r="B155" s="206">
        <v>46023</v>
      </c>
      <c r="C155" s="207">
        <v>2349.11</v>
      </c>
      <c r="D155" s="208">
        <f t="shared" si="6"/>
        <v>10.601116104498987</v>
      </c>
      <c r="E155" s="16">
        <v>2.4657809105898248E-2</v>
      </c>
      <c r="F155" s="16"/>
      <c r="G155" s="215">
        <v>148</v>
      </c>
      <c r="H155" s="16">
        <f t="shared" ca="1" si="7"/>
        <v>-1.486716890530447E-2</v>
      </c>
    </row>
    <row r="156" spans="2:8" x14ac:dyDescent="0.35">
      <c r="B156" s="206">
        <v>39661</v>
      </c>
      <c r="C156" s="207">
        <v>202.49</v>
      </c>
      <c r="D156" s="208">
        <f t="shared" si="6"/>
        <v>0.37673375033995099</v>
      </c>
      <c r="E156" s="16">
        <v>2.3969658659924193E-2</v>
      </c>
      <c r="F156" s="16"/>
      <c r="G156" s="215">
        <v>149</v>
      </c>
      <c r="H156" s="16">
        <f t="shared" ca="1" si="7"/>
        <v>-5.6949120869986991E-2</v>
      </c>
    </row>
    <row r="157" spans="2:8" x14ac:dyDescent="0.35">
      <c r="B157" s="206">
        <v>37926</v>
      </c>
      <c r="C157" s="207">
        <v>147.08000000000001</v>
      </c>
      <c r="D157" s="208">
        <f t="shared" si="6"/>
        <v>-0.84083629123019643</v>
      </c>
      <c r="E157" s="16">
        <v>2.2382872236896972E-2</v>
      </c>
      <c r="F157" s="16"/>
      <c r="G157" s="215">
        <v>150</v>
      </c>
      <c r="H157" s="16">
        <f t="shared" ca="1" si="7"/>
        <v>7.5073401465131764E-2</v>
      </c>
    </row>
    <row r="158" spans="2:8" x14ac:dyDescent="0.35">
      <c r="B158" s="206">
        <v>42887</v>
      </c>
      <c r="C158" s="207">
        <v>924.08</v>
      </c>
      <c r="D158" s="208">
        <f t="shared" si="6"/>
        <v>4.5060477864505746</v>
      </c>
      <c r="E158" s="16">
        <v>2.0902381899332797E-2</v>
      </c>
      <c r="F158" s="16"/>
      <c r="G158" s="215">
        <v>151</v>
      </c>
      <c r="H158" s="16">
        <f t="shared" ca="1" si="7"/>
        <v>-0.12590132671727006</v>
      </c>
    </row>
    <row r="159" spans="2:8" x14ac:dyDescent="0.35">
      <c r="B159" s="206">
        <v>39203</v>
      </c>
      <c r="C159" s="207">
        <v>167.83</v>
      </c>
      <c r="D159" s="208">
        <f t="shared" si="6"/>
        <v>-0.51294329328457822</v>
      </c>
      <c r="E159" s="16">
        <v>2.0553359683794611E-2</v>
      </c>
      <c r="F159" s="16"/>
      <c r="G159" s="215">
        <v>152</v>
      </c>
      <c r="H159" s="16">
        <f t="shared" ca="1" si="7"/>
        <v>-9.4077581079993269E-3</v>
      </c>
    </row>
    <row r="160" spans="2:8" x14ac:dyDescent="0.35">
      <c r="B160" s="206">
        <v>41000</v>
      </c>
      <c r="C160" s="207">
        <v>344.58</v>
      </c>
      <c r="D160" s="208">
        <f t="shared" si="6"/>
        <v>-0.83983378188055169</v>
      </c>
      <c r="E160" s="16">
        <v>1.8412886064725759E-2</v>
      </c>
      <c r="F160" s="16"/>
      <c r="G160" s="215">
        <v>153</v>
      </c>
      <c r="H160" s="16">
        <f t="shared" ca="1" si="7"/>
        <v>-9.3463501652189307E-2</v>
      </c>
    </row>
    <row r="161" spans="2:8" x14ac:dyDescent="0.35">
      <c r="B161" s="206">
        <v>44531</v>
      </c>
      <c r="C161" s="207">
        <v>2151.39</v>
      </c>
      <c r="D161" s="208">
        <f t="shared" si="6"/>
        <v>8.0814267623469807</v>
      </c>
      <c r="E161" s="16">
        <v>1.8380543037830845E-2</v>
      </c>
      <c r="F161" s="16"/>
      <c r="G161" s="215">
        <v>154</v>
      </c>
      <c r="H161" s="16">
        <f t="shared" ca="1" si="7"/>
        <v>-0.10547053288638025</v>
      </c>
    </row>
    <row r="162" spans="2:8" x14ac:dyDescent="0.35">
      <c r="B162" s="206">
        <v>40603</v>
      </c>
      <c r="C162" s="207">
        <v>236.9</v>
      </c>
      <c r="D162" s="208">
        <f t="shared" si="6"/>
        <v>-0.88004820350791912</v>
      </c>
      <c r="E162" s="16">
        <v>1.809274141561738E-2</v>
      </c>
      <c r="F162" s="16"/>
      <c r="G162" s="215">
        <v>155</v>
      </c>
      <c r="H162" s="16">
        <f t="shared" ca="1" si="7"/>
        <v>5.4984214194263345E-2</v>
      </c>
    </row>
    <row r="163" spans="2:8" x14ac:dyDescent="0.35">
      <c r="B163" s="206">
        <v>44013</v>
      </c>
      <c r="C163" s="207">
        <v>1974.96</v>
      </c>
      <c r="D163" s="208">
        <f t="shared" si="6"/>
        <v>0.26493777661066675</v>
      </c>
      <c r="E163" s="16">
        <v>1.8052104704269194E-2</v>
      </c>
      <c r="F163" s="16"/>
      <c r="G163" s="215">
        <v>156</v>
      </c>
      <c r="H163" s="16">
        <f t="shared" ca="1" si="7"/>
        <v>-1.6716252693969889E-2</v>
      </c>
    </row>
    <row r="164" spans="2:8" x14ac:dyDescent="0.35">
      <c r="B164" s="206">
        <v>43586</v>
      </c>
      <c r="C164" s="207">
        <v>1561.31</v>
      </c>
      <c r="D164" s="208">
        <f t="shared" si="6"/>
        <v>1.1806310143996424</v>
      </c>
      <c r="E164" s="16">
        <v>1.7524536958590131E-2</v>
      </c>
      <c r="F164" s="16"/>
      <c r="G164" s="215">
        <v>157</v>
      </c>
      <c r="H164" s="16">
        <f t="shared" ca="1" si="7"/>
        <v>-3.0134323001924718E-2</v>
      </c>
    </row>
    <row r="165" spans="2:8" x14ac:dyDescent="0.35">
      <c r="B165" s="206">
        <v>42675</v>
      </c>
      <c r="C165" s="207">
        <v>715.99</v>
      </c>
      <c r="D165" s="208">
        <f t="shared" si="6"/>
        <v>3.6284953395472774E-2</v>
      </c>
      <c r="E165" s="16">
        <v>1.7493747157799083E-2</v>
      </c>
      <c r="F165" s="16"/>
      <c r="G165" s="215">
        <v>158</v>
      </c>
      <c r="H165" s="16">
        <f t="shared" ca="1" si="7"/>
        <v>-9.9476895161858245E-2</v>
      </c>
    </row>
    <row r="166" spans="2:8" x14ac:dyDescent="0.35">
      <c r="B166" s="206">
        <v>42401</v>
      </c>
      <c r="C166" s="207">
        <v>690.92</v>
      </c>
      <c r="D166" s="208">
        <f t="shared" si="6"/>
        <v>4.9918480617465955</v>
      </c>
      <c r="E166" s="16">
        <v>1.6522238079124164E-2</v>
      </c>
      <c r="F166" s="16"/>
      <c r="G166" s="215">
        <v>159</v>
      </c>
      <c r="H166" s="16">
        <f t="shared" ca="1" si="7"/>
        <v>-9.3106403738741711E-2</v>
      </c>
    </row>
    <row r="167" spans="2:8" x14ac:dyDescent="0.35">
      <c r="B167" s="206">
        <v>35765</v>
      </c>
      <c r="C167" s="207">
        <v>115.31</v>
      </c>
      <c r="D167" s="208">
        <f t="shared" si="6"/>
        <v>-0.39945836154366954</v>
      </c>
      <c r="E167" s="16">
        <v>1.6484485190409067E-2</v>
      </c>
      <c r="F167" s="16"/>
      <c r="G167" s="215">
        <v>160</v>
      </c>
      <c r="H167" s="16">
        <f t="shared" ca="1" si="7"/>
        <v>0.13779755065713495</v>
      </c>
    </row>
    <row r="168" spans="2:8" x14ac:dyDescent="0.35">
      <c r="B168" s="206">
        <v>38899</v>
      </c>
      <c r="C168" s="207">
        <v>192.01</v>
      </c>
      <c r="D168" s="208">
        <f t="shared" si="6"/>
        <v>0.39633481201367177</v>
      </c>
      <c r="E168" s="16">
        <v>1.5925925925925878E-2</v>
      </c>
      <c r="F168" s="16"/>
      <c r="G168" s="215">
        <v>161</v>
      </c>
      <c r="H168" s="16">
        <f t="shared" ca="1" si="7"/>
        <v>9.3369334043810925E-2</v>
      </c>
    </row>
    <row r="169" spans="2:8" x14ac:dyDescent="0.35">
      <c r="B169" s="206">
        <v>38534</v>
      </c>
      <c r="C169" s="207">
        <v>137.51</v>
      </c>
      <c r="D169" s="208">
        <f t="shared" si="6"/>
        <v>-0.71873593781959499</v>
      </c>
      <c r="E169" s="16">
        <v>1.5883569739952551E-2</v>
      </c>
      <c r="F169" s="16"/>
      <c r="G169" s="215">
        <v>162</v>
      </c>
      <c r="H169" s="16">
        <f t="shared" ca="1" si="7"/>
        <v>0.10331184845296716</v>
      </c>
    </row>
    <row r="170" spans="2:8" x14ac:dyDescent="0.35">
      <c r="B170" s="206">
        <v>41395</v>
      </c>
      <c r="C170" s="207">
        <v>488.9</v>
      </c>
      <c r="D170" s="208">
        <f t="shared" si="6"/>
        <v>-0.27635766196474304</v>
      </c>
      <c r="E170" s="16">
        <v>1.4904924022253487E-2</v>
      </c>
      <c r="F170" s="16"/>
      <c r="G170" s="215">
        <v>163</v>
      </c>
      <c r="H170" s="16">
        <f t="shared" ca="1" si="7"/>
        <v>6.1639747218666885E-2</v>
      </c>
    </row>
    <row r="171" spans="2:8" x14ac:dyDescent="0.35">
      <c r="B171" s="206">
        <v>42309</v>
      </c>
      <c r="C171" s="207">
        <v>675.61</v>
      </c>
      <c r="D171" s="208">
        <f t="shared" si="6"/>
        <v>2.4180410806435297</v>
      </c>
      <c r="E171" s="16">
        <v>1.4170557065013517E-2</v>
      </c>
      <c r="F171" s="16"/>
      <c r="G171" s="215">
        <v>164</v>
      </c>
      <c r="H171" s="16">
        <f t="shared" ca="1" si="7"/>
        <v>-2.6177654635583452E-2</v>
      </c>
    </row>
    <row r="172" spans="2:8" x14ac:dyDescent="0.35">
      <c r="B172" s="206">
        <v>40238</v>
      </c>
      <c r="C172" s="207">
        <v>197.66</v>
      </c>
      <c r="D172" s="208">
        <f t="shared" si="6"/>
        <v>-0.86037903778369551</v>
      </c>
      <c r="E172" s="16">
        <v>1.4161108260646439E-2</v>
      </c>
      <c r="F172" s="16"/>
      <c r="G172" s="215">
        <v>165</v>
      </c>
      <c r="H172" s="16">
        <f t="shared" ca="1" si="7"/>
        <v>0.22873554145544225</v>
      </c>
    </row>
    <row r="173" spans="2:8" x14ac:dyDescent="0.35">
      <c r="B173" s="206">
        <v>43374</v>
      </c>
      <c r="C173" s="207">
        <v>1415.69</v>
      </c>
      <c r="D173" s="208">
        <f t="shared" si="6"/>
        <v>-0.42907438176509488</v>
      </c>
      <c r="E173" s="16">
        <v>1.4017419706042578E-2</v>
      </c>
      <c r="F173" s="16"/>
      <c r="G173" s="215">
        <v>166</v>
      </c>
      <c r="H173" s="16">
        <f t="shared" ca="1" si="7"/>
        <v>-2.9272378264332797E-2</v>
      </c>
    </row>
    <row r="174" spans="2:8" x14ac:dyDescent="0.35">
      <c r="B174" s="206">
        <v>44805</v>
      </c>
      <c r="C174" s="207">
        <v>2479.64</v>
      </c>
      <c r="D174" s="208">
        <f t="shared" si="6"/>
        <v>2.3756347250772554</v>
      </c>
      <c r="E174" s="16">
        <v>1.3761355366765E-2</v>
      </c>
      <c r="F174" s="16"/>
      <c r="G174" s="215">
        <v>167</v>
      </c>
      <c r="H174" s="16">
        <f t="shared" ca="1" si="7"/>
        <v>-1.0032708399909728E-2</v>
      </c>
    </row>
    <row r="175" spans="2:8" x14ac:dyDescent="0.35">
      <c r="B175" s="206">
        <v>42767</v>
      </c>
      <c r="C175" s="207">
        <v>734.57</v>
      </c>
      <c r="D175" s="208">
        <f t="shared" si="6"/>
        <v>-0.70612380430390576</v>
      </c>
      <c r="E175" s="16">
        <v>1.2278477523909382E-2</v>
      </c>
      <c r="F175" s="16"/>
      <c r="G175" s="215">
        <v>168</v>
      </c>
      <c r="H175" s="16">
        <f t="shared" ca="1" si="7"/>
        <v>-1.5352130179806533E-2</v>
      </c>
    </row>
    <row r="176" spans="2:8" x14ac:dyDescent="0.35">
      <c r="B176" s="206">
        <v>45078</v>
      </c>
      <c r="C176" s="207">
        <v>2499.59</v>
      </c>
      <c r="D176" s="208">
        <f t="shared" si="6"/>
        <v>9.1568061763510773</v>
      </c>
      <c r="E176" s="16">
        <v>1.2176455343548611E-2</v>
      </c>
      <c r="F176" s="16"/>
      <c r="G176" s="215">
        <v>169</v>
      </c>
      <c r="H176" s="16">
        <f t="shared" ca="1" si="7"/>
        <v>6.7381845116967085E-2</v>
      </c>
    </row>
    <row r="177" spans="2:8" x14ac:dyDescent="0.35">
      <c r="B177" s="206">
        <v>40483</v>
      </c>
      <c r="C177" s="207">
        <v>246.1</v>
      </c>
      <c r="D177" s="208">
        <f t="shared" si="6"/>
        <v>-0.78575781318011662</v>
      </c>
      <c r="E177" s="16">
        <v>1.2049183698647065E-2</v>
      </c>
      <c r="F177" s="16"/>
      <c r="G177" s="215">
        <v>170</v>
      </c>
      <c r="H177" s="16">
        <f t="shared" ca="1" si="7"/>
        <v>-0.15637610968935989</v>
      </c>
    </row>
    <row r="178" spans="2:8" x14ac:dyDescent="0.35">
      <c r="B178" s="206">
        <v>43160</v>
      </c>
      <c r="C178" s="207">
        <v>1148.7</v>
      </c>
      <c r="D178" s="208">
        <f t="shared" si="6"/>
        <v>0.61959816707789928</v>
      </c>
      <c r="E178" s="16">
        <v>1.1838697743248291E-2</v>
      </c>
      <c r="F178" s="16"/>
      <c r="G178" s="215">
        <v>171</v>
      </c>
      <c r="H178" s="16">
        <f t="shared" ca="1" si="7"/>
        <v>6.7986216209262977E-3</v>
      </c>
    </row>
    <row r="179" spans="2:8" x14ac:dyDescent="0.35">
      <c r="B179" s="206">
        <v>42125</v>
      </c>
      <c r="C179" s="207">
        <v>709.25</v>
      </c>
      <c r="D179" s="208">
        <f t="shared" si="6"/>
        <v>4.3808512252484642</v>
      </c>
      <c r="E179" s="16">
        <v>1.0817204914060987E-2</v>
      </c>
      <c r="F179" s="16"/>
      <c r="G179" s="215">
        <v>172</v>
      </c>
      <c r="H179" s="16">
        <f t="shared" ca="1" si="7"/>
        <v>8.0542132462370519E-2</v>
      </c>
    </row>
    <row r="180" spans="2:8" x14ac:dyDescent="0.35">
      <c r="B180" s="206">
        <v>35916</v>
      </c>
      <c r="C180" s="207">
        <v>131.81</v>
      </c>
      <c r="D180" s="208">
        <f t="shared" si="6"/>
        <v>-0.39168358870223374</v>
      </c>
      <c r="E180" s="16">
        <v>1.0193133047210397E-2</v>
      </c>
      <c r="F180" s="16"/>
      <c r="G180" s="215">
        <v>173</v>
      </c>
      <c r="H180" s="16">
        <f t="shared" ca="1" si="7"/>
        <v>7.2192898193794958E-2</v>
      </c>
    </row>
    <row r="181" spans="2:8" x14ac:dyDescent="0.35">
      <c r="B181" s="206">
        <v>40057</v>
      </c>
      <c r="C181" s="207">
        <v>216.68</v>
      </c>
      <c r="D181" s="208">
        <f t="shared" si="6"/>
        <v>-0.91141383003949339</v>
      </c>
      <c r="E181" s="16">
        <v>1.0163170163170195E-2</v>
      </c>
      <c r="F181" s="16"/>
      <c r="G181" s="215">
        <v>174</v>
      </c>
      <c r="H181" s="16">
        <f t="shared" ca="1" si="7"/>
        <v>-7.2857153282316164E-2</v>
      </c>
    </row>
    <row r="182" spans="2:8" x14ac:dyDescent="0.35">
      <c r="B182" s="206">
        <v>44774</v>
      </c>
      <c r="C182" s="207">
        <v>2445.98</v>
      </c>
      <c r="D182" s="208">
        <f t="shared" si="6"/>
        <v>1.3999610315851431E-2</v>
      </c>
      <c r="E182" s="16">
        <v>8.5101470309316921E-3</v>
      </c>
      <c r="F182" s="16"/>
      <c r="G182" s="215">
        <v>175</v>
      </c>
      <c r="H182" s="16">
        <f t="shared" ca="1" si="7"/>
        <v>5.96992789217103E-2</v>
      </c>
    </row>
    <row r="183" spans="2:8" x14ac:dyDescent="0.35">
      <c r="B183" s="206">
        <v>45962</v>
      </c>
      <c r="C183" s="207">
        <v>2412.21</v>
      </c>
      <c r="D183" s="208">
        <f t="shared" si="6"/>
        <v>0.29475006306794704</v>
      </c>
      <c r="E183" s="16">
        <v>8.3098903579356155E-3</v>
      </c>
      <c r="F183" s="16"/>
      <c r="G183" s="215">
        <v>176</v>
      </c>
      <c r="H183" s="16">
        <f t="shared" ca="1" si="7"/>
        <v>0.14255970584995198</v>
      </c>
    </row>
    <row r="184" spans="2:8" x14ac:dyDescent="0.35">
      <c r="B184" s="206">
        <v>44105</v>
      </c>
      <c r="C184" s="207">
        <v>1863.07</v>
      </c>
      <c r="D184" s="208">
        <f t="shared" si="6"/>
        <v>8.6302594851648919</v>
      </c>
      <c r="E184" s="16">
        <v>7.9529531424985516E-3</v>
      </c>
      <c r="F184" s="16"/>
      <c r="G184" s="215">
        <v>177</v>
      </c>
      <c r="H184" s="16">
        <f t="shared" ca="1" si="7"/>
        <v>-0.10681287991501578</v>
      </c>
    </row>
    <row r="185" spans="2:8" x14ac:dyDescent="0.35">
      <c r="B185" s="206">
        <v>38930</v>
      </c>
      <c r="C185" s="207">
        <v>193.46</v>
      </c>
      <c r="D185" s="208">
        <f t="shared" si="6"/>
        <v>0.12555271119385625</v>
      </c>
      <c r="E185" s="16">
        <v>7.5516900161450816E-3</v>
      </c>
      <c r="F185" s="16"/>
      <c r="G185" s="215">
        <v>178</v>
      </c>
      <c r="H185" s="16">
        <f t="shared" ca="1" si="7"/>
        <v>3.2257829121171214E-2</v>
      </c>
    </row>
    <row r="186" spans="2:8" x14ac:dyDescent="0.35">
      <c r="B186" s="206">
        <v>39295</v>
      </c>
      <c r="C186" s="207">
        <v>171.88</v>
      </c>
      <c r="D186" s="208">
        <f t="shared" si="6"/>
        <v>0.87600960488976187</v>
      </c>
      <c r="E186" s="16">
        <v>7.5029308323563961E-3</v>
      </c>
      <c r="F186" s="16"/>
      <c r="G186" s="215">
        <v>179</v>
      </c>
      <c r="H186" s="16">
        <f t="shared" ca="1" si="7"/>
        <v>-1.8791517472358358E-2</v>
      </c>
    </row>
    <row r="187" spans="2:8" x14ac:dyDescent="0.35">
      <c r="B187" s="206">
        <v>35551</v>
      </c>
      <c r="C187" s="207">
        <v>91.62</v>
      </c>
      <c r="D187" s="208">
        <f t="shared" si="6"/>
        <v>-0.96048102554369863</v>
      </c>
      <c r="E187" s="16">
        <v>7.477457664394181E-3</v>
      </c>
      <c r="F187" s="16"/>
      <c r="G187" s="215">
        <v>180</v>
      </c>
      <c r="H187" s="16">
        <f t="shared" ca="1" si="7"/>
        <v>-3.7836599752734262E-3</v>
      </c>
    </row>
    <row r="188" spans="2:8" x14ac:dyDescent="0.35">
      <c r="B188" s="206">
        <v>45200</v>
      </c>
      <c r="C188" s="207">
        <v>2318.38</v>
      </c>
      <c r="D188" s="208">
        <f t="shared" si="6"/>
        <v>0.47498409466853303</v>
      </c>
      <c r="E188" s="16">
        <v>7.4612921028502713E-3</v>
      </c>
      <c r="F188" s="16"/>
      <c r="G188" s="215">
        <v>181</v>
      </c>
      <c r="H188" s="16">
        <f t="shared" ca="1" si="7"/>
        <v>2.3142604412243549E-2</v>
      </c>
    </row>
    <row r="189" spans="2:8" x14ac:dyDescent="0.35">
      <c r="B189" s="206">
        <v>43617</v>
      </c>
      <c r="C189" s="207">
        <v>1571.8</v>
      </c>
      <c r="D189" s="208">
        <f t="shared" si="6"/>
        <v>7.0991394857525636</v>
      </c>
      <c r="E189" s="16">
        <v>6.71871697484805E-3</v>
      </c>
      <c r="F189" s="16"/>
      <c r="G189" s="215">
        <v>182</v>
      </c>
      <c r="H189" s="16">
        <f t="shared" ca="1" si="7"/>
        <v>8.2519280929429756E-2</v>
      </c>
    </row>
    <row r="190" spans="2:8" x14ac:dyDescent="0.35">
      <c r="B190" s="206">
        <v>39022</v>
      </c>
      <c r="C190" s="207">
        <v>194.07</v>
      </c>
      <c r="D190" s="208">
        <f t="shared" si="6"/>
        <v>-0.91864462200162644</v>
      </c>
      <c r="E190" s="16">
        <v>6.5871369294604864E-3</v>
      </c>
      <c r="F190" s="16"/>
      <c r="G190" s="215">
        <v>183</v>
      </c>
      <c r="H190" s="16">
        <f t="shared" ca="1" si="7"/>
        <v>3.2995931071359619E-2</v>
      </c>
    </row>
    <row r="191" spans="2:8" x14ac:dyDescent="0.35">
      <c r="B191" s="206">
        <v>44927</v>
      </c>
      <c r="C191" s="207">
        <v>2385.46</v>
      </c>
      <c r="D191" s="208">
        <f t="shared" si="6"/>
        <v>9.1366591594781799</v>
      </c>
      <c r="E191" s="16">
        <v>6.1283968738006607E-3</v>
      </c>
      <c r="F191" s="16"/>
      <c r="G191" s="215">
        <v>184</v>
      </c>
      <c r="H191" s="16">
        <f t="shared" ca="1" si="7"/>
        <v>-4.0054500222159936E-2</v>
      </c>
    </row>
    <row r="192" spans="2:8" x14ac:dyDescent="0.35">
      <c r="B192" s="206">
        <v>40118</v>
      </c>
      <c r="C192" s="207">
        <v>235.33</v>
      </c>
      <c r="D192" s="208">
        <f t="shared" si="6"/>
        <v>0.2465172943482177</v>
      </c>
      <c r="E192" s="16">
        <v>5.9846962766639837E-3</v>
      </c>
      <c r="F192" s="16"/>
      <c r="G192" s="215">
        <v>185</v>
      </c>
      <c r="H192" s="16">
        <f t="shared" ca="1" si="7"/>
        <v>-0.1317845441767086</v>
      </c>
    </row>
    <row r="193" spans="2:8" x14ac:dyDescent="0.35">
      <c r="B193" s="206">
        <v>39508</v>
      </c>
      <c r="C193" s="207">
        <v>188.79</v>
      </c>
      <c r="D193" s="208">
        <f t="shared" si="6"/>
        <v>-0.75175215979171328</v>
      </c>
      <c r="E193" s="16">
        <v>5.6999786916684062E-3</v>
      </c>
      <c r="F193" s="16"/>
      <c r="G193" s="215">
        <v>186</v>
      </c>
      <c r="H193" s="16">
        <f t="shared" ca="1" si="7"/>
        <v>0.12959529109863549</v>
      </c>
    </row>
    <row r="194" spans="2:8" x14ac:dyDescent="0.35">
      <c r="B194" s="206">
        <v>42186</v>
      </c>
      <c r="C194" s="207">
        <v>760.49</v>
      </c>
      <c r="D194" s="208">
        <f t="shared" si="6"/>
        <v>0.23544414841770109</v>
      </c>
      <c r="E194" s="16">
        <v>5.3939001335255232E-3</v>
      </c>
      <c r="F194" s="16"/>
      <c r="G194" s="215">
        <v>187</v>
      </c>
      <c r="H194" s="16">
        <f t="shared" ca="1" si="7"/>
        <v>-5.6327183234092179E-2</v>
      </c>
    </row>
    <row r="195" spans="2:8" x14ac:dyDescent="0.35">
      <c r="B195" s="206">
        <v>41883</v>
      </c>
      <c r="C195" s="207">
        <v>615.55999999999995</v>
      </c>
      <c r="D195" s="208">
        <f t="shared" si="6"/>
        <v>0.96213183730715257</v>
      </c>
      <c r="E195" s="16">
        <v>4.7826583745489938E-3</v>
      </c>
      <c r="F195" s="16"/>
      <c r="G195" s="215">
        <v>188</v>
      </c>
      <c r="H195" s="16">
        <f t="shared" ca="1" si="7"/>
        <v>2.7122753204825361E-2</v>
      </c>
    </row>
    <row r="196" spans="2:8" x14ac:dyDescent="0.35">
      <c r="B196" s="206">
        <v>40940</v>
      </c>
      <c r="C196" s="207">
        <v>313.72000000000003</v>
      </c>
      <c r="D196" s="208">
        <f t="shared" si="6"/>
        <v>-0.86087126201278108</v>
      </c>
      <c r="E196" s="16">
        <v>3.293997249672294E-3</v>
      </c>
      <c r="F196" s="16"/>
      <c r="G196" s="215">
        <v>189</v>
      </c>
      <c r="H196" s="16">
        <f t="shared" ca="1" si="7"/>
        <v>-5.7438678222784811E-3</v>
      </c>
    </row>
    <row r="197" spans="2:8" x14ac:dyDescent="0.35">
      <c r="B197" s="206">
        <v>45778</v>
      </c>
      <c r="C197" s="207">
        <v>2254.89</v>
      </c>
      <c r="D197" s="208">
        <f t="shared" si="6"/>
        <v>33.305340027384752</v>
      </c>
      <c r="E197" s="16">
        <v>2.6456908588045115E-3</v>
      </c>
      <c r="F197" s="16"/>
      <c r="G197" s="215">
        <v>190</v>
      </c>
      <c r="H197" s="16">
        <f t="shared" ca="1" si="7"/>
        <v>-3.382539539064866E-3</v>
      </c>
    </row>
    <row r="198" spans="2:8" x14ac:dyDescent="0.35">
      <c r="B198" s="206">
        <v>35370</v>
      </c>
      <c r="C198" s="207">
        <v>65.73</v>
      </c>
      <c r="D198" s="208">
        <f t="shared" si="6"/>
        <v>-0.61498359887535148</v>
      </c>
      <c r="E198" s="16">
        <v>2.1344717182497416E-3</v>
      </c>
      <c r="F198" s="16"/>
      <c r="G198" s="215">
        <v>191</v>
      </c>
      <c r="H198" s="16">
        <f t="shared" ca="1" si="7"/>
        <v>-1.6546378943454919E-2</v>
      </c>
    </row>
    <row r="199" spans="2:8" x14ac:dyDescent="0.35">
      <c r="B199" s="206">
        <v>36892</v>
      </c>
      <c r="C199" s="207">
        <v>170.72</v>
      </c>
      <c r="D199" s="208">
        <f t="shared" si="6"/>
        <v>-0.62148020043457042</v>
      </c>
      <c r="E199" s="16">
        <v>1.7015783606172154E-3</v>
      </c>
      <c r="F199" s="16"/>
      <c r="G199" s="215">
        <v>192</v>
      </c>
      <c r="H199" s="16">
        <f t="shared" ca="1" si="7"/>
        <v>-2.0231535628662565E-2</v>
      </c>
    </row>
    <row r="200" spans="2:8" x14ac:dyDescent="0.35">
      <c r="B200" s="206">
        <v>41183</v>
      </c>
      <c r="C200" s="207">
        <v>451.02</v>
      </c>
      <c r="D200" s="208">
        <f t="shared" ref="D200:D263" si="8">(C200-C201)/C201</f>
        <v>-0.61768894313904998</v>
      </c>
      <c r="E200" s="16">
        <v>1.3765541740675057E-3</v>
      </c>
      <c r="F200" s="16"/>
      <c r="G200" s="215">
        <v>193</v>
      </c>
      <c r="H200" s="16">
        <f t="shared" ref="H200:H263" ca="1" si="9">_xlfn.NORM.INV(RAND(),M$10,M$11)</f>
        <v>8.9130056341634095E-2</v>
      </c>
    </row>
    <row r="201" spans="2:8" x14ac:dyDescent="0.35">
      <c r="B201" s="206">
        <v>43101</v>
      </c>
      <c r="C201" s="207">
        <v>1179.72</v>
      </c>
      <c r="D201" s="208">
        <f t="shared" si="8"/>
        <v>4.9620963258705206</v>
      </c>
      <c r="E201" s="16">
        <v>1.1031720439231806E-3</v>
      </c>
      <c r="F201" s="16"/>
      <c r="G201" s="215">
        <v>194</v>
      </c>
      <c r="H201" s="16">
        <f t="shared" ca="1" si="9"/>
        <v>1.8503032313022621E-2</v>
      </c>
    </row>
    <row r="202" spans="2:8" x14ac:dyDescent="0.35">
      <c r="B202" s="206">
        <v>40269</v>
      </c>
      <c r="C202" s="207">
        <v>197.87</v>
      </c>
      <c r="D202" s="208">
        <f t="shared" si="8"/>
        <v>2.0464973056197078</v>
      </c>
      <c r="E202" s="16">
        <v>1.0624304361024383E-3</v>
      </c>
      <c r="F202" s="16"/>
      <c r="G202" s="215">
        <v>195</v>
      </c>
      <c r="H202" s="16">
        <f t="shared" ca="1" si="9"/>
        <v>-2.6602473105380772E-2</v>
      </c>
    </row>
    <row r="203" spans="2:8" x14ac:dyDescent="0.35">
      <c r="B203" s="206">
        <v>35186</v>
      </c>
      <c r="C203" s="207">
        <v>64.95</v>
      </c>
      <c r="D203" s="208">
        <f t="shared" si="8"/>
        <v>-0.41407307171853852</v>
      </c>
      <c r="E203" s="16">
        <v>4.6210720887247591E-4</v>
      </c>
      <c r="F203" s="16"/>
      <c r="G203" s="215">
        <v>196</v>
      </c>
      <c r="H203" s="16">
        <f t="shared" ca="1" si="9"/>
        <v>-2.7062611279596829E-2</v>
      </c>
    </row>
    <row r="204" spans="2:8" x14ac:dyDescent="0.35">
      <c r="B204" s="206">
        <v>35674</v>
      </c>
      <c r="C204" s="207">
        <v>110.85</v>
      </c>
      <c r="D204" s="208">
        <f t="shared" si="8"/>
        <v>-0.76435950852429757</v>
      </c>
      <c r="E204" s="16">
        <v>-3.6071782847872896E-4</v>
      </c>
      <c r="F204" s="16"/>
      <c r="G204" s="215">
        <v>197</v>
      </c>
      <c r="H204" s="16">
        <f t="shared" ca="1" si="9"/>
        <v>0.16502648348075649</v>
      </c>
    </row>
    <row r="205" spans="2:8" x14ac:dyDescent="0.35">
      <c r="B205" s="206">
        <v>41640</v>
      </c>
      <c r="C205" s="207">
        <v>470.42</v>
      </c>
      <c r="D205" s="208">
        <f t="shared" si="8"/>
        <v>-0.8037348864764734</v>
      </c>
      <c r="E205" s="16">
        <v>-9.5567778792445609E-4</v>
      </c>
      <c r="F205" s="16"/>
      <c r="G205" s="215">
        <v>198</v>
      </c>
      <c r="H205" s="16">
        <f t="shared" ca="1" si="9"/>
        <v>0.20369958727427925</v>
      </c>
    </row>
    <row r="206" spans="2:8" x14ac:dyDescent="0.35">
      <c r="B206" s="206">
        <v>45597</v>
      </c>
      <c r="C206" s="207">
        <v>2396.86</v>
      </c>
      <c r="D206" s="208">
        <f t="shared" si="8"/>
        <v>13.049589683470106</v>
      </c>
      <c r="E206" s="16">
        <v>-1.2084541787512463E-3</v>
      </c>
      <c r="F206" s="16"/>
      <c r="G206" s="215">
        <v>199</v>
      </c>
      <c r="H206" s="16">
        <f t="shared" ca="1" si="9"/>
        <v>0.11277882884670899</v>
      </c>
    </row>
    <row r="207" spans="2:8" x14ac:dyDescent="0.35">
      <c r="B207" s="206">
        <v>39387</v>
      </c>
      <c r="C207" s="207">
        <v>170.6</v>
      </c>
      <c r="D207" s="208">
        <f t="shared" si="8"/>
        <v>-0.76375117708968032</v>
      </c>
      <c r="E207" s="16">
        <v>-1.463271875914545E-3</v>
      </c>
      <c r="F207" s="16"/>
      <c r="G207" s="215">
        <v>200</v>
      </c>
      <c r="H207" s="16">
        <f t="shared" ca="1" si="9"/>
        <v>0.10083841256321173</v>
      </c>
    </row>
    <row r="208" spans="2:8" x14ac:dyDescent="0.35">
      <c r="B208" s="206">
        <v>42461</v>
      </c>
      <c r="C208" s="207">
        <v>722.12</v>
      </c>
      <c r="D208" s="208">
        <f t="shared" si="8"/>
        <v>11.394782011671817</v>
      </c>
      <c r="E208" s="16">
        <v>-1.8384131591679326E-3</v>
      </c>
      <c r="F208" s="16"/>
      <c r="G208" s="215">
        <v>201</v>
      </c>
      <c r="H208" s="16">
        <f t="shared" ca="1" si="9"/>
        <v>1.2694302671862966E-2</v>
      </c>
    </row>
    <row r="209" spans="2:8" x14ac:dyDescent="0.35">
      <c r="B209" s="206">
        <v>35125</v>
      </c>
      <c r="C209" s="207">
        <v>58.26</v>
      </c>
      <c r="D209" s="208">
        <f t="shared" si="8"/>
        <v>-0.43425907943289965</v>
      </c>
      <c r="E209" s="16">
        <v>-4.6130189646335744E-3</v>
      </c>
      <c r="F209" s="16"/>
      <c r="G209" s="215">
        <v>202</v>
      </c>
      <c r="H209" s="16">
        <f t="shared" ca="1" si="9"/>
        <v>8.0547488612821322E-2</v>
      </c>
    </row>
    <row r="210" spans="2:8" x14ac:dyDescent="0.35">
      <c r="B210" s="206">
        <v>38261</v>
      </c>
      <c r="C210" s="207">
        <v>102.98</v>
      </c>
      <c r="D210" s="208">
        <f t="shared" si="8"/>
        <v>-0.95107396867175653</v>
      </c>
      <c r="E210" s="16">
        <v>-4.7356721755097602E-3</v>
      </c>
      <c r="F210" s="16"/>
      <c r="G210" s="215">
        <v>203</v>
      </c>
      <c r="H210" s="16">
        <f t="shared" ca="1" si="9"/>
        <v>4.7778535670541342E-2</v>
      </c>
    </row>
    <row r="211" spans="2:8" x14ac:dyDescent="0.35">
      <c r="B211" s="206">
        <v>44317</v>
      </c>
      <c r="C211" s="207">
        <v>2104.81</v>
      </c>
      <c r="D211" s="208">
        <f t="shared" si="8"/>
        <v>1.7284169864150158</v>
      </c>
      <c r="E211" s="16">
        <v>-5.8191986321105282E-3</v>
      </c>
      <c r="F211" s="16"/>
      <c r="G211" s="215">
        <v>204</v>
      </c>
      <c r="H211" s="16">
        <f t="shared" ca="1" si="9"/>
        <v>-3.0001339854236187E-2</v>
      </c>
    </row>
    <row r="212" spans="2:8" x14ac:dyDescent="0.35">
      <c r="B212" s="206">
        <v>42583</v>
      </c>
      <c r="C212" s="207">
        <v>771.44</v>
      </c>
      <c r="D212" s="208">
        <f t="shared" si="8"/>
        <v>2.8987213827260323</v>
      </c>
      <c r="E212" s="16">
        <v>-5.9531479524777614E-3</v>
      </c>
      <c r="F212" s="16"/>
      <c r="G212" s="215">
        <v>205</v>
      </c>
      <c r="H212" s="16">
        <f t="shared" ca="1" si="9"/>
        <v>-1.1644134976673378E-2</v>
      </c>
    </row>
    <row r="213" spans="2:8" x14ac:dyDescent="0.35">
      <c r="B213" s="206">
        <v>36617</v>
      </c>
      <c r="C213" s="207">
        <v>197.87</v>
      </c>
      <c r="D213" s="208">
        <f t="shared" si="8"/>
        <v>2.0287769784172665</v>
      </c>
      <c r="E213" s="16">
        <v>-5.9780970561639588E-3</v>
      </c>
      <c r="F213" s="16"/>
      <c r="G213" s="215">
        <v>206</v>
      </c>
      <c r="H213" s="16">
        <f t="shared" ca="1" si="9"/>
        <v>-0.11822988433099293</v>
      </c>
    </row>
    <row r="214" spans="2:8" x14ac:dyDescent="0.35">
      <c r="B214" s="206">
        <v>35400</v>
      </c>
      <c r="C214" s="207">
        <v>65.33</v>
      </c>
      <c r="D214" s="208">
        <f t="shared" si="8"/>
        <v>-0.87381697377061851</v>
      </c>
      <c r="E214" s="16">
        <v>-6.0855012931691106E-3</v>
      </c>
      <c r="F214" s="16"/>
      <c r="G214" s="215">
        <v>207</v>
      </c>
      <c r="H214" s="16">
        <f t="shared" ca="1" si="9"/>
        <v>-1.8367249526414761E-2</v>
      </c>
    </row>
    <row r="215" spans="2:8" x14ac:dyDescent="0.35">
      <c r="B215" s="206">
        <v>41518</v>
      </c>
      <c r="C215" s="207">
        <v>517.74</v>
      </c>
      <c r="D215" s="208">
        <f t="shared" si="8"/>
        <v>-0.75557548862241519</v>
      </c>
      <c r="E215" s="16">
        <v>-6.3334868724089412E-3</v>
      </c>
      <c r="F215" s="16"/>
      <c r="G215" s="215">
        <v>208</v>
      </c>
      <c r="H215" s="16">
        <f t="shared" ca="1" si="9"/>
        <v>-3.6239540427980485E-2</v>
      </c>
    </row>
    <row r="216" spans="2:8" x14ac:dyDescent="0.35">
      <c r="B216" s="206">
        <v>46174</v>
      </c>
      <c r="C216" s="207">
        <v>2118.1999999999998</v>
      </c>
      <c r="D216" s="208">
        <f t="shared" si="8"/>
        <v>8.0009773509539794</v>
      </c>
      <c r="E216" s="16">
        <v>-6.3889071309962122E-3</v>
      </c>
      <c r="F216" s="16"/>
      <c r="G216" s="215">
        <v>209</v>
      </c>
      <c r="H216" s="16">
        <f t="shared" ca="1" si="9"/>
        <v>-9.5732476945469075E-2</v>
      </c>
    </row>
    <row r="217" spans="2:8" x14ac:dyDescent="0.35">
      <c r="B217" s="206">
        <v>40634</v>
      </c>
      <c r="C217" s="207">
        <v>235.33</v>
      </c>
      <c r="D217" s="208">
        <f t="shared" si="8"/>
        <v>0.72327182190978334</v>
      </c>
      <c r="E217" s="16">
        <v>-6.6272688898269027E-3</v>
      </c>
      <c r="F217" s="16"/>
      <c r="G217" s="215">
        <v>210</v>
      </c>
      <c r="H217" s="16">
        <f t="shared" ca="1" si="9"/>
        <v>-9.9193677948579265E-2</v>
      </c>
    </row>
    <row r="218" spans="2:8" x14ac:dyDescent="0.35">
      <c r="B218" s="206">
        <v>38565</v>
      </c>
      <c r="C218" s="207">
        <v>136.56</v>
      </c>
      <c r="D218" s="208">
        <f t="shared" si="8"/>
        <v>4.6597179644390044E-2</v>
      </c>
      <c r="E218" s="16">
        <v>-6.9085884662932785E-3</v>
      </c>
      <c r="F218" s="16"/>
      <c r="G218" s="215">
        <v>211</v>
      </c>
      <c r="H218" s="16">
        <f t="shared" ca="1" si="9"/>
        <v>0.12588758342076173</v>
      </c>
    </row>
    <row r="219" spans="2:8" x14ac:dyDescent="0.35">
      <c r="B219" s="206">
        <v>35886</v>
      </c>
      <c r="C219" s="207">
        <v>130.47999999999999</v>
      </c>
      <c r="D219" s="208">
        <f t="shared" si="8"/>
        <v>-0.33823603996551199</v>
      </c>
      <c r="E219" s="16">
        <v>-7.0015220700153412E-3</v>
      </c>
      <c r="F219" s="16"/>
      <c r="G219" s="215">
        <v>212</v>
      </c>
      <c r="H219" s="16">
        <f t="shared" ca="1" si="9"/>
        <v>0.11078268843007749</v>
      </c>
    </row>
    <row r="220" spans="2:8" x14ac:dyDescent="0.35">
      <c r="B220" s="206">
        <v>36739</v>
      </c>
      <c r="C220" s="207">
        <v>197.17</v>
      </c>
      <c r="D220" s="208">
        <f t="shared" si="8"/>
        <v>-0.90616761052681671</v>
      </c>
      <c r="E220" s="16">
        <v>-7.4502894538133304E-3</v>
      </c>
      <c r="F220" s="16"/>
      <c r="G220" s="215">
        <v>213</v>
      </c>
      <c r="H220" s="16">
        <f t="shared" ca="1" si="9"/>
        <v>3.577417292338031E-2</v>
      </c>
    </row>
    <row r="221" spans="2:8" x14ac:dyDescent="0.35">
      <c r="B221" s="206">
        <v>46204</v>
      </c>
      <c r="C221" s="207">
        <v>2101.3000000000002</v>
      </c>
      <c r="D221" s="208">
        <f t="shared" si="8"/>
        <v>-0.14154866858949741</v>
      </c>
      <c r="E221" s="16">
        <v>-7.9784722877913501E-3</v>
      </c>
      <c r="F221" s="16"/>
      <c r="G221" s="215">
        <v>214</v>
      </c>
      <c r="H221" s="16">
        <f t="shared" ca="1" si="9"/>
        <v>3.6097957320180035E-2</v>
      </c>
    </row>
    <row r="222" spans="2:8" x14ac:dyDescent="0.35">
      <c r="B222" s="206">
        <v>44440</v>
      </c>
      <c r="C222" s="207">
        <v>2447.7800000000002</v>
      </c>
      <c r="D222" s="208">
        <f t="shared" si="8"/>
        <v>19.686047494295618</v>
      </c>
      <c r="E222" s="16">
        <v>-8.1848313195406024E-3</v>
      </c>
      <c r="F222" s="16"/>
      <c r="G222" s="215">
        <v>215</v>
      </c>
      <c r="H222" s="16">
        <f t="shared" ca="1" si="9"/>
        <v>4.668898671746162E-2</v>
      </c>
    </row>
    <row r="223" spans="2:8" x14ac:dyDescent="0.35">
      <c r="B223" s="206">
        <v>38322</v>
      </c>
      <c r="C223" s="207">
        <v>118.33</v>
      </c>
      <c r="D223" s="208">
        <f t="shared" si="8"/>
        <v>4.3286369037515288E-3</v>
      </c>
      <c r="E223" s="16">
        <v>-8.2970164264163163E-3</v>
      </c>
      <c r="F223" s="16"/>
      <c r="G223" s="215">
        <v>216</v>
      </c>
      <c r="H223" s="16">
        <f t="shared" ca="1" si="9"/>
        <v>4.2766544009559093E-2</v>
      </c>
    </row>
    <row r="224" spans="2:8" x14ac:dyDescent="0.35">
      <c r="B224" s="206">
        <v>35612</v>
      </c>
      <c r="C224" s="207">
        <v>117.82</v>
      </c>
      <c r="D224" s="208">
        <f t="shared" si="8"/>
        <v>-0.82313823798730046</v>
      </c>
      <c r="E224" s="16">
        <v>-9.0832632464256727E-3</v>
      </c>
      <c r="F224" s="16"/>
      <c r="G224" s="215">
        <v>217</v>
      </c>
      <c r="H224" s="16">
        <f t="shared" ca="1" si="9"/>
        <v>-7.4205332638572388E-2</v>
      </c>
    </row>
    <row r="225" spans="2:8" x14ac:dyDescent="0.35">
      <c r="B225" s="206">
        <v>42278</v>
      </c>
      <c r="C225" s="207">
        <v>666.17</v>
      </c>
      <c r="D225" s="208">
        <f t="shared" si="8"/>
        <v>2.6906925207756229</v>
      </c>
      <c r="E225" s="16">
        <v>-9.1032143866486264E-3</v>
      </c>
      <c r="F225" s="16"/>
      <c r="G225" s="215">
        <v>218</v>
      </c>
      <c r="H225" s="16">
        <f t="shared" ca="1" si="9"/>
        <v>-2.9177161022310858E-2</v>
      </c>
    </row>
    <row r="226" spans="2:8" x14ac:dyDescent="0.35">
      <c r="B226" s="206">
        <v>37104</v>
      </c>
      <c r="C226" s="207">
        <v>180.5</v>
      </c>
      <c r="D226" s="208">
        <f t="shared" si="8"/>
        <v>0.1203525541555458</v>
      </c>
      <c r="E226" s="16">
        <v>-9.2760305175915124E-3</v>
      </c>
      <c r="F226" s="16"/>
      <c r="G226" s="215">
        <v>219</v>
      </c>
      <c r="H226" s="16">
        <f t="shared" ca="1" si="9"/>
        <v>8.8772842688174577E-2</v>
      </c>
    </row>
    <row r="227" spans="2:8" x14ac:dyDescent="0.35">
      <c r="B227" s="206">
        <v>38718</v>
      </c>
      <c r="C227" s="207">
        <v>161.11000000000001</v>
      </c>
      <c r="D227" s="208">
        <f t="shared" si="8"/>
        <v>6.2590687244426915E-2</v>
      </c>
      <c r="E227" s="16">
        <v>-9.8942969518189851E-3</v>
      </c>
      <c r="F227" s="16"/>
      <c r="G227" s="215">
        <v>220</v>
      </c>
      <c r="H227" s="16">
        <f t="shared" ca="1" si="9"/>
        <v>4.164168010689117E-2</v>
      </c>
    </row>
    <row r="228" spans="2:8" x14ac:dyDescent="0.35">
      <c r="B228" s="206">
        <v>37865</v>
      </c>
      <c r="C228" s="207">
        <v>151.62</v>
      </c>
      <c r="D228" s="208">
        <f t="shared" si="8"/>
        <v>0.15388127853881278</v>
      </c>
      <c r="E228" s="16">
        <v>-9.9902056807051973E-3</v>
      </c>
      <c r="F228" s="16"/>
      <c r="G228" s="215">
        <v>221</v>
      </c>
      <c r="H228" s="16">
        <f t="shared" ca="1" si="9"/>
        <v>0.10842905715722946</v>
      </c>
    </row>
    <row r="229" spans="2:8" x14ac:dyDescent="0.35">
      <c r="B229" s="206">
        <v>36100</v>
      </c>
      <c r="C229" s="207">
        <v>131.4</v>
      </c>
      <c r="D229" s="208">
        <f t="shared" si="8"/>
        <v>-0.78432144967500494</v>
      </c>
      <c r="E229" s="16">
        <v>-1.0244049412473526E-2</v>
      </c>
      <c r="F229" s="16"/>
      <c r="G229" s="215">
        <v>222</v>
      </c>
      <c r="H229" s="16">
        <f t="shared" ca="1" si="9"/>
        <v>3.1979449522362736E-2</v>
      </c>
    </row>
    <row r="230" spans="2:8" x14ac:dyDescent="0.35">
      <c r="B230" s="206">
        <v>41913</v>
      </c>
      <c r="C230" s="207">
        <v>609.24</v>
      </c>
      <c r="D230" s="208">
        <f t="shared" si="8"/>
        <v>3.3598110777157575</v>
      </c>
      <c r="E230" s="16">
        <v>-1.0267073883942974E-2</v>
      </c>
      <c r="F230" s="16"/>
      <c r="G230" s="215">
        <v>223</v>
      </c>
      <c r="H230" s="16">
        <f t="shared" ca="1" si="9"/>
        <v>0.20160631511270136</v>
      </c>
    </row>
    <row r="231" spans="2:8" x14ac:dyDescent="0.35">
      <c r="B231" s="206">
        <v>37653</v>
      </c>
      <c r="C231" s="207">
        <v>139.74</v>
      </c>
      <c r="D231" s="208">
        <f t="shared" si="8"/>
        <v>0.81339216195172603</v>
      </c>
      <c r="E231" s="16">
        <v>-1.0480101968559622E-2</v>
      </c>
      <c r="F231" s="16"/>
      <c r="G231" s="215">
        <v>224</v>
      </c>
      <c r="H231" s="16">
        <f t="shared" ca="1" si="9"/>
        <v>-3.8551671704307802E-2</v>
      </c>
    </row>
    <row r="232" spans="2:8" x14ac:dyDescent="0.35">
      <c r="B232" s="206">
        <v>35490</v>
      </c>
      <c r="C232" s="207">
        <v>77.06</v>
      </c>
      <c r="D232" s="208">
        <f t="shared" si="8"/>
        <v>-0.6062742693643981</v>
      </c>
      <c r="E232" s="16">
        <v>-1.0656053408653207E-2</v>
      </c>
      <c r="F232" s="16"/>
      <c r="G232" s="215">
        <v>225</v>
      </c>
      <c r="H232" s="16">
        <f t="shared" ca="1" si="9"/>
        <v>3.7051303453383019E-2</v>
      </c>
    </row>
    <row r="233" spans="2:8" x14ac:dyDescent="0.35">
      <c r="B233" s="206">
        <v>40299</v>
      </c>
      <c r="C233" s="207">
        <v>195.72</v>
      </c>
      <c r="D233" s="208">
        <f t="shared" si="8"/>
        <v>7.5739254699351444E-2</v>
      </c>
      <c r="E233" s="16">
        <v>-1.0865719917117328E-2</v>
      </c>
      <c r="F233" s="16"/>
      <c r="G233" s="215">
        <v>226</v>
      </c>
      <c r="H233" s="16">
        <f t="shared" ca="1" si="9"/>
        <v>-1.4147739484050684E-2</v>
      </c>
    </row>
    <row r="234" spans="2:8" x14ac:dyDescent="0.35">
      <c r="B234" s="206">
        <v>37257</v>
      </c>
      <c r="C234" s="207">
        <v>181.94</v>
      </c>
      <c r="D234" s="208">
        <f t="shared" si="8"/>
        <v>-0.31182388985551102</v>
      </c>
      <c r="E234" s="16">
        <v>-1.1034407783877813E-2</v>
      </c>
      <c r="F234" s="16"/>
      <c r="G234" s="215">
        <v>227</v>
      </c>
      <c r="H234" s="16">
        <f t="shared" ca="1" si="9"/>
        <v>5.1997491660121714E-2</v>
      </c>
    </row>
    <row r="235" spans="2:8" x14ac:dyDescent="0.35">
      <c r="B235" s="206">
        <v>40756</v>
      </c>
      <c r="C235" s="207">
        <v>264.38</v>
      </c>
      <c r="D235" s="208">
        <f t="shared" si="8"/>
        <v>0.36489416623644816</v>
      </c>
      <c r="E235" s="16">
        <v>-1.1109033102674498E-2</v>
      </c>
      <c r="F235" s="16"/>
      <c r="G235" s="215">
        <v>228</v>
      </c>
      <c r="H235" s="16">
        <f t="shared" ca="1" si="9"/>
        <v>-2.7118938430363001E-2</v>
      </c>
    </row>
    <row r="236" spans="2:8" x14ac:dyDescent="0.35">
      <c r="B236" s="206">
        <v>39904</v>
      </c>
      <c r="C236" s="207">
        <v>193.7</v>
      </c>
      <c r="D236" s="208">
        <f t="shared" si="8"/>
        <v>1.7838459327392928</v>
      </c>
      <c r="E236" s="16">
        <v>-1.1583405623309742E-2</v>
      </c>
      <c r="F236" s="16"/>
      <c r="G236" s="215">
        <v>229</v>
      </c>
      <c r="H236" s="16">
        <f t="shared" ca="1" si="9"/>
        <v>-1.709409820216996E-2</v>
      </c>
    </row>
    <row r="237" spans="2:8" x14ac:dyDescent="0.35">
      <c r="B237" s="206">
        <v>35278</v>
      </c>
      <c r="C237" s="207">
        <v>69.58</v>
      </c>
      <c r="D237" s="208">
        <f t="shared" si="8"/>
        <v>-0.85589130749953402</v>
      </c>
      <c r="E237" s="16">
        <v>-1.1647727272727377E-2</v>
      </c>
      <c r="F237" s="16"/>
      <c r="G237" s="215">
        <v>230</v>
      </c>
      <c r="H237" s="16">
        <f t="shared" ca="1" si="9"/>
        <v>3.5418219276050114E-2</v>
      </c>
    </row>
    <row r="238" spans="2:8" x14ac:dyDescent="0.35">
      <c r="B238" s="206">
        <v>41426</v>
      </c>
      <c r="C238" s="207">
        <v>482.83</v>
      </c>
      <c r="D238" s="208">
        <f t="shared" si="8"/>
        <v>-0.78314394790029196</v>
      </c>
      <c r="E238" s="16">
        <v>-1.2415626917570042E-2</v>
      </c>
      <c r="F238" s="16"/>
      <c r="G238" s="215">
        <v>231</v>
      </c>
      <c r="H238" s="16">
        <f t="shared" ca="1" si="9"/>
        <v>-2.6620427683207468E-2</v>
      </c>
    </row>
    <row r="239" spans="2:8" x14ac:dyDescent="0.35">
      <c r="B239" s="206">
        <v>45809</v>
      </c>
      <c r="C239" s="207">
        <v>2226.5</v>
      </c>
      <c r="D239" s="208">
        <f t="shared" si="8"/>
        <v>10.789155988562955</v>
      </c>
      <c r="E239" s="16">
        <v>-1.2590414610025268E-2</v>
      </c>
      <c r="F239" s="16"/>
      <c r="G239" s="215">
        <v>232</v>
      </c>
      <c r="H239" s="16">
        <f t="shared" ca="1" si="9"/>
        <v>1.0880184611747048E-2</v>
      </c>
    </row>
    <row r="240" spans="2:8" x14ac:dyDescent="0.35">
      <c r="B240" s="206">
        <v>36465</v>
      </c>
      <c r="C240" s="207">
        <v>188.86</v>
      </c>
      <c r="D240" s="208">
        <f t="shared" si="8"/>
        <v>-0.918403497857044</v>
      </c>
      <c r="E240" s="16">
        <v>-1.3219081456711286E-2</v>
      </c>
      <c r="F240" s="16"/>
      <c r="G240" s="215">
        <v>233</v>
      </c>
      <c r="H240" s="16">
        <f t="shared" ca="1" si="9"/>
        <v>0.16355641867979914</v>
      </c>
    </row>
    <row r="241" spans="2:8" x14ac:dyDescent="0.35">
      <c r="B241" s="206">
        <v>46054</v>
      </c>
      <c r="C241" s="207">
        <v>2314.56</v>
      </c>
      <c r="D241" s="208">
        <f t="shared" si="8"/>
        <v>0.10374821173104433</v>
      </c>
      <c r="E241" s="16">
        <v>-1.4707697808957511E-2</v>
      </c>
      <c r="F241" s="16"/>
      <c r="G241" s="215">
        <v>234</v>
      </c>
      <c r="H241" s="16">
        <f t="shared" ca="1" si="9"/>
        <v>-2.0696023613976343E-3</v>
      </c>
    </row>
    <row r="242" spans="2:8" x14ac:dyDescent="0.35">
      <c r="B242" s="206">
        <v>45383</v>
      </c>
      <c r="C242" s="207">
        <v>2097</v>
      </c>
      <c r="D242" s="208">
        <f t="shared" si="8"/>
        <v>1.9092674805771368</v>
      </c>
      <c r="E242" s="16">
        <v>-1.4975010334072426E-2</v>
      </c>
      <c r="F242" s="16"/>
      <c r="G242" s="215">
        <v>235</v>
      </c>
      <c r="H242" s="16">
        <f t="shared" ca="1" si="9"/>
        <v>-7.6125935965532965E-2</v>
      </c>
    </row>
    <row r="243" spans="2:8" x14ac:dyDescent="0.35">
      <c r="B243" s="206">
        <v>42064</v>
      </c>
      <c r="C243" s="207">
        <v>720.8</v>
      </c>
      <c r="D243" s="208">
        <f t="shared" si="8"/>
        <v>0.62338686065629145</v>
      </c>
      <c r="E243" s="16">
        <v>-1.5340901329180524E-2</v>
      </c>
      <c r="F243" s="16"/>
      <c r="G243" s="215">
        <v>236</v>
      </c>
      <c r="H243" s="16">
        <f t="shared" ca="1" si="9"/>
        <v>4.6329819253664861E-3</v>
      </c>
    </row>
    <row r="244" spans="2:8" x14ac:dyDescent="0.35">
      <c r="B244" s="206">
        <v>41214</v>
      </c>
      <c r="C244" s="207">
        <v>444.01</v>
      </c>
      <c r="D244" s="208">
        <f t="shared" si="8"/>
        <v>-0.80705368045506498</v>
      </c>
      <c r="E244" s="16">
        <v>-1.5542548002305865E-2</v>
      </c>
      <c r="F244" s="16"/>
      <c r="G244" s="215">
        <v>237</v>
      </c>
      <c r="H244" s="16">
        <f t="shared" ca="1" si="9"/>
        <v>-0.13516890361135575</v>
      </c>
    </row>
    <row r="245" spans="2:8" x14ac:dyDescent="0.35">
      <c r="B245" s="206">
        <v>45170</v>
      </c>
      <c r="C245" s="207">
        <v>2301.21</v>
      </c>
      <c r="D245" s="208">
        <f t="shared" si="8"/>
        <v>11.083648393194707</v>
      </c>
      <c r="E245" s="16">
        <v>-1.5748300920005374E-2</v>
      </c>
      <c r="F245" s="16"/>
      <c r="G245" s="215">
        <v>238</v>
      </c>
      <c r="H245" s="16">
        <f t="shared" ca="1" si="9"/>
        <v>2.5556334854421933E-2</v>
      </c>
    </row>
    <row r="246" spans="2:8" x14ac:dyDescent="0.35">
      <c r="B246" s="206">
        <v>39934</v>
      </c>
      <c r="C246" s="207">
        <v>190.44</v>
      </c>
      <c r="D246" s="208">
        <f t="shared" si="8"/>
        <v>-0.8740934183993917</v>
      </c>
      <c r="E246" s="16">
        <v>-1.683014971605571E-2</v>
      </c>
      <c r="F246" s="16"/>
      <c r="G246" s="215">
        <v>239</v>
      </c>
      <c r="H246" s="16">
        <f t="shared" ca="1" si="9"/>
        <v>4.0699620815833837E-2</v>
      </c>
    </row>
    <row r="247" spans="2:8" x14ac:dyDescent="0.35">
      <c r="B247" s="206">
        <v>43497</v>
      </c>
      <c r="C247" s="207">
        <v>1512.55</v>
      </c>
      <c r="D247" s="208">
        <f t="shared" si="8"/>
        <v>-0.2171066252587992</v>
      </c>
      <c r="E247" s="16">
        <v>-1.7352494055585175E-2</v>
      </c>
      <c r="F247" s="16"/>
      <c r="G247" s="215">
        <v>240</v>
      </c>
      <c r="H247" s="16">
        <f t="shared" ca="1" si="9"/>
        <v>-0.11702565163599368</v>
      </c>
    </row>
    <row r="248" spans="2:8" x14ac:dyDescent="0.35">
      <c r="B248" s="206">
        <v>46266</v>
      </c>
      <c r="C248" s="207">
        <v>1932</v>
      </c>
      <c r="D248" s="208">
        <f t="shared" si="8"/>
        <v>9.2222222222222214</v>
      </c>
      <c r="E248" s="16">
        <v>-1.7993290637389494E-2</v>
      </c>
      <c r="F248" s="16"/>
      <c r="G248" s="215">
        <v>241</v>
      </c>
      <c r="H248" s="16">
        <f t="shared" ca="1" si="9"/>
        <v>-1.6003912982740072E-2</v>
      </c>
    </row>
    <row r="249" spans="2:8" x14ac:dyDescent="0.35">
      <c r="B249" s="206">
        <v>38869</v>
      </c>
      <c r="C249" s="207">
        <v>189</v>
      </c>
      <c r="D249" s="208">
        <f t="shared" si="8"/>
        <v>-0.92099752124497869</v>
      </c>
      <c r="E249" s="16">
        <v>-1.8844416757514384E-2</v>
      </c>
      <c r="F249" s="16"/>
      <c r="G249" s="215">
        <v>242</v>
      </c>
      <c r="H249" s="16">
        <f t="shared" ca="1" si="9"/>
        <v>7.8375200814444226E-2</v>
      </c>
    </row>
    <row r="250" spans="2:8" x14ac:dyDescent="0.35">
      <c r="B250" s="206">
        <v>45931</v>
      </c>
      <c r="C250" s="207">
        <v>2392.33</v>
      </c>
      <c r="D250" s="208">
        <f t="shared" si="8"/>
        <v>2.4126415794128557</v>
      </c>
      <c r="E250" s="16">
        <v>-1.944847486248771E-2</v>
      </c>
      <c r="F250" s="16"/>
      <c r="G250" s="215">
        <v>243</v>
      </c>
      <c r="H250" s="16">
        <f t="shared" ca="1" si="9"/>
        <v>1.4839403964453738E-2</v>
      </c>
    </row>
    <row r="251" spans="2:8" x14ac:dyDescent="0.35">
      <c r="B251" s="206">
        <v>42705</v>
      </c>
      <c r="C251" s="207">
        <v>701.02</v>
      </c>
      <c r="D251" s="208">
        <f t="shared" si="8"/>
        <v>3.0418588560885604</v>
      </c>
      <c r="E251" s="16">
        <v>-2.0908113241805092E-2</v>
      </c>
      <c r="F251" s="16"/>
      <c r="G251" s="215">
        <v>244</v>
      </c>
      <c r="H251" s="16">
        <f t="shared" ca="1" si="9"/>
        <v>0.13897545139922188</v>
      </c>
    </row>
    <row r="252" spans="2:8" x14ac:dyDescent="0.35">
      <c r="B252" s="206">
        <v>37196</v>
      </c>
      <c r="C252" s="207">
        <v>173.44</v>
      </c>
      <c r="D252" s="208">
        <f t="shared" si="8"/>
        <v>-0.92581788941972509</v>
      </c>
      <c r="E252" s="16">
        <v>-2.1439855563078376E-2</v>
      </c>
      <c r="F252" s="16"/>
      <c r="G252" s="215">
        <v>245</v>
      </c>
      <c r="H252" s="16">
        <f t="shared" ca="1" si="9"/>
        <v>-7.3889464980355188E-2</v>
      </c>
    </row>
    <row r="253" spans="2:8" x14ac:dyDescent="0.35">
      <c r="B253" s="206">
        <v>45139</v>
      </c>
      <c r="C253" s="207">
        <v>2338.0300000000002</v>
      </c>
      <c r="D253" s="208">
        <f t="shared" si="8"/>
        <v>9.6100471954982751</v>
      </c>
      <c r="E253" s="16">
        <v>-2.1769327966661818E-2</v>
      </c>
      <c r="F253" s="16"/>
      <c r="G253" s="215">
        <v>246</v>
      </c>
      <c r="H253" s="16">
        <f t="shared" ca="1" si="9"/>
        <v>7.6891125536333371E-2</v>
      </c>
    </row>
    <row r="254" spans="2:8" x14ac:dyDescent="0.35">
      <c r="B254" s="206">
        <v>36373</v>
      </c>
      <c r="C254" s="207">
        <v>220.36</v>
      </c>
      <c r="D254" s="208">
        <f t="shared" si="8"/>
        <v>-0.68775594065719181</v>
      </c>
      <c r="E254" s="16">
        <v>-2.1796066941891935E-2</v>
      </c>
      <c r="F254" s="16"/>
      <c r="G254" s="215">
        <v>247</v>
      </c>
      <c r="H254" s="16">
        <f t="shared" ca="1" si="9"/>
        <v>3.7650449228371352E-3</v>
      </c>
    </row>
    <row r="255" spans="2:8" x14ac:dyDescent="0.35">
      <c r="B255" s="206">
        <v>42491</v>
      </c>
      <c r="C255" s="207">
        <v>705.73</v>
      </c>
      <c r="D255" s="208">
        <f t="shared" si="8"/>
        <v>3.0971262699564588</v>
      </c>
      <c r="E255" s="16">
        <v>-2.2697058660610406E-2</v>
      </c>
      <c r="F255" s="16"/>
      <c r="G255" s="215">
        <v>248</v>
      </c>
      <c r="H255" s="16">
        <f t="shared" ca="1" si="9"/>
        <v>8.7392168640833962E-4</v>
      </c>
    </row>
    <row r="256" spans="2:8" x14ac:dyDescent="0.35">
      <c r="B256" s="206">
        <v>39448</v>
      </c>
      <c r="C256" s="207">
        <v>172.25</v>
      </c>
      <c r="D256" s="208">
        <f t="shared" si="8"/>
        <v>-0.90680978375541688</v>
      </c>
      <c r="E256" s="16">
        <v>-2.3138433618783032E-2</v>
      </c>
      <c r="F256" s="16"/>
      <c r="G256" s="215">
        <v>249</v>
      </c>
      <c r="H256" s="16">
        <f t="shared" ca="1" si="9"/>
        <v>0.10935372949792994</v>
      </c>
    </row>
    <row r="257" spans="2:8" x14ac:dyDescent="0.35">
      <c r="B257" s="206">
        <v>44075</v>
      </c>
      <c r="C257" s="207">
        <v>1848.37</v>
      </c>
      <c r="D257" s="208">
        <f t="shared" si="8"/>
        <v>26.201913171449593</v>
      </c>
      <c r="E257" s="16">
        <v>-2.3189324877791049E-2</v>
      </c>
      <c r="F257" s="16"/>
      <c r="G257" s="215">
        <v>250</v>
      </c>
      <c r="H257" s="16">
        <f t="shared" ca="1" si="9"/>
        <v>-0.10367025521198796</v>
      </c>
    </row>
    <row r="258" spans="2:8" x14ac:dyDescent="0.35">
      <c r="B258" s="206">
        <v>35309</v>
      </c>
      <c r="C258" s="207">
        <v>67.95</v>
      </c>
      <c r="D258" s="208">
        <f t="shared" si="8"/>
        <v>-0.84310058187863679</v>
      </c>
      <c r="E258" s="16">
        <v>-2.3426271917217526E-2</v>
      </c>
      <c r="F258" s="16"/>
      <c r="G258" s="215">
        <v>251</v>
      </c>
      <c r="H258" s="16">
        <f t="shared" ca="1" si="9"/>
        <v>-1.9549136051863977E-2</v>
      </c>
    </row>
    <row r="259" spans="2:8" x14ac:dyDescent="0.35">
      <c r="B259" s="206">
        <v>41244</v>
      </c>
      <c r="C259" s="207">
        <v>433.08</v>
      </c>
      <c r="D259" s="208">
        <f t="shared" si="8"/>
        <v>-0.11753199119732662</v>
      </c>
      <c r="E259" s="16">
        <v>-2.4616562690029521E-2</v>
      </c>
      <c r="F259" s="16"/>
      <c r="G259" s="215">
        <v>252</v>
      </c>
      <c r="H259" s="16">
        <f t="shared" ca="1" si="9"/>
        <v>3.3541692852615615E-2</v>
      </c>
    </row>
    <row r="260" spans="2:8" x14ac:dyDescent="0.35">
      <c r="B260" s="206">
        <v>41579</v>
      </c>
      <c r="C260" s="207">
        <v>490.76</v>
      </c>
      <c r="D260" s="208">
        <f t="shared" si="8"/>
        <v>1.5180092355053874</v>
      </c>
      <c r="E260" s="16">
        <v>-2.4741161741618785E-2</v>
      </c>
      <c r="F260" s="16"/>
      <c r="G260" s="215">
        <v>253</v>
      </c>
      <c r="H260" s="16">
        <f t="shared" ca="1" si="9"/>
        <v>-2.0424177339011588E-2</v>
      </c>
    </row>
    <row r="261" spans="2:8" x14ac:dyDescent="0.35">
      <c r="B261" s="206">
        <v>40210</v>
      </c>
      <c r="C261" s="207">
        <v>194.9</v>
      </c>
      <c r="D261" s="208">
        <f t="shared" si="8"/>
        <v>-0.72223013995382379</v>
      </c>
      <c r="E261" s="16">
        <v>-2.5158805581953689E-2</v>
      </c>
      <c r="F261" s="16"/>
      <c r="G261" s="215">
        <v>254</v>
      </c>
      <c r="H261" s="16">
        <f t="shared" ca="1" si="9"/>
        <v>2.5152628814735331E-2</v>
      </c>
    </row>
    <row r="262" spans="2:8" x14ac:dyDescent="0.35">
      <c r="B262" s="206">
        <v>42095</v>
      </c>
      <c r="C262" s="207">
        <v>701.66</v>
      </c>
      <c r="D262" s="208">
        <f t="shared" si="8"/>
        <v>-0.69062337410382812</v>
      </c>
      <c r="E262" s="16">
        <v>-2.6553829078801314E-2</v>
      </c>
      <c r="F262" s="16"/>
      <c r="G262" s="215">
        <v>255</v>
      </c>
      <c r="H262" s="16">
        <f t="shared" ca="1" si="9"/>
        <v>-2.2106377431937139E-2</v>
      </c>
    </row>
    <row r="263" spans="2:8" x14ac:dyDescent="0.35">
      <c r="B263" s="206">
        <v>45323</v>
      </c>
      <c r="C263" s="207">
        <v>2267.98</v>
      </c>
      <c r="D263" s="208">
        <f t="shared" si="8"/>
        <v>3.5070249001410945</v>
      </c>
      <c r="E263" s="16">
        <v>-2.7903029471771184E-2</v>
      </c>
      <c r="F263" s="16"/>
      <c r="G263" s="215">
        <v>256</v>
      </c>
      <c r="H263" s="16">
        <f t="shared" ca="1" si="9"/>
        <v>3.2157126103265841E-2</v>
      </c>
    </row>
    <row r="264" spans="2:8" x14ac:dyDescent="0.35">
      <c r="B264" s="206">
        <v>41548</v>
      </c>
      <c r="C264" s="207">
        <v>503.21</v>
      </c>
      <c r="D264" s="208">
        <f t="shared" ref="D264:D327" si="10">(C264-C265)/C265</f>
        <v>-0.65767794338736996</v>
      </c>
      <c r="E264" s="16">
        <v>-2.8064279368022617E-2</v>
      </c>
      <c r="F264" s="16"/>
      <c r="G264" s="215">
        <v>257</v>
      </c>
      <c r="H264" s="16">
        <f t="shared" ref="H264:H327" ca="1" si="11">_xlfn.NORM.INV(RAND(),M$10,M$11)</f>
        <v>2.9798797208034935E-2</v>
      </c>
    </row>
    <row r="265" spans="2:8" x14ac:dyDescent="0.35">
      <c r="B265" s="206">
        <v>43525</v>
      </c>
      <c r="C265" s="207">
        <v>1469.99</v>
      </c>
      <c r="D265" s="208">
        <f t="shared" si="10"/>
        <v>7.9388263910003047</v>
      </c>
      <c r="E265" s="16">
        <v>-2.8137912796271161E-2</v>
      </c>
      <c r="F265" s="16"/>
      <c r="G265" s="215">
        <v>258</v>
      </c>
      <c r="H265" s="16">
        <f t="shared" ca="1" si="11"/>
        <v>4.3742170840237307E-2</v>
      </c>
    </row>
    <row r="266" spans="2:8" x14ac:dyDescent="0.35">
      <c r="B266" s="206">
        <v>39173</v>
      </c>
      <c r="C266" s="207">
        <v>164.45</v>
      </c>
      <c r="D266" s="208">
        <f t="shared" si="10"/>
        <v>0.38356049133434283</v>
      </c>
      <c r="E266" s="16">
        <v>-2.8762107252539599E-2</v>
      </c>
      <c r="F266" s="16"/>
      <c r="G266" s="215">
        <v>259</v>
      </c>
      <c r="H266" s="16">
        <f t="shared" ca="1" si="11"/>
        <v>5.3349631087125121E-2</v>
      </c>
    </row>
    <row r="267" spans="2:8" x14ac:dyDescent="0.35">
      <c r="B267" s="206">
        <v>37712</v>
      </c>
      <c r="C267" s="207">
        <v>118.86</v>
      </c>
      <c r="D267" s="208">
        <f t="shared" si="10"/>
        <v>5.1858407079646014E-2</v>
      </c>
      <c r="E267" s="16">
        <v>-2.9000898619393818E-2</v>
      </c>
      <c r="F267" s="16"/>
      <c r="G267" s="215">
        <v>260</v>
      </c>
      <c r="H267" s="16">
        <f t="shared" ca="1" si="11"/>
        <v>5.5311684352605903E-2</v>
      </c>
    </row>
    <row r="268" spans="2:8" x14ac:dyDescent="0.35">
      <c r="B268" s="206">
        <v>38108</v>
      </c>
      <c r="C268" s="207">
        <v>113</v>
      </c>
      <c r="D268" s="208">
        <f t="shared" si="10"/>
        <v>-0.92658810077569742</v>
      </c>
      <c r="E268" s="16">
        <v>-3.0791663092889641E-2</v>
      </c>
      <c r="F268" s="16"/>
      <c r="G268" s="215">
        <v>261</v>
      </c>
      <c r="H268" s="16">
        <f t="shared" ca="1" si="11"/>
        <v>0.1060319395397066</v>
      </c>
    </row>
    <row r="269" spans="2:8" x14ac:dyDescent="0.35">
      <c r="B269" s="206">
        <v>43466</v>
      </c>
      <c r="C269" s="207">
        <v>1539.26</v>
      </c>
      <c r="D269" s="208">
        <f t="shared" si="10"/>
        <v>6.3588946789692598</v>
      </c>
      <c r="E269" s="16">
        <v>-3.099779666351905E-2</v>
      </c>
      <c r="F269" s="16"/>
      <c r="G269" s="215">
        <v>262</v>
      </c>
      <c r="H269" s="16">
        <f t="shared" ca="1" si="11"/>
        <v>6.4632447224130543E-2</v>
      </c>
    </row>
    <row r="270" spans="2:8" x14ac:dyDescent="0.35">
      <c r="B270" s="206">
        <v>39845</v>
      </c>
      <c r="C270" s="207">
        <v>209.17</v>
      </c>
      <c r="D270" s="208">
        <f t="shared" si="10"/>
        <v>-0.90098742757602146</v>
      </c>
      <c r="E270" s="16">
        <v>-3.1171838814265947E-2</v>
      </c>
      <c r="F270" s="16"/>
      <c r="G270" s="215">
        <v>263</v>
      </c>
      <c r="H270" s="16">
        <f t="shared" ca="1" si="11"/>
        <v>6.1515824089971027E-2</v>
      </c>
    </row>
    <row r="271" spans="2:8" x14ac:dyDescent="0.35">
      <c r="B271" s="206">
        <v>44501</v>
      </c>
      <c r="C271" s="207">
        <v>2112.56</v>
      </c>
      <c r="D271" s="208">
        <f t="shared" si="10"/>
        <v>-2.1585826094761133E-3</v>
      </c>
      <c r="E271" s="16">
        <v>-3.1588791044570796E-2</v>
      </c>
      <c r="F271" s="16"/>
      <c r="G271" s="215">
        <v>264</v>
      </c>
      <c r="H271" s="16">
        <f t="shared" ca="1" si="11"/>
        <v>3.5172542051567189E-2</v>
      </c>
    </row>
    <row r="272" spans="2:8" x14ac:dyDescent="0.35">
      <c r="B272" s="206">
        <v>44287</v>
      </c>
      <c r="C272" s="207">
        <v>2117.13</v>
      </c>
      <c r="D272" s="208">
        <f t="shared" si="10"/>
        <v>2.3755799677928535</v>
      </c>
      <c r="E272" s="16">
        <v>-3.1974431428492975E-2</v>
      </c>
      <c r="F272" s="16"/>
      <c r="G272" s="215">
        <v>265</v>
      </c>
      <c r="H272" s="16">
        <f t="shared" ca="1" si="11"/>
        <v>-1.9561035853586612E-2</v>
      </c>
    </row>
    <row r="273" spans="2:8" x14ac:dyDescent="0.35">
      <c r="B273" s="206">
        <v>41974</v>
      </c>
      <c r="C273" s="207">
        <v>627.19000000000005</v>
      </c>
      <c r="D273" s="208">
        <f t="shared" si="10"/>
        <v>-0.58688850686005223</v>
      </c>
      <c r="E273" s="16">
        <v>-3.3084097741462919E-2</v>
      </c>
      <c r="F273" s="16"/>
      <c r="G273" s="215">
        <v>266</v>
      </c>
      <c r="H273" s="16">
        <f t="shared" ca="1" si="11"/>
        <v>-9.2991499257266838E-2</v>
      </c>
    </row>
    <row r="274" spans="2:8" x14ac:dyDescent="0.35">
      <c r="B274" s="206">
        <v>43647</v>
      </c>
      <c r="C274" s="207">
        <v>1518.21</v>
      </c>
      <c r="D274" s="208">
        <f t="shared" si="10"/>
        <v>22.146973624028053</v>
      </c>
      <c r="E274" s="16">
        <v>-3.4094668532892176E-2</v>
      </c>
      <c r="F274" s="16"/>
      <c r="G274" s="215">
        <v>267</v>
      </c>
      <c r="H274" s="16">
        <f t="shared" ca="1" si="11"/>
        <v>9.7693192996460232E-2</v>
      </c>
    </row>
    <row r="275" spans="2:8" x14ac:dyDescent="0.35">
      <c r="B275" s="206">
        <v>35339</v>
      </c>
      <c r="C275" s="207">
        <v>65.59</v>
      </c>
      <c r="D275" s="208">
        <f t="shared" si="10"/>
        <v>-0.41026793742132706</v>
      </c>
      <c r="E275" s="16">
        <v>-3.4731420161883728E-2</v>
      </c>
      <c r="F275" s="16"/>
      <c r="G275" s="215">
        <v>268</v>
      </c>
      <c r="H275" s="16">
        <f t="shared" ca="1" si="11"/>
        <v>5.4518642408273366E-2</v>
      </c>
    </row>
    <row r="276" spans="2:8" x14ac:dyDescent="0.35">
      <c r="B276" s="206">
        <v>35796</v>
      </c>
      <c r="C276" s="207">
        <v>111.22</v>
      </c>
      <c r="D276" s="208">
        <f t="shared" si="10"/>
        <v>-0.84194520236471115</v>
      </c>
      <c r="E276" s="16">
        <v>-3.546960367704452E-2</v>
      </c>
      <c r="F276" s="16"/>
      <c r="G276" s="215">
        <v>269</v>
      </c>
      <c r="H276" s="16">
        <f t="shared" ca="1" si="11"/>
        <v>6.340241402361781E-3</v>
      </c>
    </row>
    <row r="277" spans="2:8" x14ac:dyDescent="0.35">
      <c r="B277" s="206">
        <v>42644</v>
      </c>
      <c r="C277" s="207">
        <v>703.68</v>
      </c>
      <c r="D277" s="208">
        <f t="shared" si="10"/>
        <v>0.5526577083471238</v>
      </c>
      <c r="E277" s="16">
        <v>-3.6120813642901178E-2</v>
      </c>
      <c r="F277" s="16"/>
      <c r="G277" s="215">
        <v>270</v>
      </c>
      <c r="H277" s="16">
        <f t="shared" ca="1" si="11"/>
        <v>2.6811098596841255E-2</v>
      </c>
    </row>
    <row r="278" spans="2:8" x14ac:dyDescent="0.35">
      <c r="B278" s="206">
        <v>41671</v>
      </c>
      <c r="C278" s="207">
        <v>453.21</v>
      </c>
      <c r="D278" s="208">
        <f t="shared" si="10"/>
        <v>-0.78133579075860138</v>
      </c>
      <c r="E278" s="16">
        <v>-3.658432889758096E-2</v>
      </c>
      <c r="F278" s="16"/>
      <c r="G278" s="215">
        <v>271</v>
      </c>
      <c r="H278" s="16">
        <f t="shared" ca="1" si="11"/>
        <v>5.0765488438064513E-2</v>
      </c>
    </row>
    <row r="279" spans="2:8" x14ac:dyDescent="0.35">
      <c r="B279" s="206">
        <v>44562</v>
      </c>
      <c r="C279" s="207">
        <v>2072.63</v>
      </c>
      <c r="D279" s="208">
        <f t="shared" si="10"/>
        <v>21.426206448820601</v>
      </c>
      <c r="E279" s="16">
        <v>-3.6608890066422067E-2</v>
      </c>
      <c r="F279" s="16"/>
      <c r="G279" s="215">
        <v>272</v>
      </c>
      <c r="H279" s="16">
        <f t="shared" ca="1" si="11"/>
        <v>0.1372140418234401</v>
      </c>
    </row>
    <row r="280" spans="2:8" x14ac:dyDescent="0.35">
      <c r="B280" s="206">
        <v>38200</v>
      </c>
      <c r="C280" s="207">
        <v>92.42</v>
      </c>
      <c r="D280" s="208">
        <f t="shared" si="10"/>
        <v>-0.90802058141502207</v>
      </c>
      <c r="E280" s="16">
        <v>-3.689037098791155E-2</v>
      </c>
      <c r="F280" s="16"/>
      <c r="G280" s="215">
        <v>273</v>
      </c>
      <c r="H280" s="16">
        <f t="shared" ca="1" si="11"/>
        <v>-2.6372490192886035E-2</v>
      </c>
    </row>
    <row r="281" spans="2:8" x14ac:dyDescent="0.35">
      <c r="B281" s="206">
        <v>42979</v>
      </c>
      <c r="C281" s="207">
        <v>1004.79</v>
      </c>
      <c r="D281" s="208">
        <f t="shared" si="10"/>
        <v>4.8472416201117312</v>
      </c>
      <c r="E281" s="16">
        <v>-3.759434504425118E-2</v>
      </c>
      <c r="F281" s="16"/>
      <c r="G281" s="215">
        <v>274</v>
      </c>
      <c r="H281" s="16">
        <f t="shared" ca="1" si="11"/>
        <v>-1.3848686081982687E-2</v>
      </c>
    </row>
    <row r="282" spans="2:8" x14ac:dyDescent="0.35">
      <c r="B282" s="206">
        <v>39083</v>
      </c>
      <c r="C282" s="207">
        <v>171.84</v>
      </c>
      <c r="D282" s="208">
        <f t="shared" si="10"/>
        <v>-0.8486337931398974</v>
      </c>
      <c r="E282" s="16">
        <v>-3.7634408602150532E-2</v>
      </c>
      <c r="F282" s="16"/>
      <c r="G282" s="215">
        <v>275</v>
      </c>
      <c r="H282" s="16">
        <f t="shared" ca="1" si="11"/>
        <v>7.7790816191107767E-2</v>
      </c>
    </row>
    <row r="283" spans="2:8" x14ac:dyDescent="0.35">
      <c r="B283" s="206">
        <v>43132</v>
      </c>
      <c r="C283" s="207">
        <v>1135.26</v>
      </c>
      <c r="D283" s="208">
        <f t="shared" si="10"/>
        <v>-0.50095829230552824</v>
      </c>
      <c r="E283" s="16">
        <v>-3.7686908758010403E-2</v>
      </c>
      <c r="F283" s="16"/>
      <c r="G283" s="215">
        <v>276</v>
      </c>
      <c r="H283" s="16">
        <f t="shared" ca="1" si="11"/>
        <v>5.9175607007404818E-3</v>
      </c>
    </row>
    <row r="284" spans="2:8" x14ac:dyDescent="0.35">
      <c r="B284" s="206">
        <v>45017</v>
      </c>
      <c r="C284" s="207">
        <v>2274.88</v>
      </c>
      <c r="D284" s="208">
        <f t="shared" si="10"/>
        <v>12.103392661713034</v>
      </c>
      <c r="E284" s="16">
        <v>-4.0248409470611105E-2</v>
      </c>
      <c r="F284" s="16"/>
      <c r="G284" s="215">
        <v>277</v>
      </c>
      <c r="H284" s="16">
        <f t="shared" ca="1" si="11"/>
        <v>2.8397702701753454E-2</v>
      </c>
    </row>
    <row r="285" spans="2:8" x14ac:dyDescent="0.35">
      <c r="B285" s="206">
        <v>36982</v>
      </c>
      <c r="C285" s="207">
        <v>173.61</v>
      </c>
      <c r="D285" s="208">
        <f t="shared" si="10"/>
        <v>-0.63129950941873547</v>
      </c>
      <c r="E285" s="16">
        <v>-4.0351556022331453E-2</v>
      </c>
      <c r="F285" s="16"/>
      <c r="G285" s="215">
        <v>278</v>
      </c>
      <c r="H285" s="16">
        <f t="shared" ca="1" si="11"/>
        <v>7.8013551049160759E-2</v>
      </c>
    </row>
    <row r="286" spans="2:8" x14ac:dyDescent="0.35">
      <c r="B286" s="206">
        <v>41609</v>
      </c>
      <c r="C286" s="207">
        <v>470.87</v>
      </c>
      <c r="D286" s="208">
        <f t="shared" si="10"/>
        <v>2.3459106089675266</v>
      </c>
      <c r="E286" s="16">
        <v>-4.0528975466623172E-2</v>
      </c>
      <c r="F286" s="16"/>
      <c r="G286" s="215">
        <v>279</v>
      </c>
      <c r="H286" s="16">
        <f t="shared" ca="1" si="11"/>
        <v>7.6019343227294436E-2</v>
      </c>
    </row>
    <row r="287" spans="2:8" x14ac:dyDescent="0.35">
      <c r="B287" s="206">
        <v>37803</v>
      </c>
      <c r="C287" s="207">
        <v>140.72999999999999</v>
      </c>
      <c r="D287" s="208">
        <f t="shared" si="10"/>
        <v>-0.33350698555529251</v>
      </c>
      <c r="E287" s="16">
        <v>-4.1283466176170056E-2</v>
      </c>
      <c r="F287" s="16"/>
      <c r="G287" s="215">
        <v>280</v>
      </c>
      <c r="H287" s="16">
        <f t="shared" ca="1" si="11"/>
        <v>-6.7223107345573047E-2</v>
      </c>
    </row>
    <row r="288" spans="2:8" x14ac:dyDescent="0.35">
      <c r="B288" s="206">
        <v>36404</v>
      </c>
      <c r="C288" s="207">
        <v>211.15</v>
      </c>
      <c r="D288" s="208">
        <f t="shared" si="10"/>
        <v>-0.88841326463205172</v>
      </c>
      <c r="E288" s="16">
        <v>-4.1795244145943038E-2</v>
      </c>
      <c r="F288" s="16"/>
      <c r="G288" s="215">
        <v>281</v>
      </c>
      <c r="H288" s="16">
        <f t="shared" ca="1" si="11"/>
        <v>1.1066900874281638E-2</v>
      </c>
    </row>
    <row r="289" spans="2:8" x14ac:dyDescent="0.35">
      <c r="B289" s="206">
        <v>44044</v>
      </c>
      <c r="C289" s="207">
        <v>1892.25</v>
      </c>
      <c r="D289" s="208">
        <f t="shared" si="10"/>
        <v>-0.11237815575423823</v>
      </c>
      <c r="E289" s="16">
        <v>-4.1879329201604101E-2</v>
      </c>
      <c r="F289" s="16"/>
      <c r="G289" s="215">
        <v>282</v>
      </c>
      <c r="H289" s="16">
        <f t="shared" ca="1" si="11"/>
        <v>0.11417611599319089</v>
      </c>
    </row>
    <row r="290" spans="2:8" x14ac:dyDescent="0.35">
      <c r="B290" s="206">
        <v>46143</v>
      </c>
      <c r="C290" s="207">
        <v>2131.8200000000002</v>
      </c>
      <c r="D290" s="208">
        <f t="shared" si="10"/>
        <v>3.927848872638643E-2</v>
      </c>
      <c r="E290" s="16">
        <v>-4.3271819911679006E-2</v>
      </c>
      <c r="F290" s="16"/>
      <c r="G290" s="215">
        <v>283</v>
      </c>
      <c r="H290" s="16">
        <f t="shared" ca="1" si="11"/>
        <v>1.5949419941476931E-2</v>
      </c>
    </row>
    <row r="291" spans="2:8" x14ac:dyDescent="0.35">
      <c r="B291" s="206">
        <v>44713</v>
      </c>
      <c r="C291" s="207">
        <v>2051.25</v>
      </c>
      <c r="D291" s="208">
        <f t="shared" si="10"/>
        <v>-0.14175794749922593</v>
      </c>
      <c r="E291" s="16">
        <v>-4.3750874085124195E-2</v>
      </c>
      <c r="F291" s="16"/>
      <c r="G291" s="215">
        <v>284</v>
      </c>
      <c r="H291" s="16">
        <f t="shared" ca="1" si="11"/>
        <v>-2.1408399170145555E-2</v>
      </c>
    </row>
    <row r="292" spans="2:8" x14ac:dyDescent="0.35">
      <c r="B292" s="206">
        <v>45108</v>
      </c>
      <c r="C292" s="207">
        <v>2390.06</v>
      </c>
      <c r="D292" s="208">
        <f t="shared" si="10"/>
        <v>0.20711929978737048</v>
      </c>
      <c r="E292" s="16">
        <v>-4.3819186346560915E-2</v>
      </c>
      <c r="F292" s="16"/>
      <c r="G292" s="215">
        <v>285</v>
      </c>
      <c r="H292" s="16">
        <f t="shared" ca="1" si="11"/>
        <v>3.9274613566927838E-2</v>
      </c>
    </row>
    <row r="293" spans="2:8" x14ac:dyDescent="0.35">
      <c r="B293" s="206">
        <v>44593</v>
      </c>
      <c r="C293" s="207">
        <v>1979.97</v>
      </c>
      <c r="D293" s="208">
        <f t="shared" si="10"/>
        <v>2.0576789258008852E-2</v>
      </c>
      <c r="E293" s="16">
        <v>-4.4706484032364713E-2</v>
      </c>
      <c r="F293" s="16"/>
      <c r="G293" s="215">
        <v>286</v>
      </c>
      <c r="H293" s="16">
        <f t="shared" ca="1" si="11"/>
        <v>-2.488426958408051E-3</v>
      </c>
    </row>
    <row r="294" spans="2:8" x14ac:dyDescent="0.35">
      <c r="B294" s="206">
        <v>43922</v>
      </c>
      <c r="C294" s="207">
        <v>1940.05</v>
      </c>
      <c r="D294" s="208">
        <f t="shared" si="10"/>
        <v>-0.14834634193452095</v>
      </c>
      <c r="E294" s="16">
        <v>-4.5030100466151135E-2</v>
      </c>
      <c r="F294" s="16"/>
      <c r="G294" s="215">
        <v>287</v>
      </c>
      <c r="H294" s="16">
        <f t="shared" ca="1" si="11"/>
        <v>-0.10825287041651732</v>
      </c>
    </row>
    <row r="295" spans="2:8" x14ac:dyDescent="0.35">
      <c r="B295" s="206">
        <v>44958</v>
      </c>
      <c r="C295" s="207">
        <v>2277.98</v>
      </c>
      <c r="D295" s="208">
        <f t="shared" si="10"/>
        <v>20.526932526932526</v>
      </c>
      <c r="E295" s="16">
        <v>-4.5056299413949515E-2</v>
      </c>
      <c r="F295" s="16"/>
      <c r="G295" s="215">
        <v>288</v>
      </c>
      <c r="H295" s="16">
        <f t="shared" ca="1" si="11"/>
        <v>-9.9165859928168815E-2</v>
      </c>
    </row>
    <row r="296" spans="2:8" x14ac:dyDescent="0.35">
      <c r="B296" s="206">
        <v>35704</v>
      </c>
      <c r="C296" s="207">
        <v>105.82</v>
      </c>
      <c r="D296" s="208">
        <f t="shared" si="10"/>
        <v>-0.41506826598861313</v>
      </c>
      <c r="E296" s="16">
        <v>-4.537663509246731E-2</v>
      </c>
      <c r="F296" s="16"/>
      <c r="G296" s="215">
        <v>289</v>
      </c>
      <c r="H296" s="16">
        <f t="shared" ca="1" si="11"/>
        <v>3.2972009555209278E-2</v>
      </c>
    </row>
    <row r="297" spans="2:8" x14ac:dyDescent="0.35">
      <c r="B297" s="206">
        <v>36951</v>
      </c>
      <c r="C297" s="207">
        <v>180.91</v>
      </c>
      <c r="D297" s="208">
        <f t="shared" si="10"/>
        <v>0.36268454353721008</v>
      </c>
      <c r="E297" s="16">
        <v>-4.5531286272026988E-2</v>
      </c>
      <c r="F297" s="16"/>
      <c r="G297" s="215">
        <v>290</v>
      </c>
      <c r="H297" s="16">
        <f t="shared" ca="1" si="11"/>
        <v>1.5672653043228617E-2</v>
      </c>
    </row>
    <row r="298" spans="2:8" x14ac:dyDescent="0.35">
      <c r="B298" s="206">
        <v>36069</v>
      </c>
      <c r="C298" s="207">
        <v>132.76</v>
      </c>
      <c r="D298" s="208">
        <f t="shared" si="10"/>
        <v>-0.94400509504709129</v>
      </c>
      <c r="E298" s="16">
        <v>-4.5578720345075513E-2</v>
      </c>
      <c r="F298" s="16"/>
      <c r="G298" s="215">
        <v>291</v>
      </c>
      <c r="H298" s="16">
        <f t="shared" ca="1" si="11"/>
        <v>-5.4436610997957838E-2</v>
      </c>
    </row>
    <row r="299" spans="2:8" x14ac:dyDescent="0.35">
      <c r="B299" s="206">
        <v>44896</v>
      </c>
      <c r="C299" s="207">
        <v>2370.9299999999998</v>
      </c>
      <c r="D299" s="208">
        <f t="shared" si="10"/>
        <v>8.7500925278611668</v>
      </c>
      <c r="E299" s="16">
        <v>-4.5934134917185801E-2</v>
      </c>
      <c r="F299" s="16"/>
      <c r="G299" s="215">
        <v>292</v>
      </c>
      <c r="H299" s="16">
        <f t="shared" ca="1" si="11"/>
        <v>4.1018632369153582E-2</v>
      </c>
    </row>
    <row r="300" spans="2:8" x14ac:dyDescent="0.35">
      <c r="B300" s="206">
        <v>40452</v>
      </c>
      <c r="C300" s="207">
        <v>243.17</v>
      </c>
      <c r="D300" s="208">
        <f t="shared" si="10"/>
        <v>-0.66781416062183252</v>
      </c>
      <c r="E300" s="16">
        <v>-4.6429551782283064E-2</v>
      </c>
      <c r="F300" s="16"/>
      <c r="G300" s="215">
        <v>293</v>
      </c>
      <c r="H300" s="16">
        <f t="shared" ca="1" si="11"/>
        <v>-0.1204863124422173</v>
      </c>
    </row>
    <row r="301" spans="2:8" x14ac:dyDescent="0.35">
      <c r="B301" s="206">
        <v>42036</v>
      </c>
      <c r="C301" s="207">
        <v>732.03</v>
      </c>
      <c r="D301" s="208">
        <f t="shared" si="10"/>
        <v>-0.68069598443674817</v>
      </c>
      <c r="E301" s="16">
        <v>-4.8681594302720031E-2</v>
      </c>
      <c r="F301" s="16"/>
      <c r="G301" s="215">
        <v>294</v>
      </c>
      <c r="H301" s="16">
        <f t="shared" ca="1" si="11"/>
        <v>5.8318690814504248E-2</v>
      </c>
    </row>
    <row r="302" spans="2:8" x14ac:dyDescent="0.35">
      <c r="B302" s="206">
        <v>45992</v>
      </c>
      <c r="C302" s="207">
        <v>2292.58</v>
      </c>
      <c r="D302" s="208">
        <f t="shared" si="10"/>
        <v>16.198649662415601</v>
      </c>
      <c r="E302" s="16">
        <v>-4.9593526268442677E-2</v>
      </c>
      <c r="F302" s="16"/>
      <c r="G302" s="215">
        <v>295</v>
      </c>
      <c r="H302" s="16">
        <f t="shared" ca="1" si="11"/>
        <v>-9.634745467592408E-2</v>
      </c>
    </row>
    <row r="303" spans="2:8" x14ac:dyDescent="0.35">
      <c r="B303" s="206">
        <v>36008</v>
      </c>
      <c r="C303" s="207">
        <v>133.30000000000001</v>
      </c>
      <c r="D303" s="208">
        <f t="shared" si="10"/>
        <v>-7.3404699012929245E-2</v>
      </c>
      <c r="E303" s="16">
        <v>-5.023156394727455E-2</v>
      </c>
      <c r="F303" s="16"/>
      <c r="G303" s="215">
        <v>296</v>
      </c>
      <c r="H303" s="16">
        <f t="shared" ca="1" si="11"/>
        <v>-0.14588204754407061</v>
      </c>
    </row>
    <row r="304" spans="2:8" x14ac:dyDescent="0.35">
      <c r="B304" s="206">
        <v>37895</v>
      </c>
      <c r="C304" s="207">
        <v>143.86000000000001</v>
      </c>
      <c r="D304" s="208">
        <f t="shared" si="10"/>
        <v>-0.26466980167654863</v>
      </c>
      <c r="E304" s="16">
        <v>-5.1180583036538656E-2</v>
      </c>
      <c r="F304" s="16"/>
      <c r="G304" s="215">
        <v>297</v>
      </c>
      <c r="H304" s="16">
        <f t="shared" ca="1" si="11"/>
        <v>3.0734473735693102E-2</v>
      </c>
    </row>
    <row r="305" spans="2:8" x14ac:dyDescent="0.35">
      <c r="B305" s="206">
        <v>39569</v>
      </c>
      <c r="C305" s="207">
        <v>195.64</v>
      </c>
      <c r="D305" s="208">
        <f t="shared" si="10"/>
        <v>-0.71216289779164033</v>
      </c>
      <c r="E305" s="16">
        <v>-5.2544917429415576E-2</v>
      </c>
      <c r="F305" s="16"/>
      <c r="G305" s="215">
        <v>298</v>
      </c>
      <c r="H305" s="16">
        <f t="shared" ca="1" si="11"/>
        <v>-3.9383974731085583E-2</v>
      </c>
    </row>
    <row r="306" spans="2:8" x14ac:dyDescent="0.35">
      <c r="B306" s="206">
        <v>42370</v>
      </c>
      <c r="C306" s="207">
        <v>679.69</v>
      </c>
      <c r="D306" s="208">
        <f t="shared" si="10"/>
        <v>2.9782850453614285</v>
      </c>
      <c r="E306" s="16">
        <v>-5.3145547754374196E-2</v>
      </c>
      <c r="F306" s="16"/>
      <c r="G306" s="215">
        <v>299</v>
      </c>
      <c r="H306" s="16">
        <f t="shared" ca="1" si="11"/>
        <v>-7.8627398906694179E-2</v>
      </c>
    </row>
    <row r="307" spans="2:8" x14ac:dyDescent="0.35">
      <c r="B307" s="206">
        <v>37135</v>
      </c>
      <c r="C307" s="207">
        <v>170.85</v>
      </c>
      <c r="D307" s="208">
        <f t="shared" si="10"/>
        <v>-0.74586859837272601</v>
      </c>
      <c r="E307" s="16">
        <v>-5.3462603878116376E-2</v>
      </c>
      <c r="F307" s="16"/>
      <c r="G307" s="215">
        <v>300</v>
      </c>
      <c r="H307" s="16">
        <f t="shared" ca="1" si="11"/>
        <v>5.2006046871961517E-2</v>
      </c>
    </row>
    <row r="308" spans="2:8" x14ac:dyDescent="0.35">
      <c r="B308" s="206">
        <v>42248</v>
      </c>
      <c r="C308" s="207">
        <v>672.29</v>
      </c>
      <c r="D308" s="208">
        <f t="shared" si="10"/>
        <v>-7.9117868639134295E-2</v>
      </c>
      <c r="E308" s="16">
        <v>-5.3605867364894408E-2</v>
      </c>
      <c r="F308" s="16"/>
      <c r="G308" s="215">
        <v>301</v>
      </c>
      <c r="H308" s="16">
        <f t="shared" ca="1" si="11"/>
        <v>4.5466596200315887E-2</v>
      </c>
    </row>
    <row r="309" spans="2:8" x14ac:dyDescent="0.35">
      <c r="B309" s="206">
        <v>42614</v>
      </c>
      <c r="C309" s="207">
        <v>730.05</v>
      </c>
      <c r="D309" s="208">
        <f t="shared" si="10"/>
        <v>-0.68875900085691999</v>
      </c>
      <c r="E309" s="16">
        <v>-5.3652908845795003E-2</v>
      </c>
      <c r="F309" s="16"/>
      <c r="G309" s="215">
        <v>302</v>
      </c>
      <c r="H309" s="16">
        <f t="shared" ca="1" si="11"/>
        <v>-4.4795517648528363E-2</v>
      </c>
    </row>
    <row r="310" spans="2:8" x14ac:dyDescent="0.35">
      <c r="B310" s="206">
        <v>44835</v>
      </c>
      <c r="C310" s="207">
        <v>2345.61</v>
      </c>
      <c r="D310" s="208">
        <f t="shared" si="10"/>
        <v>-3.8597742419398499E-2</v>
      </c>
      <c r="E310" s="16">
        <v>-5.4052201125969798E-2</v>
      </c>
      <c r="F310" s="16"/>
      <c r="G310" s="215">
        <v>303</v>
      </c>
      <c r="H310" s="16">
        <f t="shared" ca="1" si="11"/>
        <v>-7.8952534160076304E-2</v>
      </c>
    </row>
    <row r="311" spans="2:8" x14ac:dyDescent="0.35">
      <c r="B311" s="206">
        <v>45901</v>
      </c>
      <c r="C311" s="207">
        <v>2439.7800000000002</v>
      </c>
      <c r="D311" s="208">
        <f t="shared" si="10"/>
        <v>0.1981378080940526</v>
      </c>
      <c r="E311" s="16">
        <v>-5.4663949226226888E-2</v>
      </c>
      <c r="F311" s="16"/>
      <c r="G311" s="215">
        <v>304</v>
      </c>
      <c r="H311" s="16">
        <f t="shared" ca="1" si="11"/>
        <v>-2.8864670560182593E-2</v>
      </c>
    </row>
    <row r="312" spans="2:8" x14ac:dyDescent="0.35">
      <c r="B312" s="206">
        <v>44197</v>
      </c>
      <c r="C312" s="207">
        <v>2036.31</v>
      </c>
      <c r="D312" s="208">
        <f t="shared" si="10"/>
        <v>0.19808312348497317</v>
      </c>
      <c r="E312" s="16">
        <v>-5.4896755299152132E-2</v>
      </c>
      <c r="F312" s="16"/>
      <c r="G312" s="215">
        <v>305</v>
      </c>
      <c r="H312" s="16">
        <f t="shared" ca="1" si="11"/>
        <v>-1.0784924753962886E-2</v>
      </c>
    </row>
    <row r="313" spans="2:8" x14ac:dyDescent="0.35">
      <c r="B313" s="206">
        <v>43800</v>
      </c>
      <c r="C313" s="207">
        <v>1699.64</v>
      </c>
      <c r="D313" s="208">
        <f t="shared" si="10"/>
        <v>-0.19597714199212835</v>
      </c>
      <c r="E313" s="16">
        <v>-5.5178164433820662E-2</v>
      </c>
      <c r="F313" s="16"/>
      <c r="G313" s="215">
        <v>306</v>
      </c>
      <c r="H313" s="16">
        <f t="shared" ca="1" si="11"/>
        <v>2.8344037640029685E-2</v>
      </c>
    </row>
    <row r="314" spans="2:8" x14ac:dyDescent="0.35">
      <c r="B314" s="206">
        <v>44378</v>
      </c>
      <c r="C314" s="207">
        <v>2113.92</v>
      </c>
      <c r="D314" s="208">
        <f t="shared" si="10"/>
        <v>12.980027775940744</v>
      </c>
      <c r="E314" s="16">
        <v>-5.5843140757944464E-2</v>
      </c>
      <c r="F314" s="16"/>
      <c r="G314" s="215">
        <v>307</v>
      </c>
      <c r="H314" s="16">
        <f t="shared" ca="1" si="11"/>
        <v>4.2473483355234043E-2</v>
      </c>
    </row>
    <row r="315" spans="2:8" x14ac:dyDescent="0.35">
      <c r="B315" s="206">
        <v>36192</v>
      </c>
      <c r="C315" s="207">
        <v>151.21</v>
      </c>
      <c r="D315" s="208">
        <f t="shared" si="10"/>
        <v>-0.91902818832198085</v>
      </c>
      <c r="E315" s="16">
        <v>-5.6294077263932985E-2</v>
      </c>
      <c r="F315" s="16"/>
      <c r="G315" s="215">
        <v>308</v>
      </c>
      <c r="H315" s="16">
        <f t="shared" ca="1" si="11"/>
        <v>-6.7500675468589698E-3</v>
      </c>
    </row>
    <row r="316" spans="2:8" x14ac:dyDescent="0.35">
      <c r="B316" s="206">
        <v>44621</v>
      </c>
      <c r="C316" s="207">
        <v>1867.44</v>
      </c>
      <c r="D316" s="208">
        <f t="shared" si="10"/>
        <v>5.9850009351037965</v>
      </c>
      <c r="E316" s="16">
        <v>-5.6834194457491764E-2</v>
      </c>
      <c r="F316" s="16"/>
      <c r="G316" s="215">
        <v>309</v>
      </c>
      <c r="H316" s="16">
        <f t="shared" ca="1" si="11"/>
        <v>-0.11138546163896981</v>
      </c>
    </row>
    <row r="317" spans="2:8" x14ac:dyDescent="0.35">
      <c r="B317" s="206">
        <v>40725</v>
      </c>
      <c r="C317" s="207">
        <v>267.35000000000002</v>
      </c>
      <c r="D317" s="208">
        <f t="shared" si="10"/>
        <v>0.89314544682056385</v>
      </c>
      <c r="E317" s="16">
        <v>-5.7166031880377978E-2</v>
      </c>
      <c r="F317" s="16"/>
      <c r="G317" s="215">
        <v>310</v>
      </c>
      <c r="H317" s="16">
        <f t="shared" ca="1" si="11"/>
        <v>3.6759055769986261E-2</v>
      </c>
    </row>
    <row r="318" spans="2:8" x14ac:dyDescent="0.35">
      <c r="B318" s="206">
        <v>37622</v>
      </c>
      <c r="C318" s="207">
        <v>141.22</v>
      </c>
      <c r="D318" s="208">
        <f t="shared" si="10"/>
        <v>-0.92636046972446451</v>
      </c>
      <c r="E318" s="16">
        <v>-5.8093777095978176E-2</v>
      </c>
      <c r="F318" s="16"/>
      <c r="G318" s="215">
        <v>311</v>
      </c>
      <c r="H318" s="16">
        <f t="shared" ca="1" si="11"/>
        <v>-1.6761092599867952E-2</v>
      </c>
    </row>
    <row r="319" spans="2:8" x14ac:dyDescent="0.35">
      <c r="B319" s="206">
        <v>44228</v>
      </c>
      <c r="C319" s="207">
        <v>1917.72</v>
      </c>
      <c r="D319" s="208">
        <f t="shared" si="10"/>
        <v>16.293894850752999</v>
      </c>
      <c r="E319" s="16">
        <v>-5.8237694653564494E-2</v>
      </c>
      <c r="F319" s="16"/>
      <c r="G319" s="215">
        <v>312</v>
      </c>
      <c r="H319" s="16">
        <f t="shared" ca="1" si="11"/>
        <v>-2.3591944644464385E-2</v>
      </c>
    </row>
    <row r="320" spans="2:8" x14ac:dyDescent="0.35">
      <c r="B320" s="206">
        <v>35643</v>
      </c>
      <c r="C320" s="207">
        <v>110.89</v>
      </c>
      <c r="D320" s="208">
        <f t="shared" si="10"/>
        <v>-0.32110934247581735</v>
      </c>
      <c r="E320" s="16">
        <v>-5.8818536750976008E-2</v>
      </c>
      <c r="F320" s="16"/>
      <c r="G320" s="215">
        <v>313</v>
      </c>
      <c r="H320" s="16">
        <f t="shared" ca="1" si="11"/>
        <v>4.4120359585417324E-2</v>
      </c>
    </row>
    <row r="321" spans="2:8" x14ac:dyDescent="0.35">
      <c r="B321" s="206">
        <v>37012</v>
      </c>
      <c r="C321" s="207">
        <v>163.34</v>
      </c>
      <c r="D321" s="208">
        <f t="shared" si="10"/>
        <v>-0.21274339695392322</v>
      </c>
      <c r="E321" s="16">
        <v>-5.9155578595703064E-2</v>
      </c>
      <c r="F321" s="16"/>
      <c r="G321" s="215">
        <v>314</v>
      </c>
      <c r="H321" s="16">
        <f t="shared" ca="1" si="11"/>
        <v>-3.4439477010254016E-2</v>
      </c>
    </row>
    <row r="322" spans="2:8" x14ac:dyDescent="0.35">
      <c r="B322" s="206">
        <v>40360</v>
      </c>
      <c r="C322" s="207">
        <v>207.48</v>
      </c>
      <c r="D322" s="208">
        <f t="shared" si="10"/>
        <v>0.67674155487312104</v>
      </c>
      <c r="E322" s="16">
        <v>-6.0198396521266566E-2</v>
      </c>
      <c r="F322" s="16"/>
      <c r="G322" s="215">
        <v>315</v>
      </c>
      <c r="H322" s="16">
        <f t="shared" ca="1" si="11"/>
        <v>-0.13866305547254748</v>
      </c>
    </row>
    <row r="323" spans="2:8" x14ac:dyDescent="0.35">
      <c r="B323" s="206">
        <v>35947</v>
      </c>
      <c r="C323" s="207">
        <v>123.74</v>
      </c>
      <c r="D323" s="208">
        <f t="shared" si="10"/>
        <v>-0.94187554019014696</v>
      </c>
      <c r="E323" s="16">
        <v>-6.1224489795918421E-2</v>
      </c>
      <c r="F323" s="16"/>
      <c r="G323" s="215">
        <v>316</v>
      </c>
      <c r="H323" s="16">
        <f t="shared" ca="1" si="11"/>
        <v>-6.2581278093786885E-2</v>
      </c>
    </row>
    <row r="324" spans="2:8" x14ac:dyDescent="0.35">
      <c r="B324" s="206">
        <v>45352</v>
      </c>
      <c r="C324" s="207">
        <v>2128.88</v>
      </c>
      <c r="D324" s="208">
        <f t="shared" si="10"/>
        <v>11.460520924787827</v>
      </c>
      <c r="E324" s="16">
        <v>-6.1332110512438344E-2</v>
      </c>
      <c r="F324" s="16"/>
      <c r="G324" s="215">
        <v>317</v>
      </c>
      <c r="H324" s="16">
        <f t="shared" ca="1" si="11"/>
        <v>3.117789932227023E-2</v>
      </c>
    </row>
    <row r="325" spans="2:8" x14ac:dyDescent="0.35">
      <c r="B325" s="206">
        <v>39356</v>
      </c>
      <c r="C325" s="207">
        <v>170.85</v>
      </c>
      <c r="D325" s="208">
        <f t="shared" si="10"/>
        <v>-0.90604325804695363</v>
      </c>
      <c r="E325" s="16">
        <v>-6.1418447508652455E-2</v>
      </c>
      <c r="F325" s="16"/>
      <c r="G325" s="215">
        <v>318</v>
      </c>
      <c r="H325" s="16">
        <f t="shared" ca="1" si="11"/>
        <v>-8.6473366671140847E-2</v>
      </c>
    </row>
    <row r="326" spans="2:8" x14ac:dyDescent="0.35">
      <c r="B326" s="206">
        <v>43952</v>
      </c>
      <c r="C326" s="207">
        <v>1818.39</v>
      </c>
      <c r="D326" s="208">
        <f t="shared" si="10"/>
        <v>2.8832084054071374</v>
      </c>
      <c r="E326" s="16">
        <v>-6.2709723976186113E-2</v>
      </c>
      <c r="F326" s="16"/>
      <c r="G326" s="215">
        <v>319</v>
      </c>
      <c r="H326" s="16">
        <f t="shared" ca="1" si="11"/>
        <v>-0.12120449335420214</v>
      </c>
    </row>
    <row r="327" spans="2:8" x14ac:dyDescent="0.35">
      <c r="B327" s="206">
        <v>41730</v>
      </c>
      <c r="C327" s="207">
        <v>468.27</v>
      </c>
      <c r="D327" s="208">
        <f t="shared" si="10"/>
        <v>1.3894983926111137</v>
      </c>
      <c r="E327" s="16">
        <v>-6.2841475373746736E-2</v>
      </c>
      <c r="F327" s="16"/>
      <c r="G327" s="215">
        <v>320</v>
      </c>
      <c r="H327" s="16">
        <f t="shared" ca="1" si="11"/>
        <v>-2.3949247270419024E-2</v>
      </c>
    </row>
    <row r="328" spans="2:8" x14ac:dyDescent="0.35">
      <c r="B328" s="206">
        <v>39873</v>
      </c>
      <c r="C328" s="207">
        <v>195.97</v>
      </c>
      <c r="D328" s="208">
        <f t="shared" ref="D328:D375" si="12">(C328-C329)/C329</f>
        <v>-0.90039137948561554</v>
      </c>
      <c r="E328" s="16">
        <v>-6.3106564038820048E-2</v>
      </c>
      <c r="F328" s="16"/>
      <c r="G328" s="215">
        <v>321</v>
      </c>
      <c r="H328" s="16">
        <f t="shared" ref="H328:H391" ca="1" si="13">_xlfn.NORM.INV(RAND(),M$10,M$11)</f>
        <v>5.4870744380806366E-3</v>
      </c>
    </row>
    <row r="329" spans="2:8" x14ac:dyDescent="0.35">
      <c r="B329" s="206">
        <v>46235</v>
      </c>
      <c r="C329" s="207">
        <v>1967.4</v>
      </c>
      <c r="D329" s="208">
        <f t="shared" si="12"/>
        <v>9.3668352882316966E-2</v>
      </c>
      <c r="E329" s="16">
        <v>-6.3722457526293283E-2</v>
      </c>
      <c r="F329" s="16"/>
      <c r="G329" s="215">
        <v>322</v>
      </c>
      <c r="H329" s="16">
        <f t="shared" ca="1" si="13"/>
        <v>9.9709443506133671E-2</v>
      </c>
    </row>
    <row r="330" spans="2:8" x14ac:dyDescent="0.35">
      <c r="B330" s="206">
        <v>43770</v>
      </c>
      <c r="C330" s="207">
        <v>1798.9</v>
      </c>
      <c r="D330" s="208">
        <f t="shared" si="12"/>
        <v>3.9206739974834517</v>
      </c>
      <c r="E330" s="16">
        <v>-6.4378887802442414E-2</v>
      </c>
      <c r="F330" s="16"/>
      <c r="G330" s="215">
        <v>323</v>
      </c>
      <c r="H330" s="16">
        <f t="shared" ca="1" si="13"/>
        <v>0.1014359237609006</v>
      </c>
    </row>
    <row r="331" spans="2:8" x14ac:dyDescent="0.35">
      <c r="B331" s="206">
        <v>41306</v>
      </c>
      <c r="C331" s="207">
        <v>365.58</v>
      </c>
      <c r="D331" s="208">
        <f t="shared" si="12"/>
        <v>-0.48536678069175221</v>
      </c>
      <c r="E331" s="16">
        <v>-6.5204050322184723E-2</v>
      </c>
      <c r="F331" s="16"/>
      <c r="G331" s="215">
        <v>324</v>
      </c>
      <c r="H331" s="16">
        <f t="shared" ca="1" si="13"/>
        <v>-1.1727509031059447E-2</v>
      </c>
    </row>
    <row r="332" spans="2:8" x14ac:dyDescent="0.35">
      <c r="B332" s="206">
        <v>42217</v>
      </c>
      <c r="C332" s="207">
        <v>710.37</v>
      </c>
      <c r="D332" s="208">
        <f t="shared" si="12"/>
        <v>3.0293250141803738</v>
      </c>
      <c r="E332" s="16">
        <v>-6.5904877118699787E-2</v>
      </c>
      <c r="F332" s="16"/>
      <c r="G332" s="215">
        <v>325</v>
      </c>
      <c r="H332" s="16">
        <f t="shared" ca="1" si="13"/>
        <v>4.5193993545294096E-3</v>
      </c>
    </row>
    <row r="333" spans="2:8" x14ac:dyDescent="0.35">
      <c r="B333" s="206">
        <v>36495</v>
      </c>
      <c r="C333" s="207">
        <v>176.3</v>
      </c>
      <c r="D333" s="208">
        <f t="shared" si="12"/>
        <v>-0.92109385489862594</v>
      </c>
      <c r="E333" s="16">
        <v>-6.65042888912422E-2</v>
      </c>
      <c r="F333" s="16"/>
      <c r="G333" s="215">
        <v>326</v>
      </c>
      <c r="H333" s="16">
        <f t="shared" ca="1" si="13"/>
        <v>-3.9326256876654669E-2</v>
      </c>
    </row>
    <row r="334" spans="2:8" x14ac:dyDescent="0.35">
      <c r="B334" s="206">
        <v>45627</v>
      </c>
      <c r="C334" s="207">
        <v>2234.3000000000002</v>
      </c>
      <c r="D334" s="208">
        <f t="shared" si="12"/>
        <v>-4.2338882507243533E-2</v>
      </c>
      <c r="E334" s="16">
        <v>-6.7822067204592648E-2</v>
      </c>
      <c r="F334" s="16"/>
      <c r="G334" s="215">
        <v>327</v>
      </c>
      <c r="H334" s="16">
        <f t="shared" ca="1" si="13"/>
        <v>3.2851216021036966E-2</v>
      </c>
    </row>
    <row r="335" spans="2:8" x14ac:dyDescent="0.35">
      <c r="B335" s="206">
        <v>45292</v>
      </c>
      <c r="C335" s="207">
        <v>2333.08</v>
      </c>
      <c r="D335" s="208">
        <f t="shared" si="12"/>
        <v>6.4613195177332177</v>
      </c>
      <c r="E335" s="16">
        <v>-6.8470835313047845E-2</v>
      </c>
      <c r="F335" s="16"/>
      <c r="G335" s="215">
        <v>328</v>
      </c>
      <c r="H335" s="16">
        <f t="shared" ca="1" si="13"/>
        <v>9.7539188462244963E-2</v>
      </c>
    </row>
    <row r="336" spans="2:8" x14ac:dyDescent="0.35">
      <c r="B336" s="206">
        <v>40909</v>
      </c>
      <c r="C336" s="207">
        <v>312.69</v>
      </c>
      <c r="D336" s="208">
        <f t="shared" si="12"/>
        <v>1.9768659558263515</v>
      </c>
      <c r="E336" s="16">
        <v>-6.981794383626852E-2</v>
      </c>
      <c r="F336" s="16"/>
      <c r="G336" s="215">
        <v>329</v>
      </c>
      <c r="H336" s="16">
        <f t="shared" ca="1" si="13"/>
        <v>5.2801181321782048E-2</v>
      </c>
    </row>
    <row r="337" spans="2:8" x14ac:dyDescent="0.35">
      <c r="B337" s="206">
        <v>38139</v>
      </c>
      <c r="C337" s="207">
        <v>105.04</v>
      </c>
      <c r="D337" s="208">
        <f t="shared" si="12"/>
        <v>-0.51926773455377573</v>
      </c>
      <c r="E337" s="16">
        <v>-7.0442477876106135E-2</v>
      </c>
      <c r="F337" s="16"/>
      <c r="G337" s="215">
        <v>330</v>
      </c>
      <c r="H337" s="16">
        <f t="shared" ca="1" si="13"/>
        <v>-8.9694491603222806E-3</v>
      </c>
    </row>
    <row r="338" spans="2:8" x14ac:dyDescent="0.35">
      <c r="B338" s="206">
        <v>40148</v>
      </c>
      <c r="C338" s="207">
        <v>218.5</v>
      </c>
      <c r="D338" s="208">
        <f t="shared" si="12"/>
        <v>0.65342413923571696</v>
      </c>
      <c r="E338" s="16">
        <v>-7.151659371945783E-2</v>
      </c>
      <c r="F338" s="16"/>
      <c r="G338" s="215">
        <v>331</v>
      </c>
      <c r="H338" s="16">
        <f t="shared" ca="1" si="13"/>
        <v>2.8338211286661339E-2</v>
      </c>
    </row>
    <row r="339" spans="2:8" x14ac:dyDescent="0.35">
      <c r="B339" s="206">
        <v>37530</v>
      </c>
      <c r="C339" s="207">
        <v>132.15</v>
      </c>
      <c r="D339" s="208">
        <f t="shared" si="12"/>
        <v>-0.15081609047680244</v>
      </c>
      <c r="E339" s="16">
        <v>-7.1849978929624872E-2</v>
      </c>
      <c r="F339" s="16"/>
      <c r="G339" s="215">
        <v>332</v>
      </c>
      <c r="H339" s="16">
        <f t="shared" ca="1" si="13"/>
        <v>-0.11856940544175182</v>
      </c>
    </row>
    <row r="340" spans="2:8" x14ac:dyDescent="0.35">
      <c r="B340" s="206">
        <v>39234</v>
      </c>
      <c r="C340" s="207">
        <v>155.62</v>
      </c>
      <c r="D340" s="208">
        <f t="shared" si="12"/>
        <v>8.4233261339092896E-2</v>
      </c>
      <c r="E340" s="16">
        <v>-7.2752189715783872E-2</v>
      </c>
      <c r="F340" s="16"/>
      <c r="G340" s="215">
        <v>333</v>
      </c>
      <c r="H340" s="16">
        <f t="shared" ca="1" si="13"/>
        <v>8.2442017531991332E-2</v>
      </c>
    </row>
    <row r="341" spans="2:8" x14ac:dyDescent="0.35">
      <c r="B341" s="206">
        <v>38018</v>
      </c>
      <c r="C341" s="207">
        <v>143.53</v>
      </c>
      <c r="D341" s="208">
        <f t="shared" si="12"/>
        <v>8.0769771035258155E-3</v>
      </c>
      <c r="E341" s="16">
        <v>-7.4238906088751236E-2</v>
      </c>
      <c r="F341" s="16"/>
      <c r="G341" s="215">
        <v>334</v>
      </c>
      <c r="H341" s="16">
        <f t="shared" ca="1" si="13"/>
        <v>-0.10637120386425514</v>
      </c>
    </row>
    <row r="342" spans="2:8" x14ac:dyDescent="0.35">
      <c r="B342" s="206">
        <v>37500</v>
      </c>
      <c r="C342" s="207">
        <v>142.38</v>
      </c>
      <c r="D342" s="208">
        <f t="shared" si="12"/>
        <v>-0.20262096774193553</v>
      </c>
      <c r="E342" s="16">
        <v>-7.5514576975521039E-2</v>
      </c>
      <c r="F342" s="16"/>
      <c r="G342" s="215">
        <v>335</v>
      </c>
      <c r="H342" s="16">
        <f t="shared" ca="1" si="13"/>
        <v>-4.2794148655202327E-2</v>
      </c>
    </row>
    <row r="343" spans="2:8" x14ac:dyDescent="0.35">
      <c r="B343" s="206">
        <v>39052</v>
      </c>
      <c r="C343" s="207">
        <v>178.56</v>
      </c>
      <c r="D343" s="208">
        <f t="shared" si="12"/>
        <v>0.15170278637770906</v>
      </c>
      <c r="E343" s="16">
        <v>-7.9919616633173554E-2</v>
      </c>
      <c r="F343" s="16"/>
      <c r="G343" s="215">
        <v>336</v>
      </c>
      <c r="H343" s="16">
        <f t="shared" ca="1" si="13"/>
        <v>-0.11140534503986863</v>
      </c>
    </row>
    <row r="344" spans="2:8" x14ac:dyDescent="0.35">
      <c r="B344" s="206">
        <v>37987</v>
      </c>
      <c r="C344" s="207">
        <v>155.04</v>
      </c>
      <c r="D344" s="208">
        <f t="shared" si="12"/>
        <v>0.42395297575312269</v>
      </c>
      <c r="E344" s="16">
        <v>-8.0972139893301709E-2</v>
      </c>
      <c r="F344" s="16"/>
      <c r="G344" s="215">
        <v>337</v>
      </c>
      <c r="H344" s="16">
        <f t="shared" ca="1" si="13"/>
        <v>3.5574062581732797E-2</v>
      </c>
    </row>
    <row r="345" spans="2:8" x14ac:dyDescent="0.35">
      <c r="B345" s="206">
        <v>38412</v>
      </c>
      <c r="C345" s="207">
        <v>108.88</v>
      </c>
      <c r="D345" s="208">
        <f t="shared" si="12"/>
        <v>-6.6129170597821488E-2</v>
      </c>
      <c r="E345" s="16">
        <v>-8.3964327780582229E-2</v>
      </c>
      <c r="F345" s="16"/>
      <c r="G345" s="215">
        <v>338</v>
      </c>
      <c r="H345" s="16">
        <f t="shared" ca="1" si="13"/>
        <v>4.2875968629091876E-2</v>
      </c>
    </row>
    <row r="346" spans="2:8" x14ac:dyDescent="0.35">
      <c r="B346" s="206">
        <v>38078</v>
      </c>
      <c r="C346" s="207">
        <v>116.59</v>
      </c>
      <c r="D346" s="208">
        <f t="shared" si="12"/>
        <v>-0.23747547416612166</v>
      </c>
      <c r="E346" s="16">
        <v>-8.4850863422292006E-2</v>
      </c>
      <c r="F346" s="16"/>
      <c r="G346" s="215">
        <v>339</v>
      </c>
      <c r="H346" s="16">
        <f t="shared" ca="1" si="13"/>
        <v>0.16739818211323723</v>
      </c>
    </row>
    <row r="347" spans="2:8" x14ac:dyDescent="0.35">
      <c r="B347" s="206">
        <v>37377</v>
      </c>
      <c r="C347" s="207">
        <v>152.9</v>
      </c>
      <c r="D347" s="208">
        <f t="shared" si="12"/>
        <v>-0.23523233131596058</v>
      </c>
      <c r="E347" s="16">
        <v>-8.4924292297564166E-2</v>
      </c>
      <c r="F347" s="16"/>
      <c r="G347" s="215">
        <v>340</v>
      </c>
      <c r="H347" s="16">
        <f t="shared" ca="1" si="13"/>
        <v>1.7821895984357856E-2</v>
      </c>
    </row>
    <row r="348" spans="2:8" x14ac:dyDescent="0.35">
      <c r="B348" s="206">
        <v>40179</v>
      </c>
      <c r="C348" s="207">
        <v>199.93</v>
      </c>
      <c r="D348" s="208">
        <f t="shared" si="12"/>
        <v>1.0834722801167156</v>
      </c>
      <c r="E348" s="16">
        <v>-8.498855835240271E-2</v>
      </c>
      <c r="F348" s="16"/>
      <c r="G348" s="215">
        <v>341</v>
      </c>
      <c r="H348" s="16">
        <f t="shared" ca="1" si="13"/>
        <v>-7.2950166004079914E-2</v>
      </c>
    </row>
    <row r="349" spans="2:8" x14ac:dyDescent="0.35">
      <c r="B349" s="206">
        <v>38169</v>
      </c>
      <c r="C349" s="207">
        <v>95.96</v>
      </c>
      <c r="D349" s="208">
        <f t="shared" si="12"/>
        <v>-0.43668916935720575</v>
      </c>
      <c r="E349" s="16">
        <v>-8.6443259710586556E-2</v>
      </c>
      <c r="F349" s="16"/>
      <c r="G349" s="215">
        <v>342</v>
      </c>
      <c r="H349" s="16">
        <f t="shared" ca="1" si="13"/>
        <v>6.1323548046589266E-2</v>
      </c>
    </row>
    <row r="350" spans="2:8" x14ac:dyDescent="0.35">
      <c r="B350" s="206">
        <v>36251</v>
      </c>
      <c r="C350" s="207">
        <v>170.35</v>
      </c>
      <c r="D350" s="208">
        <f t="shared" si="12"/>
        <v>-0.11644190871369303</v>
      </c>
      <c r="E350" s="16">
        <v>-8.8550026752273997E-2</v>
      </c>
      <c r="F350" s="16"/>
      <c r="G350" s="215">
        <v>343</v>
      </c>
      <c r="H350" s="16">
        <f t="shared" ca="1" si="13"/>
        <v>8.4382648387408776E-2</v>
      </c>
    </row>
    <row r="351" spans="2:8" x14ac:dyDescent="0.35">
      <c r="B351" s="206">
        <v>38991</v>
      </c>
      <c r="C351" s="207">
        <v>192.8</v>
      </c>
      <c r="D351" s="208">
        <f t="shared" si="12"/>
        <v>7.3671560687602541E-3</v>
      </c>
      <c r="E351" s="16">
        <v>-9.1380366652528328E-2</v>
      </c>
      <c r="F351" s="16"/>
      <c r="G351" s="215">
        <v>344</v>
      </c>
      <c r="H351" s="16">
        <f t="shared" ca="1" si="13"/>
        <v>-3.3080921852964157E-3</v>
      </c>
    </row>
    <row r="352" spans="2:8" x14ac:dyDescent="0.35">
      <c r="B352" s="206">
        <v>36434</v>
      </c>
      <c r="C352" s="207">
        <v>191.39</v>
      </c>
      <c r="D352" s="208">
        <f t="shared" si="12"/>
        <v>3.0197007212832302E-2</v>
      </c>
      <c r="E352" s="16">
        <v>-9.3582761070329243E-2</v>
      </c>
      <c r="F352" s="16"/>
      <c r="G352" s="215">
        <v>345</v>
      </c>
      <c r="H352" s="16">
        <f t="shared" ca="1" si="13"/>
        <v>-7.5082294572379055E-2</v>
      </c>
    </row>
    <row r="353" spans="2:8" x14ac:dyDescent="0.35">
      <c r="B353" s="206">
        <v>37316</v>
      </c>
      <c r="C353" s="207">
        <v>185.78</v>
      </c>
      <c r="D353" s="208">
        <f t="shared" si="12"/>
        <v>-0.8669312093516317</v>
      </c>
      <c r="E353" s="16">
        <v>-9.3977078761277782E-2</v>
      </c>
      <c r="F353" s="16"/>
      <c r="G353" s="215">
        <v>346</v>
      </c>
      <c r="H353" s="16">
        <f t="shared" ca="1" si="13"/>
        <v>5.7381868590319088E-2</v>
      </c>
    </row>
    <row r="354" spans="2:8" x14ac:dyDescent="0.35">
      <c r="B354" s="206">
        <v>43344</v>
      </c>
      <c r="C354" s="207">
        <v>1396.12</v>
      </c>
      <c r="D354" s="208">
        <f t="shared" si="12"/>
        <v>2.5699089700317073</v>
      </c>
      <c r="E354" s="16">
        <v>-9.6450182830146058E-2</v>
      </c>
      <c r="F354" s="16"/>
      <c r="G354" s="215">
        <v>347</v>
      </c>
      <c r="H354" s="16">
        <f t="shared" ca="1" si="13"/>
        <v>-5.2644482056406525E-2</v>
      </c>
    </row>
    <row r="355" spans="2:8" x14ac:dyDescent="0.35">
      <c r="B355" s="206">
        <v>41275</v>
      </c>
      <c r="C355" s="207">
        <v>391.08</v>
      </c>
      <c r="D355" s="208">
        <f t="shared" si="12"/>
        <v>2.2902574457344773</v>
      </c>
      <c r="E355" s="16">
        <v>-9.697977279024661E-2</v>
      </c>
      <c r="F355" s="16"/>
      <c r="G355" s="215">
        <v>348</v>
      </c>
      <c r="H355" s="16">
        <f t="shared" ca="1" si="13"/>
        <v>0.2484715373553231</v>
      </c>
    </row>
    <row r="356" spans="2:8" x14ac:dyDescent="0.35">
      <c r="B356" s="206">
        <v>38384</v>
      </c>
      <c r="C356" s="207">
        <v>118.86</v>
      </c>
      <c r="D356" s="208">
        <f t="shared" si="12"/>
        <v>-0.28864683703393385</v>
      </c>
      <c r="E356" s="16">
        <v>-9.8589413013802613E-2</v>
      </c>
      <c r="F356" s="16"/>
      <c r="G356" s="215">
        <v>349</v>
      </c>
      <c r="H356" s="16">
        <f t="shared" ca="1" si="13"/>
        <v>-5.7647364511389992E-2</v>
      </c>
    </row>
    <row r="357" spans="2:8" x14ac:dyDescent="0.35">
      <c r="B357" s="206">
        <v>37347</v>
      </c>
      <c r="C357" s="207">
        <v>167.09</v>
      </c>
      <c r="D357" s="208">
        <f t="shared" si="12"/>
        <v>-0.22102564102564101</v>
      </c>
      <c r="E357" s="16">
        <v>-0.10060286360211002</v>
      </c>
      <c r="F357" s="16"/>
      <c r="G357" s="215">
        <v>350</v>
      </c>
      <c r="H357" s="16">
        <f t="shared" ca="1" si="13"/>
        <v>5.9570161758129916E-2</v>
      </c>
    </row>
    <row r="358" spans="2:8" x14ac:dyDescent="0.35">
      <c r="B358" s="206">
        <v>40026</v>
      </c>
      <c r="C358" s="207">
        <v>214.5</v>
      </c>
      <c r="D358" s="208">
        <f t="shared" si="12"/>
        <v>0.61011860081068914</v>
      </c>
      <c r="E358" s="16">
        <v>-0.10821934893776244</v>
      </c>
      <c r="F358" s="16"/>
      <c r="G358" s="215">
        <v>351</v>
      </c>
      <c r="H358" s="16">
        <f t="shared" ca="1" si="13"/>
        <v>5.0808026983734683E-2</v>
      </c>
    </row>
    <row r="359" spans="2:8" x14ac:dyDescent="0.35">
      <c r="B359" s="206">
        <v>38626</v>
      </c>
      <c r="C359" s="207">
        <v>133.22</v>
      </c>
      <c r="D359" s="208">
        <f t="shared" si="12"/>
        <v>-0.93893108775275391</v>
      </c>
      <c r="E359" s="16">
        <v>-0.10877709392560872</v>
      </c>
      <c r="F359" s="16"/>
      <c r="G359" s="215">
        <v>352</v>
      </c>
      <c r="H359" s="16">
        <f t="shared" ca="1" si="13"/>
        <v>2.4562300312804194E-2</v>
      </c>
    </row>
    <row r="360" spans="2:8" x14ac:dyDescent="0.35">
      <c r="B360" s="206">
        <v>44470</v>
      </c>
      <c r="C360" s="207">
        <v>2181.4699999999998</v>
      </c>
      <c r="D360" s="208">
        <f t="shared" si="12"/>
        <v>16.122998430141283</v>
      </c>
      <c r="E360" s="16">
        <v>-0.10879654217290785</v>
      </c>
      <c r="F360" s="16"/>
      <c r="G360" s="215">
        <v>353</v>
      </c>
      <c r="H360" s="16">
        <f t="shared" ca="1" si="13"/>
        <v>7.9936280624354802E-2</v>
      </c>
    </row>
    <row r="361" spans="2:8" x14ac:dyDescent="0.35">
      <c r="B361" s="206">
        <v>38047</v>
      </c>
      <c r="C361" s="207">
        <v>127.4</v>
      </c>
      <c r="D361" s="208">
        <f t="shared" si="12"/>
        <v>-0.93942362098396193</v>
      </c>
      <c r="E361" s="16">
        <v>-0.11238068696439765</v>
      </c>
      <c r="F361" s="16"/>
      <c r="G361" s="215">
        <v>354</v>
      </c>
      <c r="H361" s="16">
        <f t="shared" ca="1" si="13"/>
        <v>-3.9967289205839598E-2</v>
      </c>
    </row>
    <row r="362" spans="2:8" x14ac:dyDescent="0.35">
      <c r="B362" s="206">
        <v>45689</v>
      </c>
      <c r="C362" s="207">
        <v>2103.13</v>
      </c>
      <c r="D362" s="208">
        <f t="shared" si="12"/>
        <v>13.922165460479638</v>
      </c>
      <c r="E362" s="16">
        <v>-0.11282797603982106</v>
      </c>
      <c r="F362" s="16"/>
      <c r="G362" s="215">
        <v>355</v>
      </c>
      <c r="H362" s="16">
        <f t="shared" ca="1" si="13"/>
        <v>0.16450291709576384</v>
      </c>
    </row>
    <row r="363" spans="2:8" x14ac:dyDescent="0.35">
      <c r="B363" s="206">
        <v>37438</v>
      </c>
      <c r="C363" s="207">
        <v>140.94</v>
      </c>
      <c r="D363" s="208">
        <f t="shared" si="12"/>
        <v>-0.22975188545196193</v>
      </c>
      <c r="E363" s="16">
        <v>-0.11519869420553704</v>
      </c>
      <c r="F363" s="16"/>
      <c r="G363" s="215">
        <v>356</v>
      </c>
      <c r="H363" s="16">
        <f t="shared" ca="1" si="13"/>
        <v>-0.11361703225897907</v>
      </c>
    </row>
    <row r="364" spans="2:8" x14ac:dyDescent="0.35">
      <c r="B364" s="206">
        <v>39722</v>
      </c>
      <c r="C364" s="207">
        <v>182.98</v>
      </c>
      <c r="D364" s="208">
        <f t="shared" si="12"/>
        <v>-0.91006188222225493</v>
      </c>
      <c r="E364" s="16">
        <v>-0.12088017680407417</v>
      </c>
      <c r="F364" s="16"/>
      <c r="G364" s="215">
        <v>357</v>
      </c>
      <c r="H364" s="16">
        <f t="shared" ca="1" si="13"/>
        <v>4.6838936039621124E-2</v>
      </c>
    </row>
    <row r="365" spans="2:8" x14ac:dyDescent="0.35">
      <c r="B365" s="206">
        <v>46082</v>
      </c>
      <c r="C365" s="207">
        <v>2034.51</v>
      </c>
      <c r="D365" s="208">
        <f t="shared" si="12"/>
        <v>15.620455845110694</v>
      </c>
      <c r="E365" s="16">
        <v>-0.12099491912069679</v>
      </c>
      <c r="F365" s="16"/>
      <c r="G365" s="215">
        <v>358</v>
      </c>
      <c r="H365" s="16">
        <f t="shared" ca="1" si="13"/>
        <v>-6.7729170501453578E-2</v>
      </c>
    </row>
    <row r="366" spans="2:8" x14ac:dyDescent="0.35">
      <c r="B366" s="206">
        <v>37681</v>
      </c>
      <c r="C366" s="207">
        <v>122.41</v>
      </c>
      <c r="D366" s="208">
        <f t="shared" si="12"/>
        <v>-0.28385888960393146</v>
      </c>
      <c r="E366" s="16">
        <v>-0.12401602976957214</v>
      </c>
      <c r="F366" s="16"/>
      <c r="G366" s="215">
        <v>359</v>
      </c>
      <c r="H366" s="16">
        <f t="shared" ca="1" si="13"/>
        <v>-4.1537009781489803E-2</v>
      </c>
    </row>
    <row r="367" spans="2:8" x14ac:dyDescent="0.35">
      <c r="B367" s="206">
        <v>39600</v>
      </c>
      <c r="C367" s="207">
        <v>170.93</v>
      </c>
      <c r="D367" s="208">
        <f t="shared" si="12"/>
        <v>-6.6829381682938496E-3</v>
      </c>
      <c r="E367" s="16">
        <v>-0.12630341443467583</v>
      </c>
      <c r="F367" s="16"/>
      <c r="G367" s="215">
        <v>360</v>
      </c>
      <c r="H367" s="16">
        <f t="shared" ca="1" si="13"/>
        <v>-7.5955583364898625E-3</v>
      </c>
    </row>
    <row r="368" spans="2:8" x14ac:dyDescent="0.35">
      <c r="B368" s="206">
        <v>36770</v>
      </c>
      <c r="C368" s="207">
        <v>172.08</v>
      </c>
      <c r="D368" s="208">
        <f t="shared" si="12"/>
        <v>-0.2308930008045052</v>
      </c>
      <c r="E368" s="16">
        <v>-0.12725059593244398</v>
      </c>
      <c r="F368" s="16"/>
      <c r="G368" s="215">
        <v>361</v>
      </c>
      <c r="H368" s="16">
        <f t="shared" ca="1" si="13"/>
        <v>9.9694005521017079E-2</v>
      </c>
    </row>
    <row r="369" spans="2:8" x14ac:dyDescent="0.35">
      <c r="B369" s="206">
        <v>40544</v>
      </c>
      <c r="C369" s="207">
        <v>223.74</v>
      </c>
      <c r="D369" s="208">
        <f t="shared" si="12"/>
        <v>-0.90676567656765683</v>
      </c>
      <c r="E369" s="16">
        <v>-0.13342887021185945</v>
      </c>
      <c r="F369" s="16"/>
      <c r="G369" s="215">
        <v>362</v>
      </c>
      <c r="H369" s="16">
        <f t="shared" ca="1" si="13"/>
        <v>5.0358461950079494E-2</v>
      </c>
    </row>
    <row r="370" spans="2:8" x14ac:dyDescent="0.35">
      <c r="B370" s="206">
        <v>45566</v>
      </c>
      <c r="C370" s="207">
        <v>2399.7600000000002</v>
      </c>
      <c r="D370" s="208">
        <f t="shared" si="12"/>
        <v>15.348252605763339</v>
      </c>
      <c r="E370" s="16">
        <v>-0.14537244120286608</v>
      </c>
      <c r="F370" s="16"/>
      <c r="G370" s="215">
        <v>363</v>
      </c>
      <c r="H370" s="16">
        <f t="shared" ca="1" si="13"/>
        <v>3.1967304801842816E-2</v>
      </c>
    </row>
    <row r="371" spans="2:8" x14ac:dyDescent="0.35">
      <c r="B371" s="206">
        <v>36800</v>
      </c>
      <c r="C371" s="207">
        <v>146.79</v>
      </c>
      <c r="D371" s="208">
        <f t="shared" si="12"/>
        <v>-0.26106216964510454</v>
      </c>
      <c r="E371" s="16">
        <v>-0.14696652719665282</v>
      </c>
      <c r="F371" s="16"/>
      <c r="G371" s="215">
        <v>364</v>
      </c>
      <c r="H371" s="16">
        <f t="shared" ca="1" si="13"/>
        <v>2.996556745765043E-2</v>
      </c>
    </row>
    <row r="372" spans="2:8" x14ac:dyDescent="0.35">
      <c r="B372" s="206">
        <v>36708</v>
      </c>
      <c r="C372" s="207">
        <v>198.65</v>
      </c>
      <c r="D372" s="208">
        <f t="shared" si="12"/>
        <v>0.36519826816026402</v>
      </c>
      <c r="E372" s="16">
        <v>-0.15161221439248346</v>
      </c>
      <c r="F372" s="16"/>
      <c r="G372" s="215">
        <v>365</v>
      </c>
      <c r="H372" s="16">
        <f t="shared" ca="1" si="13"/>
        <v>0.1299071849111518</v>
      </c>
    </row>
    <row r="373" spans="2:8" x14ac:dyDescent="0.35">
      <c r="B373" s="206">
        <v>39114</v>
      </c>
      <c r="C373" s="207">
        <v>145.51</v>
      </c>
      <c r="D373" s="208">
        <f t="shared" si="12"/>
        <v>-0.26901436752737873</v>
      </c>
      <c r="E373" s="16">
        <v>-0.15322392923649913</v>
      </c>
      <c r="F373" s="16"/>
      <c r="G373" s="215">
        <v>366</v>
      </c>
      <c r="H373" s="16">
        <f t="shared" ca="1" si="13"/>
        <v>9.1537717516750536E-2</v>
      </c>
    </row>
    <row r="374" spans="2:8" x14ac:dyDescent="0.35">
      <c r="B374" s="206">
        <v>36586</v>
      </c>
      <c r="C374" s="207">
        <v>199.06</v>
      </c>
      <c r="D374" s="208">
        <f t="shared" si="12"/>
        <v>3.3380055027773491E-2</v>
      </c>
      <c r="E374" s="16">
        <v>-0.15773885080815775</v>
      </c>
      <c r="F374" s="16"/>
      <c r="G374" s="215">
        <v>367</v>
      </c>
      <c r="H374" s="16">
        <f t="shared" ca="1" si="13"/>
        <v>7.1559014648322455E-2</v>
      </c>
    </row>
    <row r="375" spans="2:8" x14ac:dyDescent="0.35">
      <c r="B375" s="206">
        <v>38838</v>
      </c>
      <c r="C375" s="207">
        <v>192.63</v>
      </c>
      <c r="D375" s="208" t="e">
        <f t="shared" si="12"/>
        <v>#DIV/0!</v>
      </c>
      <c r="E375" s="16">
        <v>-0.19653806047966635</v>
      </c>
      <c r="F375" s="16"/>
      <c r="G375" s="215">
        <v>368</v>
      </c>
      <c r="H375" s="16">
        <f t="shared" ca="1" si="13"/>
        <v>0.16102094699198494</v>
      </c>
    </row>
    <row r="376" spans="2:8" x14ac:dyDescent="0.35">
      <c r="G376" s="215">
        <v>369</v>
      </c>
      <c r="H376" s="16">
        <f t="shared" ca="1" si="13"/>
        <v>4.2141332249190769E-2</v>
      </c>
    </row>
    <row r="377" spans="2:8" x14ac:dyDescent="0.35">
      <c r="G377" s="215">
        <v>370</v>
      </c>
      <c r="H377" s="16">
        <f t="shared" ca="1" si="13"/>
        <v>-8.3741308806655423E-2</v>
      </c>
    </row>
    <row r="378" spans="2:8" x14ac:dyDescent="0.35">
      <c r="G378" s="215">
        <v>371</v>
      </c>
      <c r="H378" s="16">
        <f t="shared" ca="1" si="13"/>
        <v>4.1004027509268015E-2</v>
      </c>
    </row>
    <row r="379" spans="2:8" x14ac:dyDescent="0.35">
      <c r="G379" s="215">
        <v>372</v>
      </c>
      <c r="H379" s="16">
        <f t="shared" ca="1" si="13"/>
        <v>-6.6111377617027303E-2</v>
      </c>
    </row>
    <row r="380" spans="2:8" x14ac:dyDescent="0.35">
      <c r="G380" s="215">
        <v>373</v>
      </c>
      <c r="H380" s="16">
        <f t="shared" ca="1" si="13"/>
        <v>5.4247089829436351E-2</v>
      </c>
    </row>
    <row r="381" spans="2:8" x14ac:dyDescent="0.35">
      <c r="G381" s="215">
        <v>374</v>
      </c>
      <c r="H381" s="16">
        <f t="shared" ca="1" si="13"/>
        <v>1.8481551929919036E-2</v>
      </c>
    </row>
    <row r="382" spans="2:8" x14ac:dyDescent="0.35">
      <c r="G382" s="215">
        <v>375</v>
      </c>
      <c r="H382" s="16">
        <f t="shared" ca="1" si="13"/>
        <v>1.7637643772792356E-2</v>
      </c>
    </row>
    <row r="383" spans="2:8" x14ac:dyDescent="0.35">
      <c r="G383" s="215">
        <v>376</v>
      </c>
      <c r="H383" s="16">
        <f t="shared" ca="1" si="13"/>
        <v>-8.1686895356999106E-2</v>
      </c>
    </row>
    <row r="384" spans="2:8" x14ac:dyDescent="0.35">
      <c r="G384" s="215">
        <v>377</v>
      </c>
      <c r="H384" s="16">
        <f t="shared" ca="1" si="13"/>
        <v>9.0752047239473846E-2</v>
      </c>
    </row>
    <row r="385" spans="7:8" x14ac:dyDescent="0.35">
      <c r="G385" s="215">
        <v>378</v>
      </c>
      <c r="H385" s="16">
        <f t="shared" ca="1" si="13"/>
        <v>-8.0837612050049218E-2</v>
      </c>
    </row>
    <row r="386" spans="7:8" x14ac:dyDescent="0.35">
      <c r="G386" s="215">
        <v>379</v>
      </c>
      <c r="H386" s="16">
        <f t="shared" ca="1" si="13"/>
        <v>4.9445896545782964E-2</v>
      </c>
    </row>
    <row r="387" spans="7:8" x14ac:dyDescent="0.35">
      <c r="G387" s="215">
        <v>380</v>
      </c>
      <c r="H387" s="16">
        <f t="shared" ca="1" si="13"/>
        <v>6.5261576162252199E-2</v>
      </c>
    </row>
    <row r="388" spans="7:8" x14ac:dyDescent="0.35">
      <c r="G388" s="215">
        <v>381</v>
      </c>
      <c r="H388" s="16">
        <f t="shared" ca="1" si="13"/>
        <v>5.278280042526734E-2</v>
      </c>
    </row>
    <row r="389" spans="7:8" x14ac:dyDescent="0.35">
      <c r="G389" s="215">
        <v>382</v>
      </c>
      <c r="H389" s="16">
        <f t="shared" ca="1" si="13"/>
        <v>-1.7252871243723107E-2</v>
      </c>
    </row>
    <row r="390" spans="7:8" x14ac:dyDescent="0.35">
      <c r="G390" s="215">
        <v>383</v>
      </c>
      <c r="H390" s="16">
        <f t="shared" ca="1" si="13"/>
        <v>-9.6279540283547224E-3</v>
      </c>
    </row>
    <row r="391" spans="7:8" x14ac:dyDescent="0.35">
      <c r="G391" s="215">
        <v>384</v>
      </c>
      <c r="H391" s="16">
        <f t="shared" ca="1" si="13"/>
        <v>-2.3292661758918757E-2</v>
      </c>
    </row>
    <row r="392" spans="7:8" x14ac:dyDescent="0.35">
      <c r="G392" s="215">
        <v>385</v>
      </c>
      <c r="H392" s="16">
        <f t="shared" ref="H392:H455" ca="1" si="14">_xlfn.NORM.INV(RAND(),M$10,M$11)</f>
        <v>-7.6008911159741149E-2</v>
      </c>
    </row>
    <row r="393" spans="7:8" x14ac:dyDescent="0.35">
      <c r="G393" s="215">
        <v>386</v>
      </c>
      <c r="H393" s="16">
        <f t="shared" ca="1" si="14"/>
        <v>-8.3874566865162828E-2</v>
      </c>
    </row>
    <row r="394" spans="7:8" x14ac:dyDescent="0.35">
      <c r="G394" s="215">
        <v>387</v>
      </c>
      <c r="H394" s="16">
        <f t="shared" ca="1" si="14"/>
        <v>1.9542667603010273E-2</v>
      </c>
    </row>
    <row r="395" spans="7:8" x14ac:dyDescent="0.35">
      <c r="G395" s="215">
        <v>388</v>
      </c>
      <c r="H395" s="16">
        <f t="shared" ca="1" si="14"/>
        <v>-0.11164690262601193</v>
      </c>
    </row>
    <row r="396" spans="7:8" x14ac:dyDescent="0.35">
      <c r="G396" s="215">
        <v>389</v>
      </c>
      <c r="H396" s="16">
        <f t="shared" ca="1" si="14"/>
        <v>5.1259804587694427E-2</v>
      </c>
    </row>
    <row r="397" spans="7:8" x14ac:dyDescent="0.35">
      <c r="G397" s="215">
        <v>390</v>
      </c>
      <c r="H397" s="16">
        <f t="shared" ca="1" si="14"/>
        <v>8.5007419808383639E-2</v>
      </c>
    </row>
    <row r="398" spans="7:8" x14ac:dyDescent="0.35">
      <c r="G398" s="215">
        <v>391</v>
      </c>
      <c r="H398" s="16">
        <f t="shared" ca="1" si="14"/>
        <v>5.4057292962807771E-2</v>
      </c>
    </row>
    <row r="399" spans="7:8" x14ac:dyDescent="0.35">
      <c r="G399" s="215">
        <v>392</v>
      </c>
      <c r="H399" s="16">
        <f t="shared" ca="1" si="14"/>
        <v>0.2338454753910755</v>
      </c>
    </row>
    <row r="400" spans="7:8" x14ac:dyDescent="0.35">
      <c r="G400" s="215">
        <v>393</v>
      </c>
      <c r="H400" s="16">
        <f t="shared" ca="1" si="14"/>
        <v>1.0421766940435791E-2</v>
      </c>
    </row>
    <row r="401" spans="7:8" x14ac:dyDescent="0.35">
      <c r="G401" s="215">
        <v>394</v>
      </c>
      <c r="H401" s="16">
        <f t="shared" ca="1" si="14"/>
        <v>-4.9074510338688884E-2</v>
      </c>
    </row>
    <row r="402" spans="7:8" x14ac:dyDescent="0.35">
      <c r="G402" s="215">
        <v>395</v>
      </c>
      <c r="H402" s="16">
        <f t="shared" ca="1" si="14"/>
        <v>-9.5521467276588681E-3</v>
      </c>
    </row>
    <row r="403" spans="7:8" x14ac:dyDescent="0.35">
      <c r="G403" s="215">
        <v>396</v>
      </c>
      <c r="H403" s="16">
        <f t="shared" ca="1" si="14"/>
        <v>6.1551731091990622E-2</v>
      </c>
    </row>
    <row r="404" spans="7:8" x14ac:dyDescent="0.35">
      <c r="G404" s="215">
        <v>397</v>
      </c>
      <c r="H404" s="16">
        <f t="shared" ca="1" si="14"/>
        <v>-3.5917085440517804E-2</v>
      </c>
    </row>
    <row r="405" spans="7:8" x14ac:dyDescent="0.35">
      <c r="G405" s="215">
        <v>398</v>
      </c>
      <c r="H405" s="16">
        <f t="shared" ca="1" si="14"/>
        <v>-0.11519345175316709</v>
      </c>
    </row>
    <row r="406" spans="7:8" x14ac:dyDescent="0.35">
      <c r="G406" s="215">
        <v>399</v>
      </c>
      <c r="H406" s="16">
        <f t="shared" ca="1" si="14"/>
        <v>-6.6697132759605149E-2</v>
      </c>
    </row>
    <row r="407" spans="7:8" x14ac:dyDescent="0.35">
      <c r="G407" s="215">
        <v>400</v>
      </c>
      <c r="H407" s="16">
        <f t="shared" ca="1" si="14"/>
        <v>1.1484909236787222E-2</v>
      </c>
    </row>
    <row r="408" spans="7:8" x14ac:dyDescent="0.35">
      <c r="G408" s="215">
        <v>401</v>
      </c>
      <c r="H408" s="16">
        <f t="shared" ca="1" si="14"/>
        <v>-1.2952190305448759E-2</v>
      </c>
    </row>
    <row r="409" spans="7:8" x14ac:dyDescent="0.35">
      <c r="G409" s="215">
        <v>402</v>
      </c>
      <c r="H409" s="16">
        <f t="shared" ca="1" si="14"/>
        <v>0.12782302699818451</v>
      </c>
    </row>
    <row r="410" spans="7:8" x14ac:dyDescent="0.35">
      <c r="G410" s="215">
        <v>403</v>
      </c>
      <c r="H410" s="16">
        <f t="shared" ca="1" si="14"/>
        <v>3.7944664711515683E-2</v>
      </c>
    </row>
    <row r="411" spans="7:8" x14ac:dyDescent="0.35">
      <c r="G411" s="215">
        <v>404</v>
      </c>
      <c r="H411" s="16">
        <f t="shared" ca="1" si="14"/>
        <v>-3.7629015350538961E-2</v>
      </c>
    </row>
    <row r="412" spans="7:8" x14ac:dyDescent="0.35">
      <c r="G412" s="215">
        <v>405</v>
      </c>
      <c r="H412" s="16">
        <f t="shared" ca="1" si="14"/>
        <v>5.6679169986090308E-2</v>
      </c>
    </row>
    <row r="413" spans="7:8" x14ac:dyDescent="0.35">
      <c r="G413" s="215">
        <v>406</v>
      </c>
      <c r="H413" s="16">
        <f t="shared" ca="1" si="14"/>
        <v>2.5244134607787884E-2</v>
      </c>
    </row>
    <row r="414" spans="7:8" x14ac:dyDescent="0.35">
      <c r="G414" s="215">
        <v>407</v>
      </c>
      <c r="H414" s="16">
        <f t="shared" ca="1" si="14"/>
        <v>2.9515889300572563E-2</v>
      </c>
    </row>
    <row r="415" spans="7:8" x14ac:dyDescent="0.35">
      <c r="G415" s="215">
        <v>408</v>
      </c>
      <c r="H415" s="16">
        <f t="shared" ca="1" si="14"/>
        <v>-1.3238448678719206E-2</v>
      </c>
    </row>
    <row r="416" spans="7:8" x14ac:dyDescent="0.35">
      <c r="G416" s="215">
        <v>409</v>
      </c>
      <c r="H416" s="16">
        <f t="shared" ca="1" si="14"/>
        <v>7.8068306796435241E-2</v>
      </c>
    </row>
    <row r="417" spans="7:8" x14ac:dyDescent="0.35">
      <c r="G417" s="215">
        <v>410</v>
      </c>
      <c r="H417" s="16">
        <f t="shared" ca="1" si="14"/>
        <v>5.1998041570521542E-2</v>
      </c>
    </row>
    <row r="418" spans="7:8" x14ac:dyDescent="0.35">
      <c r="G418" s="215">
        <v>411</v>
      </c>
      <c r="H418" s="16">
        <f t="shared" ca="1" si="14"/>
        <v>-1.6572674989122731E-3</v>
      </c>
    </row>
    <row r="419" spans="7:8" x14ac:dyDescent="0.35">
      <c r="G419" s="215">
        <v>412</v>
      </c>
      <c r="H419" s="16">
        <f t="shared" ca="1" si="14"/>
        <v>-6.7215042728643995E-2</v>
      </c>
    </row>
    <row r="420" spans="7:8" x14ac:dyDescent="0.35">
      <c r="G420" s="215">
        <v>413</v>
      </c>
      <c r="H420" s="16">
        <f t="shared" ca="1" si="14"/>
        <v>4.2806832783135872E-2</v>
      </c>
    </row>
    <row r="421" spans="7:8" x14ac:dyDescent="0.35">
      <c r="G421" s="215">
        <v>414</v>
      </c>
      <c r="H421" s="16">
        <f t="shared" ca="1" si="14"/>
        <v>0.16176577555033261</v>
      </c>
    </row>
    <row r="422" spans="7:8" x14ac:dyDescent="0.35">
      <c r="G422" s="215">
        <v>415</v>
      </c>
      <c r="H422" s="16">
        <f t="shared" ca="1" si="14"/>
        <v>-1.351646524057399E-2</v>
      </c>
    </row>
    <row r="423" spans="7:8" x14ac:dyDescent="0.35">
      <c r="G423" s="215">
        <v>416</v>
      </c>
      <c r="H423" s="16">
        <f t="shared" ca="1" si="14"/>
        <v>-3.6958757089564101E-2</v>
      </c>
    </row>
    <row r="424" spans="7:8" x14ac:dyDescent="0.35">
      <c r="G424" s="215">
        <v>417</v>
      </c>
      <c r="H424" s="16">
        <f t="shared" ca="1" si="14"/>
        <v>-0.10242648125617135</v>
      </c>
    </row>
    <row r="425" spans="7:8" x14ac:dyDescent="0.35">
      <c r="G425" s="215">
        <v>418</v>
      </c>
      <c r="H425" s="16">
        <f t="shared" ca="1" si="14"/>
        <v>3.5672206871118904E-2</v>
      </c>
    </row>
    <row r="426" spans="7:8" x14ac:dyDescent="0.35">
      <c r="G426" s="215">
        <v>419</v>
      </c>
      <c r="H426" s="16">
        <f t="shared" ca="1" si="14"/>
        <v>-2.4518189407487023E-2</v>
      </c>
    </row>
    <row r="427" spans="7:8" x14ac:dyDescent="0.35">
      <c r="G427" s="215">
        <v>420</v>
      </c>
      <c r="H427" s="16">
        <f t="shared" ca="1" si="14"/>
        <v>-6.6313431656528643E-2</v>
      </c>
    </row>
    <row r="428" spans="7:8" x14ac:dyDescent="0.35">
      <c r="G428" s="215">
        <v>421</v>
      </c>
      <c r="H428" s="16">
        <f t="shared" ca="1" si="14"/>
        <v>2.0347313369310168E-2</v>
      </c>
    </row>
    <row r="429" spans="7:8" x14ac:dyDescent="0.35">
      <c r="G429" s="215">
        <v>422</v>
      </c>
      <c r="H429" s="16">
        <f t="shared" ca="1" si="14"/>
        <v>-7.8756876727135661E-2</v>
      </c>
    </row>
    <row r="430" spans="7:8" x14ac:dyDescent="0.35">
      <c r="G430" s="215">
        <v>423</v>
      </c>
      <c r="H430" s="16">
        <f t="shared" ca="1" si="14"/>
        <v>9.9047905619493629E-2</v>
      </c>
    </row>
    <row r="431" spans="7:8" x14ac:dyDescent="0.35">
      <c r="G431" s="215">
        <v>424</v>
      </c>
      <c r="H431" s="16">
        <f t="shared" ca="1" si="14"/>
        <v>-9.6393521887558911E-2</v>
      </c>
    </row>
    <row r="432" spans="7:8" x14ac:dyDescent="0.35">
      <c r="G432" s="215">
        <v>425</v>
      </c>
      <c r="H432" s="16">
        <f t="shared" ca="1" si="14"/>
        <v>-1.2878445412132823E-2</v>
      </c>
    </row>
    <row r="433" spans="7:8" x14ac:dyDescent="0.35">
      <c r="G433" s="215">
        <v>426</v>
      </c>
      <c r="H433" s="16">
        <f t="shared" ca="1" si="14"/>
        <v>0.15970708739602146</v>
      </c>
    </row>
    <row r="434" spans="7:8" x14ac:dyDescent="0.35">
      <c r="G434" s="215">
        <v>427</v>
      </c>
      <c r="H434" s="16">
        <f t="shared" ca="1" si="14"/>
        <v>-0.15936499056699668</v>
      </c>
    </row>
    <row r="435" spans="7:8" x14ac:dyDescent="0.35">
      <c r="G435" s="215">
        <v>428</v>
      </c>
      <c r="H435" s="16">
        <f t="shared" ca="1" si="14"/>
        <v>-2.8234163426023456E-2</v>
      </c>
    </row>
    <row r="436" spans="7:8" x14ac:dyDescent="0.35">
      <c r="G436" s="215">
        <v>429</v>
      </c>
      <c r="H436" s="16">
        <f t="shared" ca="1" si="14"/>
        <v>-0.14168737819872618</v>
      </c>
    </row>
    <row r="437" spans="7:8" x14ac:dyDescent="0.35">
      <c r="G437" s="215">
        <v>430</v>
      </c>
      <c r="H437" s="16">
        <f t="shared" ca="1" si="14"/>
        <v>-0.16029440582235241</v>
      </c>
    </row>
    <row r="438" spans="7:8" x14ac:dyDescent="0.35">
      <c r="G438" s="215">
        <v>431</v>
      </c>
      <c r="H438" s="16">
        <f t="shared" ca="1" si="14"/>
        <v>-2.8025889730166158E-2</v>
      </c>
    </row>
    <row r="439" spans="7:8" x14ac:dyDescent="0.35">
      <c r="G439" s="215">
        <v>432</v>
      </c>
      <c r="H439" s="16">
        <f t="shared" ca="1" si="14"/>
        <v>6.0240555518707745E-2</v>
      </c>
    </row>
    <row r="440" spans="7:8" x14ac:dyDescent="0.35">
      <c r="G440" s="215">
        <v>433</v>
      </c>
      <c r="H440" s="16">
        <f t="shared" ca="1" si="14"/>
        <v>-4.6152949350979466E-2</v>
      </c>
    </row>
    <row r="441" spans="7:8" x14ac:dyDescent="0.35">
      <c r="G441" s="215">
        <v>434</v>
      </c>
      <c r="H441" s="16">
        <f t="shared" ca="1" si="14"/>
        <v>-0.17590760405491676</v>
      </c>
    </row>
    <row r="442" spans="7:8" x14ac:dyDescent="0.35">
      <c r="G442" s="215">
        <v>435</v>
      </c>
      <c r="H442" s="16">
        <f t="shared" ca="1" si="14"/>
        <v>-6.077806198029452E-3</v>
      </c>
    </row>
    <row r="443" spans="7:8" x14ac:dyDescent="0.35">
      <c r="G443" s="215">
        <v>436</v>
      </c>
      <c r="H443" s="16">
        <f t="shared" ca="1" si="14"/>
        <v>-0.1564857651998528</v>
      </c>
    </row>
    <row r="444" spans="7:8" x14ac:dyDescent="0.35">
      <c r="G444" s="215">
        <v>437</v>
      </c>
      <c r="H444" s="16">
        <f t="shared" ca="1" si="14"/>
        <v>-4.9576810503734234E-2</v>
      </c>
    </row>
    <row r="445" spans="7:8" x14ac:dyDescent="0.35">
      <c r="G445" s="215">
        <v>438</v>
      </c>
      <c r="H445" s="16">
        <f t="shared" ca="1" si="14"/>
        <v>0.12042499966195076</v>
      </c>
    </row>
    <row r="446" spans="7:8" x14ac:dyDescent="0.35">
      <c r="G446" s="215">
        <v>439</v>
      </c>
      <c r="H446" s="16">
        <f t="shared" ca="1" si="14"/>
        <v>0.11999317414742529</v>
      </c>
    </row>
    <row r="447" spans="7:8" x14ac:dyDescent="0.35">
      <c r="G447" s="215">
        <v>440</v>
      </c>
      <c r="H447" s="16">
        <f t="shared" ca="1" si="14"/>
        <v>-0.11628977163475054</v>
      </c>
    </row>
    <row r="448" spans="7:8" x14ac:dyDescent="0.35">
      <c r="G448" s="215">
        <v>441</v>
      </c>
      <c r="H448" s="16">
        <f t="shared" ca="1" si="14"/>
        <v>3.7826536320396245E-2</v>
      </c>
    </row>
    <row r="449" spans="7:8" x14ac:dyDescent="0.35">
      <c r="G449" s="215">
        <v>442</v>
      </c>
      <c r="H449" s="16">
        <f t="shared" ca="1" si="14"/>
        <v>-2.0092439421597396E-2</v>
      </c>
    </row>
    <row r="450" spans="7:8" x14ac:dyDescent="0.35">
      <c r="G450" s="215">
        <v>443</v>
      </c>
      <c r="H450" s="16">
        <f t="shared" ca="1" si="14"/>
        <v>-7.5238121641539868E-2</v>
      </c>
    </row>
    <row r="451" spans="7:8" x14ac:dyDescent="0.35">
      <c r="G451" s="215">
        <v>444</v>
      </c>
      <c r="H451" s="16">
        <f t="shared" ca="1" si="14"/>
        <v>-6.8257044564708734E-4</v>
      </c>
    </row>
    <row r="452" spans="7:8" x14ac:dyDescent="0.35">
      <c r="G452" s="215">
        <v>445</v>
      </c>
      <c r="H452" s="16">
        <f t="shared" ca="1" si="14"/>
        <v>-0.12062641277784947</v>
      </c>
    </row>
    <row r="453" spans="7:8" x14ac:dyDescent="0.35">
      <c r="G453" s="215">
        <v>446</v>
      </c>
      <c r="H453" s="16">
        <f t="shared" ca="1" si="14"/>
        <v>-4.0188347769793298E-2</v>
      </c>
    </row>
    <row r="454" spans="7:8" x14ac:dyDescent="0.35">
      <c r="G454" s="215">
        <v>447</v>
      </c>
      <c r="H454" s="16">
        <f t="shared" ca="1" si="14"/>
        <v>5.2637692570990158E-2</v>
      </c>
    </row>
    <row r="455" spans="7:8" x14ac:dyDescent="0.35">
      <c r="G455" s="215">
        <v>448</v>
      </c>
      <c r="H455" s="16">
        <f t="shared" ca="1" si="14"/>
        <v>1.4430200640997403E-2</v>
      </c>
    </row>
    <row r="456" spans="7:8" x14ac:dyDescent="0.35">
      <c r="G456" s="215">
        <v>449</v>
      </c>
      <c r="H456" s="16">
        <f t="shared" ref="H456:H519" ca="1" si="15">_xlfn.NORM.INV(RAND(),M$10,M$11)</f>
        <v>-5.3170461778598715E-3</v>
      </c>
    </row>
    <row r="457" spans="7:8" x14ac:dyDescent="0.35">
      <c r="G457" s="215">
        <v>450</v>
      </c>
      <c r="H457" s="16">
        <f t="shared" ca="1" si="15"/>
        <v>-3.5127536948426019E-2</v>
      </c>
    </row>
    <row r="458" spans="7:8" x14ac:dyDescent="0.35">
      <c r="G458" s="215">
        <v>451</v>
      </c>
      <c r="H458" s="16">
        <f t="shared" ca="1" si="15"/>
        <v>-0.11869815858262961</v>
      </c>
    </row>
    <row r="459" spans="7:8" x14ac:dyDescent="0.35">
      <c r="G459" s="215">
        <v>452</v>
      </c>
      <c r="H459" s="16">
        <f t="shared" ca="1" si="15"/>
        <v>1.1233587942971147E-2</v>
      </c>
    </row>
    <row r="460" spans="7:8" x14ac:dyDescent="0.35">
      <c r="G460" s="215">
        <v>453</v>
      </c>
      <c r="H460" s="16">
        <f t="shared" ca="1" si="15"/>
        <v>2.0385270930077776E-2</v>
      </c>
    </row>
    <row r="461" spans="7:8" x14ac:dyDescent="0.35">
      <c r="G461" s="215">
        <v>454</v>
      </c>
      <c r="H461" s="16">
        <f t="shared" ca="1" si="15"/>
        <v>-9.3635706163470875E-2</v>
      </c>
    </row>
    <row r="462" spans="7:8" x14ac:dyDescent="0.35">
      <c r="G462" s="215">
        <v>455</v>
      </c>
      <c r="H462" s="16">
        <f t="shared" ca="1" si="15"/>
        <v>8.8554080274566113E-2</v>
      </c>
    </row>
    <row r="463" spans="7:8" x14ac:dyDescent="0.35">
      <c r="G463" s="215">
        <v>456</v>
      </c>
      <c r="H463" s="16">
        <f t="shared" ca="1" si="15"/>
        <v>8.1621460844964203E-2</v>
      </c>
    </row>
    <row r="464" spans="7:8" x14ac:dyDescent="0.35">
      <c r="G464" s="215">
        <v>457</v>
      </c>
      <c r="H464" s="16">
        <f t="shared" ca="1" si="15"/>
        <v>-0.10390392025296036</v>
      </c>
    </row>
    <row r="465" spans="7:8" x14ac:dyDescent="0.35">
      <c r="G465" s="215">
        <v>458</v>
      </c>
      <c r="H465" s="16">
        <f t="shared" ca="1" si="15"/>
        <v>0.18151815647853325</v>
      </c>
    </row>
    <row r="466" spans="7:8" x14ac:dyDescent="0.35">
      <c r="G466" s="215">
        <v>459</v>
      </c>
      <c r="H466" s="16">
        <f t="shared" ca="1" si="15"/>
        <v>3.4144169140944813E-2</v>
      </c>
    </row>
    <row r="467" spans="7:8" x14ac:dyDescent="0.35">
      <c r="G467" s="215">
        <v>460</v>
      </c>
      <c r="H467" s="16">
        <f t="shared" ca="1" si="15"/>
        <v>3.7226924709495846E-2</v>
      </c>
    </row>
    <row r="468" spans="7:8" x14ac:dyDescent="0.35">
      <c r="G468" s="215">
        <v>461</v>
      </c>
      <c r="H468" s="16">
        <f t="shared" ca="1" si="15"/>
        <v>-4.0914181302068614E-2</v>
      </c>
    </row>
    <row r="469" spans="7:8" x14ac:dyDescent="0.35">
      <c r="G469" s="215">
        <v>462</v>
      </c>
      <c r="H469" s="16">
        <f t="shared" ca="1" si="15"/>
        <v>0.16773916111299939</v>
      </c>
    </row>
    <row r="470" spans="7:8" x14ac:dyDescent="0.35">
      <c r="G470" s="215">
        <v>463</v>
      </c>
      <c r="H470" s="16">
        <f t="shared" ca="1" si="15"/>
        <v>1.3515936515677854E-2</v>
      </c>
    </row>
    <row r="471" spans="7:8" x14ac:dyDescent="0.35">
      <c r="G471" s="215">
        <v>464</v>
      </c>
      <c r="H471" s="16">
        <f t="shared" ca="1" si="15"/>
        <v>-1.4007359771135156E-2</v>
      </c>
    </row>
    <row r="472" spans="7:8" x14ac:dyDescent="0.35">
      <c r="G472" s="215">
        <v>465</v>
      </c>
      <c r="H472" s="16">
        <f t="shared" ca="1" si="15"/>
        <v>3.8652060801968896E-2</v>
      </c>
    </row>
    <row r="473" spans="7:8" x14ac:dyDescent="0.35">
      <c r="G473" s="215">
        <v>466</v>
      </c>
      <c r="H473" s="16">
        <f t="shared" ca="1" si="15"/>
        <v>2.6257993319321035E-2</v>
      </c>
    </row>
    <row r="474" spans="7:8" x14ac:dyDescent="0.35">
      <c r="G474" s="215">
        <v>467</v>
      </c>
      <c r="H474" s="16">
        <f t="shared" ca="1" si="15"/>
        <v>0.10002933461093805</v>
      </c>
    </row>
    <row r="475" spans="7:8" x14ac:dyDescent="0.35">
      <c r="G475" s="215">
        <v>468</v>
      </c>
      <c r="H475" s="16">
        <f t="shared" ca="1" si="15"/>
        <v>-8.3074163039212646E-3</v>
      </c>
    </row>
    <row r="476" spans="7:8" x14ac:dyDescent="0.35">
      <c r="G476" s="215">
        <v>469</v>
      </c>
      <c r="H476" s="16">
        <f t="shared" ca="1" si="15"/>
        <v>8.7123038083423386E-3</v>
      </c>
    </row>
    <row r="477" spans="7:8" x14ac:dyDescent="0.35">
      <c r="G477" s="215">
        <v>470</v>
      </c>
      <c r="H477" s="16">
        <f t="shared" ca="1" si="15"/>
        <v>4.3286479143184217E-2</v>
      </c>
    </row>
    <row r="478" spans="7:8" x14ac:dyDescent="0.35">
      <c r="G478" s="215">
        <v>471</v>
      </c>
      <c r="H478" s="16">
        <f t="shared" ca="1" si="15"/>
        <v>-1.546379498749335E-2</v>
      </c>
    </row>
    <row r="479" spans="7:8" x14ac:dyDescent="0.35">
      <c r="G479" s="215">
        <v>472</v>
      </c>
      <c r="H479" s="16">
        <f t="shared" ca="1" si="15"/>
        <v>9.7544428095270919E-2</v>
      </c>
    </row>
    <row r="480" spans="7:8" x14ac:dyDescent="0.35">
      <c r="G480" s="215">
        <v>473</v>
      </c>
      <c r="H480" s="16">
        <f t="shared" ca="1" si="15"/>
        <v>9.4421345652302438E-2</v>
      </c>
    </row>
    <row r="481" spans="7:8" x14ac:dyDescent="0.35">
      <c r="G481" s="215">
        <v>474</v>
      </c>
      <c r="H481" s="16">
        <f t="shared" ca="1" si="15"/>
        <v>0.1805623139047226</v>
      </c>
    </row>
    <row r="482" spans="7:8" x14ac:dyDescent="0.35">
      <c r="G482" s="215">
        <v>475</v>
      </c>
      <c r="H482" s="16">
        <f t="shared" ca="1" si="15"/>
        <v>-5.1606130976887987E-2</v>
      </c>
    </row>
    <row r="483" spans="7:8" x14ac:dyDescent="0.35">
      <c r="G483" s="215">
        <v>476</v>
      </c>
      <c r="H483" s="16">
        <f t="shared" ca="1" si="15"/>
        <v>5.1337176010390312E-2</v>
      </c>
    </row>
    <row r="484" spans="7:8" x14ac:dyDescent="0.35">
      <c r="G484" s="215">
        <v>477</v>
      </c>
      <c r="H484" s="16">
        <f t="shared" ca="1" si="15"/>
        <v>5.7973637589678592E-2</v>
      </c>
    </row>
    <row r="485" spans="7:8" x14ac:dyDescent="0.35">
      <c r="G485" s="215">
        <v>478</v>
      </c>
      <c r="H485" s="16">
        <f t="shared" ca="1" si="15"/>
        <v>-7.9536716344186971E-3</v>
      </c>
    </row>
    <row r="486" spans="7:8" x14ac:dyDescent="0.35">
      <c r="G486" s="215">
        <v>479</v>
      </c>
      <c r="H486" s="16">
        <f t="shared" ca="1" si="15"/>
        <v>-3.5216894994546277E-2</v>
      </c>
    </row>
    <row r="487" spans="7:8" x14ac:dyDescent="0.35">
      <c r="G487" s="215">
        <v>480</v>
      </c>
      <c r="H487" s="16">
        <f t="shared" ca="1" si="15"/>
        <v>8.7761507638289687E-2</v>
      </c>
    </row>
    <row r="488" spans="7:8" x14ac:dyDescent="0.35">
      <c r="G488" s="215">
        <v>481</v>
      </c>
      <c r="H488" s="16">
        <f t="shared" ca="1" si="15"/>
        <v>2.0883765339621378E-2</v>
      </c>
    </row>
    <row r="489" spans="7:8" x14ac:dyDescent="0.35">
      <c r="G489" s="215">
        <v>482</v>
      </c>
      <c r="H489" s="16">
        <f t="shared" ca="1" si="15"/>
        <v>-0.17648874614095914</v>
      </c>
    </row>
    <row r="490" spans="7:8" x14ac:dyDescent="0.35">
      <c r="G490" s="215">
        <v>483</v>
      </c>
      <c r="H490" s="16">
        <f t="shared" ca="1" si="15"/>
        <v>1.9371287774767564E-2</v>
      </c>
    </row>
    <row r="491" spans="7:8" x14ac:dyDescent="0.35">
      <c r="G491" s="215">
        <v>484</v>
      </c>
      <c r="H491" s="16">
        <f t="shared" ca="1" si="15"/>
        <v>9.2444236447794328E-2</v>
      </c>
    </row>
    <row r="492" spans="7:8" x14ac:dyDescent="0.35">
      <c r="G492" s="215">
        <v>485</v>
      </c>
      <c r="H492" s="16">
        <f t="shared" ca="1" si="15"/>
        <v>-2.237075249150167E-2</v>
      </c>
    </row>
    <row r="493" spans="7:8" x14ac:dyDescent="0.35">
      <c r="G493" s="215">
        <v>486</v>
      </c>
      <c r="H493" s="16">
        <f t="shared" ca="1" si="15"/>
        <v>-4.0389518096577384E-2</v>
      </c>
    </row>
    <row r="494" spans="7:8" x14ac:dyDescent="0.35">
      <c r="G494" s="215">
        <v>487</v>
      </c>
      <c r="H494" s="16">
        <f t="shared" ca="1" si="15"/>
        <v>4.3484156981343614E-2</v>
      </c>
    </row>
    <row r="495" spans="7:8" x14ac:dyDescent="0.35">
      <c r="G495" s="215">
        <v>488</v>
      </c>
      <c r="H495" s="16">
        <f t="shared" ca="1" si="15"/>
        <v>3.9652843779469829E-2</v>
      </c>
    </row>
    <row r="496" spans="7:8" x14ac:dyDescent="0.35">
      <c r="G496" s="215">
        <v>489</v>
      </c>
      <c r="H496" s="16">
        <f t="shared" ca="1" si="15"/>
        <v>6.5672558927646271E-2</v>
      </c>
    </row>
    <row r="497" spans="7:8" x14ac:dyDescent="0.35">
      <c r="G497" s="215">
        <v>490</v>
      </c>
      <c r="H497" s="16">
        <f t="shared" ca="1" si="15"/>
        <v>-8.4074876281539826E-2</v>
      </c>
    </row>
    <row r="498" spans="7:8" x14ac:dyDescent="0.35">
      <c r="G498" s="215">
        <v>491</v>
      </c>
      <c r="H498" s="16">
        <f t="shared" ca="1" si="15"/>
        <v>-4.4388057361150063E-2</v>
      </c>
    </row>
    <row r="499" spans="7:8" x14ac:dyDescent="0.35">
      <c r="G499" s="215">
        <v>492</v>
      </c>
      <c r="H499" s="16">
        <f t="shared" ca="1" si="15"/>
        <v>8.0192184354861251E-2</v>
      </c>
    </row>
    <row r="500" spans="7:8" x14ac:dyDescent="0.35">
      <c r="G500" s="215">
        <v>493</v>
      </c>
      <c r="H500" s="16">
        <f t="shared" ca="1" si="15"/>
        <v>8.9016475278828874E-2</v>
      </c>
    </row>
    <row r="501" spans="7:8" x14ac:dyDescent="0.35">
      <c r="G501" s="215">
        <v>494</v>
      </c>
      <c r="H501" s="16">
        <f t="shared" ca="1" si="15"/>
        <v>2.441301528765271E-3</v>
      </c>
    </row>
    <row r="502" spans="7:8" x14ac:dyDescent="0.35">
      <c r="G502" s="215">
        <v>495</v>
      </c>
      <c r="H502" s="16">
        <f t="shared" ca="1" si="15"/>
        <v>-3.7352755902910831E-2</v>
      </c>
    </row>
    <row r="503" spans="7:8" x14ac:dyDescent="0.35">
      <c r="G503" s="215">
        <v>496</v>
      </c>
      <c r="H503" s="16">
        <f t="shared" ca="1" si="15"/>
        <v>9.6692492157516505E-2</v>
      </c>
    </row>
    <row r="504" spans="7:8" x14ac:dyDescent="0.35">
      <c r="G504" s="215">
        <v>497</v>
      </c>
      <c r="H504" s="16">
        <f t="shared" ca="1" si="15"/>
        <v>6.7871511562147366E-2</v>
      </c>
    </row>
    <row r="505" spans="7:8" x14ac:dyDescent="0.35">
      <c r="G505" s="215">
        <v>498</v>
      </c>
      <c r="H505" s="16">
        <f t="shared" ca="1" si="15"/>
        <v>-7.7099153523264491E-2</v>
      </c>
    </row>
    <row r="506" spans="7:8" x14ac:dyDescent="0.35">
      <c r="G506" s="215">
        <v>499</v>
      </c>
      <c r="H506" s="16">
        <f t="shared" ca="1" si="15"/>
        <v>-9.3327367516284371E-2</v>
      </c>
    </row>
    <row r="507" spans="7:8" x14ac:dyDescent="0.35">
      <c r="G507" s="215">
        <v>500</v>
      </c>
      <c r="H507" s="16">
        <f t="shared" ca="1" si="15"/>
        <v>-6.1138063771441112E-2</v>
      </c>
    </row>
    <row r="508" spans="7:8" x14ac:dyDescent="0.35">
      <c r="G508" s="215">
        <v>501</v>
      </c>
      <c r="H508" s="16">
        <f t="shared" ca="1" si="15"/>
        <v>4.2021364198299022E-2</v>
      </c>
    </row>
    <row r="509" spans="7:8" x14ac:dyDescent="0.35">
      <c r="G509" s="215">
        <v>502</v>
      </c>
      <c r="H509" s="16">
        <f t="shared" ca="1" si="15"/>
        <v>-0.17756406068195182</v>
      </c>
    </row>
    <row r="510" spans="7:8" x14ac:dyDescent="0.35">
      <c r="G510" s="215">
        <v>503</v>
      </c>
      <c r="H510" s="16">
        <f t="shared" ca="1" si="15"/>
        <v>5.5940522509939167E-2</v>
      </c>
    </row>
    <row r="511" spans="7:8" x14ac:dyDescent="0.35">
      <c r="G511" s="215">
        <v>504</v>
      </c>
      <c r="H511" s="16">
        <f t="shared" ca="1" si="15"/>
        <v>6.2423086370724815E-2</v>
      </c>
    </row>
    <row r="512" spans="7:8" x14ac:dyDescent="0.35">
      <c r="G512" s="215">
        <v>505</v>
      </c>
      <c r="H512" s="16">
        <f t="shared" ca="1" si="15"/>
        <v>-0.1136918656853971</v>
      </c>
    </row>
    <row r="513" spans="7:8" x14ac:dyDescent="0.35">
      <c r="G513" s="215">
        <v>506</v>
      </c>
      <c r="H513" s="16">
        <f t="shared" ca="1" si="15"/>
        <v>-9.1518315675793688E-2</v>
      </c>
    </row>
    <row r="514" spans="7:8" x14ac:dyDescent="0.35">
      <c r="G514" s="215">
        <v>507</v>
      </c>
      <c r="H514" s="16">
        <f t="shared" ca="1" si="15"/>
        <v>-4.129507332701951E-2</v>
      </c>
    </row>
    <row r="515" spans="7:8" x14ac:dyDescent="0.35">
      <c r="G515" s="215">
        <v>508</v>
      </c>
      <c r="H515" s="16">
        <f t="shared" ca="1" si="15"/>
        <v>4.9144166638562692E-2</v>
      </c>
    </row>
    <row r="516" spans="7:8" x14ac:dyDescent="0.35">
      <c r="G516" s="215">
        <v>509</v>
      </c>
      <c r="H516" s="16">
        <f t="shared" ca="1" si="15"/>
        <v>-1.8827592048092676E-2</v>
      </c>
    </row>
    <row r="517" spans="7:8" x14ac:dyDescent="0.35">
      <c r="G517" s="215">
        <v>510</v>
      </c>
      <c r="H517" s="16">
        <f t="shared" ca="1" si="15"/>
        <v>0.11200743873239934</v>
      </c>
    </row>
    <row r="518" spans="7:8" x14ac:dyDescent="0.35">
      <c r="G518" s="215">
        <v>511</v>
      </c>
      <c r="H518" s="16">
        <f t="shared" ca="1" si="15"/>
        <v>-1.0150266098168676E-2</v>
      </c>
    </row>
    <row r="519" spans="7:8" x14ac:dyDescent="0.35">
      <c r="G519" s="215">
        <v>512</v>
      </c>
      <c r="H519" s="16">
        <f t="shared" ca="1" si="15"/>
        <v>2.8614427153698063E-2</v>
      </c>
    </row>
    <row r="520" spans="7:8" x14ac:dyDescent="0.35">
      <c r="G520" s="215">
        <v>513</v>
      </c>
      <c r="H520" s="16">
        <f t="shared" ref="H520:H583" ca="1" si="16">_xlfn.NORM.INV(RAND(),M$10,M$11)</f>
        <v>6.9516695391631134E-2</v>
      </c>
    </row>
    <row r="521" spans="7:8" x14ac:dyDescent="0.35">
      <c r="G521" s="215">
        <v>514</v>
      </c>
      <c r="H521" s="16">
        <f t="shared" ca="1" si="16"/>
        <v>0.1109226318813691</v>
      </c>
    </row>
    <row r="522" spans="7:8" x14ac:dyDescent="0.35">
      <c r="G522" s="215">
        <v>515</v>
      </c>
      <c r="H522" s="16">
        <f t="shared" ca="1" si="16"/>
        <v>5.5792725926361836E-2</v>
      </c>
    </row>
    <row r="523" spans="7:8" x14ac:dyDescent="0.35">
      <c r="G523" s="215">
        <v>516</v>
      </c>
      <c r="H523" s="16">
        <f t="shared" ca="1" si="16"/>
        <v>-1.9080153057070021E-2</v>
      </c>
    </row>
    <row r="524" spans="7:8" x14ac:dyDescent="0.35">
      <c r="G524" s="215">
        <v>517</v>
      </c>
      <c r="H524" s="16">
        <f t="shared" ca="1" si="16"/>
        <v>-6.869638199991214E-2</v>
      </c>
    </row>
    <row r="525" spans="7:8" x14ac:dyDescent="0.35">
      <c r="G525" s="215">
        <v>518</v>
      </c>
      <c r="H525" s="16">
        <f t="shared" ca="1" si="16"/>
        <v>2.4535269950063221E-2</v>
      </c>
    </row>
    <row r="526" spans="7:8" x14ac:dyDescent="0.35">
      <c r="G526" s="215">
        <v>519</v>
      </c>
      <c r="H526" s="16">
        <f t="shared" ca="1" si="16"/>
        <v>3.4045918311199422E-2</v>
      </c>
    </row>
    <row r="527" spans="7:8" x14ac:dyDescent="0.35">
      <c r="G527" s="215">
        <v>520</v>
      </c>
      <c r="H527" s="16">
        <f t="shared" ca="1" si="16"/>
        <v>-0.15456355057822471</v>
      </c>
    </row>
    <row r="528" spans="7:8" x14ac:dyDescent="0.35">
      <c r="G528" s="215">
        <v>521</v>
      </c>
      <c r="H528" s="16">
        <f t="shared" ca="1" si="16"/>
        <v>-2.1065345401737708E-2</v>
      </c>
    </row>
    <row r="529" spans="7:8" x14ac:dyDescent="0.35">
      <c r="G529" s="215">
        <v>522</v>
      </c>
      <c r="H529" s="16">
        <f t="shared" ca="1" si="16"/>
        <v>-0.11036572913682596</v>
      </c>
    </row>
    <row r="530" spans="7:8" x14ac:dyDescent="0.35">
      <c r="G530" s="215">
        <v>523</v>
      </c>
      <c r="H530" s="16">
        <f t="shared" ca="1" si="16"/>
        <v>-1.6219683961637588E-2</v>
      </c>
    </row>
    <row r="531" spans="7:8" x14ac:dyDescent="0.35">
      <c r="G531" s="215">
        <v>524</v>
      </c>
      <c r="H531" s="16">
        <f t="shared" ca="1" si="16"/>
        <v>-0.12641342774442754</v>
      </c>
    </row>
    <row r="532" spans="7:8" x14ac:dyDescent="0.35">
      <c r="G532" s="215">
        <v>525</v>
      </c>
      <c r="H532" s="16">
        <f t="shared" ca="1" si="16"/>
        <v>9.2702953426428994E-2</v>
      </c>
    </row>
    <row r="533" spans="7:8" x14ac:dyDescent="0.35">
      <c r="G533" s="215">
        <v>526</v>
      </c>
      <c r="H533" s="16">
        <f t="shared" ca="1" si="16"/>
        <v>6.6305554396287117E-2</v>
      </c>
    </row>
    <row r="534" spans="7:8" x14ac:dyDescent="0.35">
      <c r="G534" s="215">
        <v>527</v>
      </c>
      <c r="H534" s="16">
        <f t="shared" ca="1" si="16"/>
        <v>1.7177211859948433E-2</v>
      </c>
    </row>
    <row r="535" spans="7:8" x14ac:dyDescent="0.35">
      <c r="G535" s="215">
        <v>528</v>
      </c>
      <c r="H535" s="16">
        <f t="shared" ca="1" si="16"/>
        <v>-1.8229366263808316E-2</v>
      </c>
    </row>
    <row r="536" spans="7:8" x14ac:dyDescent="0.35">
      <c r="G536" s="215">
        <v>529</v>
      </c>
      <c r="H536" s="16">
        <f t="shared" ca="1" si="16"/>
        <v>0.1739977998745641</v>
      </c>
    </row>
    <row r="537" spans="7:8" x14ac:dyDescent="0.35">
      <c r="G537" s="215">
        <v>530</v>
      </c>
      <c r="H537" s="16">
        <f t="shared" ca="1" si="16"/>
        <v>4.0739765717527354E-3</v>
      </c>
    </row>
    <row r="538" spans="7:8" x14ac:dyDescent="0.35">
      <c r="G538" s="215">
        <v>531</v>
      </c>
      <c r="H538" s="16">
        <f t="shared" ca="1" si="16"/>
        <v>1.5608577231030495E-2</v>
      </c>
    </row>
    <row r="539" spans="7:8" x14ac:dyDescent="0.35">
      <c r="G539" s="215">
        <v>532</v>
      </c>
      <c r="H539" s="16">
        <f t="shared" ca="1" si="16"/>
        <v>-0.23083726741977806</v>
      </c>
    </row>
    <row r="540" spans="7:8" x14ac:dyDescent="0.35">
      <c r="G540" s="215">
        <v>533</v>
      </c>
      <c r="H540" s="16">
        <f t="shared" ca="1" si="16"/>
        <v>8.8030891653770968E-2</v>
      </c>
    </row>
    <row r="541" spans="7:8" x14ac:dyDescent="0.35">
      <c r="G541" s="215">
        <v>534</v>
      </c>
      <c r="H541" s="16">
        <f t="shared" ca="1" si="16"/>
        <v>7.1228569094669196E-3</v>
      </c>
    </row>
    <row r="542" spans="7:8" x14ac:dyDescent="0.35">
      <c r="G542" s="215">
        <v>535</v>
      </c>
      <c r="H542" s="16">
        <f t="shared" ca="1" si="16"/>
        <v>6.0108705400194654E-2</v>
      </c>
    </row>
    <row r="543" spans="7:8" x14ac:dyDescent="0.35">
      <c r="G543" s="215">
        <v>536</v>
      </c>
      <c r="H543" s="16">
        <f t="shared" ca="1" si="16"/>
        <v>3.6861214190191172E-2</v>
      </c>
    </row>
    <row r="544" spans="7:8" x14ac:dyDescent="0.35">
      <c r="G544" s="215">
        <v>537</v>
      </c>
      <c r="H544" s="16">
        <f t="shared" ca="1" si="16"/>
        <v>4.789498242437687E-2</v>
      </c>
    </row>
    <row r="545" spans="7:8" x14ac:dyDescent="0.35">
      <c r="G545" s="215">
        <v>538</v>
      </c>
      <c r="H545" s="16">
        <f t="shared" ca="1" si="16"/>
        <v>-3.0547457799086537E-2</v>
      </c>
    </row>
    <row r="546" spans="7:8" x14ac:dyDescent="0.35">
      <c r="G546" s="215">
        <v>539</v>
      </c>
      <c r="H546" s="16">
        <f t="shared" ca="1" si="16"/>
        <v>9.2004254994277127E-3</v>
      </c>
    </row>
    <row r="547" spans="7:8" x14ac:dyDescent="0.35">
      <c r="G547" s="215">
        <v>540</v>
      </c>
      <c r="H547" s="16">
        <f t="shared" ca="1" si="16"/>
        <v>-1.9625391987496122E-2</v>
      </c>
    </row>
    <row r="548" spans="7:8" x14ac:dyDescent="0.35">
      <c r="G548" s="215">
        <v>541</v>
      </c>
      <c r="H548" s="16">
        <f t="shared" ca="1" si="16"/>
        <v>-4.3798852126759116E-2</v>
      </c>
    </row>
    <row r="549" spans="7:8" x14ac:dyDescent="0.35">
      <c r="G549" s="215">
        <v>542</v>
      </c>
      <c r="H549" s="16">
        <f t="shared" ca="1" si="16"/>
        <v>6.0696698908834681E-2</v>
      </c>
    </row>
    <row r="550" spans="7:8" x14ac:dyDescent="0.35">
      <c r="G550" s="215">
        <v>543</v>
      </c>
      <c r="H550" s="16">
        <f t="shared" ca="1" si="16"/>
        <v>4.1732841860000876E-2</v>
      </c>
    </row>
    <row r="551" spans="7:8" x14ac:dyDescent="0.35">
      <c r="G551" s="215">
        <v>544</v>
      </c>
      <c r="H551" s="16">
        <f t="shared" ca="1" si="16"/>
        <v>-0.1038913492463273</v>
      </c>
    </row>
    <row r="552" spans="7:8" x14ac:dyDescent="0.35">
      <c r="G552" s="215">
        <v>545</v>
      </c>
      <c r="H552" s="16">
        <f t="shared" ca="1" si="16"/>
        <v>-2.6623465113795142E-2</v>
      </c>
    </row>
    <row r="553" spans="7:8" x14ac:dyDescent="0.35">
      <c r="G553" s="215">
        <v>546</v>
      </c>
      <c r="H553" s="16">
        <f t="shared" ca="1" si="16"/>
        <v>-7.8569835852642933E-3</v>
      </c>
    </row>
    <row r="554" spans="7:8" x14ac:dyDescent="0.35">
      <c r="G554" s="215">
        <v>547</v>
      </c>
      <c r="H554" s="16">
        <f t="shared" ca="1" si="16"/>
        <v>6.3712853140542494E-2</v>
      </c>
    </row>
    <row r="555" spans="7:8" x14ac:dyDescent="0.35">
      <c r="G555" s="215">
        <v>548</v>
      </c>
      <c r="H555" s="16">
        <f t="shared" ca="1" si="16"/>
        <v>-0.15370654142158061</v>
      </c>
    </row>
    <row r="556" spans="7:8" x14ac:dyDescent="0.35">
      <c r="G556" s="215">
        <v>549</v>
      </c>
      <c r="H556" s="16">
        <f t="shared" ca="1" si="16"/>
        <v>3.3739139724772178E-3</v>
      </c>
    </row>
    <row r="557" spans="7:8" x14ac:dyDescent="0.35">
      <c r="G557" s="215">
        <v>550</v>
      </c>
      <c r="H557" s="16">
        <f t="shared" ca="1" si="16"/>
        <v>4.9334950039632494E-2</v>
      </c>
    </row>
    <row r="558" spans="7:8" x14ac:dyDescent="0.35">
      <c r="G558" s="215">
        <v>551</v>
      </c>
      <c r="H558" s="16">
        <f t="shared" ca="1" si="16"/>
        <v>5.0231891132390169E-2</v>
      </c>
    </row>
    <row r="559" spans="7:8" x14ac:dyDescent="0.35">
      <c r="G559" s="215">
        <v>552</v>
      </c>
      <c r="H559" s="16">
        <f t="shared" ca="1" si="16"/>
        <v>9.6549501644796337E-2</v>
      </c>
    </row>
    <row r="560" spans="7:8" x14ac:dyDescent="0.35">
      <c r="G560" s="215">
        <v>553</v>
      </c>
      <c r="H560" s="16">
        <f t="shared" ca="1" si="16"/>
        <v>-4.0540678398285693E-2</v>
      </c>
    </row>
    <row r="561" spans="7:8" x14ac:dyDescent="0.35">
      <c r="G561" s="215">
        <v>554</v>
      </c>
      <c r="H561" s="16">
        <f t="shared" ca="1" si="16"/>
        <v>-2.5620852809517845E-2</v>
      </c>
    </row>
    <row r="562" spans="7:8" x14ac:dyDescent="0.35">
      <c r="G562" s="215">
        <v>555</v>
      </c>
      <c r="H562" s="16">
        <f t="shared" ca="1" si="16"/>
        <v>-0.1242989894656355</v>
      </c>
    </row>
    <row r="563" spans="7:8" x14ac:dyDescent="0.35">
      <c r="G563" s="215">
        <v>556</v>
      </c>
      <c r="H563" s="16">
        <f t="shared" ca="1" si="16"/>
        <v>0.10630829717249718</v>
      </c>
    </row>
    <row r="564" spans="7:8" x14ac:dyDescent="0.35">
      <c r="G564" s="215">
        <v>557</v>
      </c>
      <c r="H564" s="16">
        <f t="shared" ca="1" si="16"/>
        <v>1.2221575727247379E-2</v>
      </c>
    </row>
    <row r="565" spans="7:8" x14ac:dyDescent="0.35">
      <c r="G565" s="215">
        <v>558</v>
      </c>
      <c r="H565" s="16">
        <f t="shared" ca="1" si="16"/>
        <v>-3.9250068870602103E-2</v>
      </c>
    </row>
    <row r="566" spans="7:8" x14ac:dyDescent="0.35">
      <c r="G566" s="215">
        <v>559</v>
      </c>
      <c r="H566" s="16">
        <f t="shared" ca="1" si="16"/>
        <v>-6.8526699943928168E-2</v>
      </c>
    </row>
    <row r="567" spans="7:8" x14ac:dyDescent="0.35">
      <c r="G567" s="215">
        <v>560</v>
      </c>
      <c r="H567" s="16">
        <f t="shared" ca="1" si="16"/>
        <v>2.0676373854835534E-2</v>
      </c>
    </row>
    <row r="568" spans="7:8" x14ac:dyDescent="0.35">
      <c r="G568" s="215">
        <v>561</v>
      </c>
      <c r="H568" s="16">
        <f t="shared" ca="1" si="16"/>
        <v>-0.10967988970547939</v>
      </c>
    </row>
    <row r="569" spans="7:8" x14ac:dyDescent="0.35">
      <c r="G569" s="215">
        <v>562</v>
      </c>
      <c r="H569" s="16">
        <f t="shared" ca="1" si="16"/>
        <v>8.7825972459988036E-2</v>
      </c>
    </row>
    <row r="570" spans="7:8" x14ac:dyDescent="0.35">
      <c r="G570" s="215">
        <v>563</v>
      </c>
      <c r="H570" s="16">
        <f t="shared" ca="1" si="16"/>
        <v>3.9793809286544607E-2</v>
      </c>
    </row>
    <row r="571" spans="7:8" x14ac:dyDescent="0.35">
      <c r="G571" s="215">
        <v>564</v>
      </c>
      <c r="H571" s="16">
        <f t="shared" ca="1" si="16"/>
        <v>-3.4197421967638336E-2</v>
      </c>
    </row>
    <row r="572" spans="7:8" x14ac:dyDescent="0.35">
      <c r="G572" s="215">
        <v>565</v>
      </c>
      <c r="H572" s="16">
        <f t="shared" ca="1" si="16"/>
        <v>2.7277255228685536E-2</v>
      </c>
    </row>
    <row r="573" spans="7:8" x14ac:dyDescent="0.35">
      <c r="G573" s="215">
        <v>566</v>
      </c>
      <c r="H573" s="16">
        <f t="shared" ca="1" si="16"/>
        <v>0.16259120706408978</v>
      </c>
    </row>
    <row r="574" spans="7:8" x14ac:dyDescent="0.35">
      <c r="G574" s="215">
        <v>567</v>
      </c>
      <c r="H574" s="16">
        <f t="shared" ca="1" si="16"/>
        <v>-2.7037822978953917E-2</v>
      </c>
    </row>
    <row r="575" spans="7:8" x14ac:dyDescent="0.35">
      <c r="G575" s="215">
        <v>568</v>
      </c>
      <c r="H575" s="16">
        <f t="shared" ca="1" si="16"/>
        <v>-3.4703826503315161E-2</v>
      </c>
    </row>
    <row r="576" spans="7:8" x14ac:dyDescent="0.35">
      <c r="G576" s="215">
        <v>569</v>
      </c>
      <c r="H576" s="16">
        <f t="shared" ca="1" si="16"/>
        <v>7.9994903118202967E-2</v>
      </c>
    </row>
    <row r="577" spans="7:8" x14ac:dyDescent="0.35">
      <c r="G577" s="215">
        <v>570</v>
      </c>
      <c r="H577" s="16">
        <f t="shared" ca="1" si="16"/>
        <v>3.861509722622402E-2</v>
      </c>
    </row>
    <row r="578" spans="7:8" x14ac:dyDescent="0.35">
      <c r="G578" s="215">
        <v>571</v>
      </c>
      <c r="H578" s="16">
        <f t="shared" ca="1" si="16"/>
        <v>9.2438663928031573E-2</v>
      </c>
    </row>
    <row r="579" spans="7:8" x14ac:dyDescent="0.35">
      <c r="G579" s="215">
        <v>572</v>
      </c>
      <c r="H579" s="16">
        <f t="shared" ca="1" si="16"/>
        <v>8.6278083954019494E-2</v>
      </c>
    </row>
    <row r="580" spans="7:8" x14ac:dyDescent="0.35">
      <c r="G580" s="215">
        <v>573</v>
      </c>
      <c r="H580" s="16">
        <f t="shared" ca="1" si="16"/>
        <v>5.3995049412473586E-2</v>
      </c>
    </row>
    <row r="581" spans="7:8" x14ac:dyDescent="0.35">
      <c r="G581" s="215">
        <v>574</v>
      </c>
      <c r="H581" s="16">
        <f t="shared" ca="1" si="16"/>
        <v>-4.336929536963692E-3</v>
      </c>
    </row>
    <row r="582" spans="7:8" x14ac:dyDescent="0.35">
      <c r="G582" s="215">
        <v>575</v>
      </c>
      <c r="H582" s="16">
        <f t="shared" ca="1" si="16"/>
        <v>7.3183519964198631E-3</v>
      </c>
    </row>
    <row r="583" spans="7:8" x14ac:dyDescent="0.35">
      <c r="G583" s="215">
        <v>576</v>
      </c>
      <c r="H583" s="16">
        <f t="shared" ca="1" si="16"/>
        <v>9.9361046313416787E-2</v>
      </c>
    </row>
    <row r="584" spans="7:8" x14ac:dyDescent="0.35">
      <c r="G584" s="215">
        <v>577</v>
      </c>
      <c r="H584" s="16">
        <f t="shared" ref="H584:H647" ca="1" si="17">_xlfn.NORM.INV(RAND(),M$10,M$11)</f>
        <v>6.7194886200759984E-3</v>
      </c>
    </row>
    <row r="585" spans="7:8" x14ac:dyDescent="0.35">
      <c r="G585" s="215">
        <v>578</v>
      </c>
      <c r="H585" s="16">
        <f t="shared" ca="1" si="17"/>
        <v>-4.5499934823248545E-2</v>
      </c>
    </row>
    <row r="586" spans="7:8" x14ac:dyDescent="0.35">
      <c r="G586" s="215">
        <v>579</v>
      </c>
      <c r="H586" s="16">
        <f t="shared" ca="1" si="17"/>
        <v>0.15719456321746769</v>
      </c>
    </row>
    <row r="587" spans="7:8" x14ac:dyDescent="0.35">
      <c r="G587" s="215">
        <v>580</v>
      </c>
      <c r="H587" s="16">
        <f t="shared" ca="1" si="17"/>
        <v>-4.2732308387059909E-2</v>
      </c>
    </row>
    <row r="588" spans="7:8" x14ac:dyDescent="0.35">
      <c r="G588" s="215">
        <v>581</v>
      </c>
      <c r="H588" s="16">
        <f t="shared" ca="1" si="17"/>
        <v>-2.2681400398946918E-2</v>
      </c>
    </row>
    <row r="589" spans="7:8" x14ac:dyDescent="0.35">
      <c r="G589" s="215">
        <v>582</v>
      </c>
      <c r="H589" s="16">
        <f t="shared" ca="1" si="17"/>
        <v>4.7282056618952267E-2</v>
      </c>
    </row>
    <row r="590" spans="7:8" x14ac:dyDescent="0.35">
      <c r="G590" s="215">
        <v>583</v>
      </c>
      <c r="H590" s="16">
        <f t="shared" ca="1" si="17"/>
        <v>0.11940621636806932</v>
      </c>
    </row>
    <row r="591" spans="7:8" x14ac:dyDescent="0.35">
      <c r="G591" s="215">
        <v>584</v>
      </c>
      <c r="H591" s="16">
        <f t="shared" ca="1" si="17"/>
        <v>-6.6239858680332456E-2</v>
      </c>
    </row>
    <row r="592" spans="7:8" x14ac:dyDescent="0.35">
      <c r="G592" s="215">
        <v>585</v>
      </c>
      <c r="H592" s="16">
        <f t="shared" ca="1" si="17"/>
        <v>0.11572737476947588</v>
      </c>
    </row>
    <row r="593" spans="7:8" x14ac:dyDescent="0.35">
      <c r="G593" s="215">
        <v>586</v>
      </c>
      <c r="H593" s="16">
        <f t="shared" ca="1" si="17"/>
        <v>3.853536103835517E-2</v>
      </c>
    </row>
    <row r="594" spans="7:8" x14ac:dyDescent="0.35">
      <c r="G594" s="215">
        <v>587</v>
      </c>
      <c r="H594" s="16">
        <f t="shared" ca="1" si="17"/>
        <v>0.10461355225781169</v>
      </c>
    </row>
    <row r="595" spans="7:8" x14ac:dyDescent="0.35">
      <c r="G595" s="215">
        <v>588</v>
      </c>
      <c r="H595" s="16">
        <f t="shared" ca="1" si="17"/>
        <v>-7.6980285702532569E-2</v>
      </c>
    </row>
    <row r="596" spans="7:8" x14ac:dyDescent="0.35">
      <c r="G596" s="215">
        <v>589</v>
      </c>
      <c r="H596" s="16">
        <f t="shared" ca="1" si="17"/>
        <v>7.492218929500441E-2</v>
      </c>
    </row>
    <row r="597" spans="7:8" x14ac:dyDescent="0.35">
      <c r="G597" s="215">
        <v>590</v>
      </c>
      <c r="H597" s="16">
        <f t="shared" ca="1" si="17"/>
        <v>5.1042662212546835E-3</v>
      </c>
    </row>
    <row r="598" spans="7:8" x14ac:dyDescent="0.35">
      <c r="G598" s="215">
        <v>591</v>
      </c>
      <c r="H598" s="16">
        <f t="shared" ca="1" si="17"/>
        <v>-5.0831065761924019E-2</v>
      </c>
    </row>
    <row r="599" spans="7:8" x14ac:dyDescent="0.35">
      <c r="G599" s="215">
        <v>592</v>
      </c>
      <c r="H599" s="16">
        <f t="shared" ca="1" si="17"/>
        <v>-6.6329441569882006E-2</v>
      </c>
    </row>
    <row r="600" spans="7:8" x14ac:dyDescent="0.35">
      <c r="G600" s="215">
        <v>593</v>
      </c>
      <c r="H600" s="16">
        <f t="shared" ca="1" si="17"/>
        <v>-2.5093702221488639E-2</v>
      </c>
    </row>
    <row r="601" spans="7:8" x14ac:dyDescent="0.35">
      <c r="G601" s="215">
        <v>594</v>
      </c>
      <c r="H601" s="16">
        <f t="shared" ca="1" si="17"/>
        <v>-0.10358512982043563</v>
      </c>
    </row>
    <row r="602" spans="7:8" x14ac:dyDescent="0.35">
      <c r="G602" s="215">
        <v>595</v>
      </c>
      <c r="H602" s="16">
        <f t="shared" ca="1" si="17"/>
        <v>-1.1892414559187624E-2</v>
      </c>
    </row>
    <row r="603" spans="7:8" x14ac:dyDescent="0.35">
      <c r="G603" s="215">
        <v>596</v>
      </c>
      <c r="H603" s="16">
        <f t="shared" ca="1" si="17"/>
        <v>-4.060926726179484E-3</v>
      </c>
    </row>
    <row r="604" spans="7:8" x14ac:dyDescent="0.35">
      <c r="G604" s="215">
        <v>597</v>
      </c>
      <c r="H604" s="16">
        <f t="shared" ca="1" si="17"/>
        <v>-2.6449229922343918E-2</v>
      </c>
    </row>
    <row r="605" spans="7:8" x14ac:dyDescent="0.35">
      <c r="G605" s="215">
        <v>598</v>
      </c>
      <c r="H605" s="16">
        <f t="shared" ca="1" si="17"/>
        <v>4.1118628907380966E-2</v>
      </c>
    </row>
    <row r="606" spans="7:8" x14ac:dyDescent="0.35">
      <c r="G606" s="215">
        <v>599</v>
      </c>
      <c r="H606" s="16">
        <f t="shared" ca="1" si="17"/>
        <v>-9.2439386770003573E-2</v>
      </c>
    </row>
    <row r="607" spans="7:8" x14ac:dyDescent="0.35">
      <c r="G607" s="215">
        <v>600</v>
      </c>
      <c r="H607" s="16">
        <f t="shared" ca="1" si="17"/>
        <v>3.9981955305593064E-2</v>
      </c>
    </row>
    <row r="608" spans="7:8" x14ac:dyDescent="0.35">
      <c r="G608" s="215">
        <v>601</v>
      </c>
      <c r="H608" s="16">
        <f t="shared" ca="1" si="17"/>
        <v>-7.6568873808598517E-2</v>
      </c>
    </row>
    <row r="609" spans="7:8" x14ac:dyDescent="0.35">
      <c r="G609" s="215">
        <v>602</v>
      </c>
      <c r="H609" s="16">
        <f t="shared" ca="1" si="17"/>
        <v>0.16130748333724548</v>
      </c>
    </row>
    <row r="610" spans="7:8" x14ac:dyDescent="0.35">
      <c r="G610" s="215">
        <v>603</v>
      </c>
      <c r="H610" s="16">
        <f t="shared" ca="1" si="17"/>
        <v>-8.5236100059097861E-2</v>
      </c>
    </row>
    <row r="611" spans="7:8" x14ac:dyDescent="0.35">
      <c r="G611" s="215">
        <v>604</v>
      </c>
      <c r="H611" s="16">
        <f t="shared" ca="1" si="17"/>
        <v>1.3860405629373424E-2</v>
      </c>
    </row>
    <row r="612" spans="7:8" x14ac:dyDescent="0.35">
      <c r="G612" s="215">
        <v>605</v>
      </c>
      <c r="H612" s="16">
        <f t="shared" ca="1" si="17"/>
        <v>-2.8944238183359807E-2</v>
      </c>
    </row>
    <row r="613" spans="7:8" x14ac:dyDescent="0.35">
      <c r="G613" s="215">
        <v>606</v>
      </c>
      <c r="H613" s="16">
        <f t="shared" ca="1" si="17"/>
        <v>-6.3094641052141853E-2</v>
      </c>
    </row>
    <row r="614" spans="7:8" x14ac:dyDescent="0.35">
      <c r="G614" s="215">
        <v>607</v>
      </c>
      <c r="H614" s="16">
        <f t="shared" ca="1" si="17"/>
        <v>-1.6508981058874085E-2</v>
      </c>
    </row>
    <row r="615" spans="7:8" x14ac:dyDescent="0.35">
      <c r="G615" s="215">
        <v>608</v>
      </c>
      <c r="H615" s="16">
        <f t="shared" ca="1" si="17"/>
        <v>-9.5125054459153618E-2</v>
      </c>
    </row>
    <row r="616" spans="7:8" x14ac:dyDescent="0.35">
      <c r="G616" s="215">
        <v>609</v>
      </c>
      <c r="H616" s="16">
        <f t="shared" ca="1" si="17"/>
        <v>1.9196818949793231E-2</v>
      </c>
    </row>
    <row r="617" spans="7:8" x14ac:dyDescent="0.35">
      <c r="G617" s="215">
        <v>610</v>
      </c>
      <c r="H617" s="16">
        <f t="shared" ca="1" si="17"/>
        <v>-4.6595749788596402E-2</v>
      </c>
    </row>
    <row r="618" spans="7:8" x14ac:dyDescent="0.35">
      <c r="G618" s="215">
        <v>611</v>
      </c>
      <c r="H618" s="16">
        <f t="shared" ca="1" si="17"/>
        <v>7.7510216340157617E-2</v>
      </c>
    </row>
    <row r="619" spans="7:8" x14ac:dyDescent="0.35">
      <c r="G619" s="215">
        <v>612</v>
      </c>
      <c r="H619" s="16">
        <f t="shared" ca="1" si="17"/>
        <v>-9.8951996332092229E-2</v>
      </c>
    </row>
    <row r="620" spans="7:8" x14ac:dyDescent="0.35">
      <c r="G620" s="215">
        <v>613</v>
      </c>
      <c r="H620" s="16">
        <f t="shared" ca="1" si="17"/>
        <v>0.17408396205254878</v>
      </c>
    </row>
    <row r="621" spans="7:8" x14ac:dyDescent="0.35">
      <c r="G621" s="215">
        <v>614</v>
      </c>
      <c r="H621" s="16">
        <f t="shared" ca="1" si="17"/>
        <v>-3.6872115878480938E-2</v>
      </c>
    </row>
    <row r="622" spans="7:8" x14ac:dyDescent="0.35">
      <c r="G622" s="215">
        <v>615</v>
      </c>
      <c r="H622" s="16">
        <f t="shared" ca="1" si="17"/>
        <v>4.8043409510150029E-2</v>
      </c>
    </row>
    <row r="623" spans="7:8" x14ac:dyDescent="0.35">
      <c r="G623" s="215">
        <v>616</v>
      </c>
      <c r="H623" s="16">
        <f t="shared" ca="1" si="17"/>
        <v>0.17194720893855242</v>
      </c>
    </row>
    <row r="624" spans="7:8" x14ac:dyDescent="0.35">
      <c r="G624" s="215">
        <v>617</v>
      </c>
      <c r="H624" s="16">
        <f t="shared" ca="1" si="17"/>
        <v>-1.3785565760913859E-2</v>
      </c>
    </row>
    <row r="625" spans="7:8" x14ac:dyDescent="0.35">
      <c r="G625" s="215">
        <v>618</v>
      </c>
      <c r="H625" s="16">
        <f t="shared" ca="1" si="17"/>
        <v>8.3169609380860127E-2</v>
      </c>
    </row>
    <row r="626" spans="7:8" x14ac:dyDescent="0.35">
      <c r="G626" s="215">
        <v>619</v>
      </c>
      <c r="H626" s="16">
        <f t="shared" ca="1" si="17"/>
        <v>-2.4112102131826404E-3</v>
      </c>
    </row>
    <row r="627" spans="7:8" x14ac:dyDescent="0.35">
      <c r="G627" s="215">
        <v>620</v>
      </c>
      <c r="H627" s="16">
        <f t="shared" ca="1" si="17"/>
        <v>6.4575359362826254E-2</v>
      </c>
    </row>
    <row r="628" spans="7:8" x14ac:dyDescent="0.35">
      <c r="G628" s="215">
        <v>621</v>
      </c>
      <c r="H628" s="16">
        <f t="shared" ca="1" si="17"/>
        <v>-0.15637098057842894</v>
      </c>
    </row>
    <row r="629" spans="7:8" x14ac:dyDescent="0.35">
      <c r="G629" s="215">
        <v>622</v>
      </c>
      <c r="H629" s="16">
        <f t="shared" ca="1" si="17"/>
        <v>7.5497738322453281E-2</v>
      </c>
    </row>
    <row r="630" spans="7:8" x14ac:dyDescent="0.35">
      <c r="G630" s="215">
        <v>623</v>
      </c>
      <c r="H630" s="16">
        <f t="shared" ca="1" si="17"/>
        <v>-5.6135011831273979E-2</v>
      </c>
    </row>
    <row r="631" spans="7:8" x14ac:dyDescent="0.35">
      <c r="G631" s="215">
        <v>624</v>
      </c>
      <c r="H631" s="16">
        <f t="shared" ca="1" si="17"/>
        <v>3.4671235281367729E-2</v>
      </c>
    </row>
    <row r="632" spans="7:8" x14ac:dyDescent="0.35">
      <c r="G632" s="215">
        <v>625</v>
      </c>
      <c r="H632" s="16">
        <f t="shared" ca="1" si="17"/>
        <v>1.7149538630533548E-2</v>
      </c>
    </row>
    <row r="633" spans="7:8" x14ac:dyDescent="0.35">
      <c r="G633" s="215">
        <v>626</v>
      </c>
      <c r="H633" s="16">
        <f t="shared" ca="1" si="17"/>
        <v>-0.10501548278417734</v>
      </c>
    </row>
    <row r="634" spans="7:8" x14ac:dyDescent="0.35">
      <c r="G634" s="215">
        <v>627</v>
      </c>
      <c r="H634" s="16">
        <f t="shared" ca="1" si="17"/>
        <v>-6.8378094818265928E-4</v>
      </c>
    </row>
    <row r="635" spans="7:8" x14ac:dyDescent="0.35">
      <c r="G635" s="215">
        <v>628</v>
      </c>
      <c r="H635" s="16">
        <f t="shared" ca="1" si="17"/>
        <v>-0.11075183065160138</v>
      </c>
    </row>
    <row r="636" spans="7:8" x14ac:dyDescent="0.35">
      <c r="G636" s="215">
        <v>629</v>
      </c>
      <c r="H636" s="16">
        <f t="shared" ca="1" si="17"/>
        <v>3.2878109822420905E-2</v>
      </c>
    </row>
    <row r="637" spans="7:8" x14ac:dyDescent="0.35">
      <c r="G637" s="215">
        <v>630</v>
      </c>
      <c r="H637" s="16">
        <f t="shared" ca="1" si="17"/>
        <v>-6.7728211804167604E-2</v>
      </c>
    </row>
    <row r="638" spans="7:8" x14ac:dyDescent="0.35">
      <c r="G638" s="215">
        <v>631</v>
      </c>
      <c r="H638" s="16">
        <f t="shared" ca="1" si="17"/>
        <v>6.3724968343198837E-2</v>
      </c>
    </row>
    <row r="639" spans="7:8" x14ac:dyDescent="0.35">
      <c r="G639" s="215">
        <v>632</v>
      </c>
      <c r="H639" s="16">
        <f t="shared" ca="1" si="17"/>
        <v>5.123094263110633E-3</v>
      </c>
    </row>
    <row r="640" spans="7:8" x14ac:dyDescent="0.35">
      <c r="G640" s="215">
        <v>633</v>
      </c>
      <c r="H640" s="16">
        <f t="shared" ca="1" si="17"/>
        <v>-5.978245125279906E-2</v>
      </c>
    </row>
    <row r="641" spans="7:8" x14ac:dyDescent="0.35">
      <c r="G641" s="215">
        <v>634</v>
      </c>
      <c r="H641" s="16">
        <f t="shared" ca="1" si="17"/>
        <v>2.9985664151404724E-2</v>
      </c>
    </row>
    <row r="642" spans="7:8" x14ac:dyDescent="0.35">
      <c r="G642" s="215">
        <v>635</v>
      </c>
      <c r="H642" s="16">
        <f t="shared" ca="1" si="17"/>
        <v>-0.11752413356991023</v>
      </c>
    </row>
    <row r="643" spans="7:8" x14ac:dyDescent="0.35">
      <c r="G643" s="215">
        <v>636</v>
      </c>
      <c r="H643" s="16">
        <f t="shared" ca="1" si="17"/>
        <v>0.1424659138371632</v>
      </c>
    </row>
    <row r="644" spans="7:8" x14ac:dyDescent="0.35">
      <c r="G644" s="215">
        <v>637</v>
      </c>
      <c r="H644" s="16">
        <f t="shared" ca="1" si="17"/>
        <v>7.9250958258560725E-2</v>
      </c>
    </row>
    <row r="645" spans="7:8" x14ac:dyDescent="0.35">
      <c r="G645" s="215">
        <v>638</v>
      </c>
      <c r="H645" s="16">
        <f t="shared" ca="1" si="17"/>
        <v>-5.4639866110529525E-2</v>
      </c>
    </row>
    <row r="646" spans="7:8" x14ac:dyDescent="0.35">
      <c r="G646" s="215">
        <v>639</v>
      </c>
      <c r="H646" s="16">
        <f t="shared" ca="1" si="17"/>
        <v>0.12715650369186568</v>
      </c>
    </row>
    <row r="647" spans="7:8" x14ac:dyDescent="0.35">
      <c r="G647" s="215">
        <v>640</v>
      </c>
      <c r="H647" s="16">
        <f t="shared" ca="1" si="17"/>
        <v>6.3747965160806677E-2</v>
      </c>
    </row>
    <row r="648" spans="7:8" x14ac:dyDescent="0.35">
      <c r="G648" s="215">
        <v>641</v>
      </c>
      <c r="H648" s="16">
        <f t="shared" ref="H648:H711" ca="1" si="18">_xlfn.NORM.INV(RAND(),M$10,M$11)</f>
        <v>-3.6106968653088878E-2</v>
      </c>
    </row>
    <row r="649" spans="7:8" x14ac:dyDescent="0.35">
      <c r="G649" s="215">
        <v>642</v>
      </c>
      <c r="H649" s="16">
        <f t="shared" ca="1" si="18"/>
        <v>0.2024629942071669</v>
      </c>
    </row>
    <row r="650" spans="7:8" x14ac:dyDescent="0.35">
      <c r="G650" s="215">
        <v>643</v>
      </c>
      <c r="H650" s="16">
        <f t="shared" ca="1" si="18"/>
        <v>-0.11790258567213591</v>
      </c>
    </row>
    <row r="651" spans="7:8" x14ac:dyDescent="0.35">
      <c r="G651" s="215">
        <v>644</v>
      </c>
      <c r="H651" s="16">
        <f t="shared" ca="1" si="18"/>
        <v>-2.0174068931949358E-2</v>
      </c>
    </row>
    <row r="652" spans="7:8" x14ac:dyDescent="0.35">
      <c r="G652" s="215">
        <v>645</v>
      </c>
      <c r="H652" s="16">
        <f t="shared" ca="1" si="18"/>
        <v>4.0336309889640563E-3</v>
      </c>
    </row>
    <row r="653" spans="7:8" x14ac:dyDescent="0.35">
      <c r="G653" s="215">
        <v>646</v>
      </c>
      <c r="H653" s="16">
        <f t="shared" ca="1" si="18"/>
        <v>7.5799669232044953E-2</v>
      </c>
    </row>
    <row r="654" spans="7:8" x14ac:dyDescent="0.35">
      <c r="G654" s="215">
        <v>647</v>
      </c>
      <c r="H654" s="16">
        <f t="shared" ca="1" si="18"/>
        <v>-9.590755923555034E-3</v>
      </c>
    </row>
    <row r="655" spans="7:8" x14ac:dyDescent="0.35">
      <c r="G655" s="215">
        <v>648</v>
      </c>
      <c r="H655" s="16">
        <f t="shared" ca="1" si="18"/>
        <v>4.1413651128343498E-2</v>
      </c>
    </row>
    <row r="656" spans="7:8" x14ac:dyDescent="0.35">
      <c r="G656" s="215">
        <v>649</v>
      </c>
      <c r="H656" s="16">
        <f t="shared" ca="1" si="18"/>
        <v>5.5136331827405849E-2</v>
      </c>
    </row>
    <row r="657" spans="7:8" x14ac:dyDescent="0.35">
      <c r="G657" s="215">
        <v>650</v>
      </c>
      <c r="H657" s="16">
        <f t="shared" ca="1" si="18"/>
        <v>7.4908635043611865E-2</v>
      </c>
    </row>
    <row r="658" spans="7:8" x14ac:dyDescent="0.35">
      <c r="G658" s="215">
        <v>651</v>
      </c>
      <c r="H658" s="16">
        <f t="shared" ca="1" si="18"/>
        <v>-2.8368037293052126E-2</v>
      </c>
    </row>
    <row r="659" spans="7:8" x14ac:dyDescent="0.35">
      <c r="G659" s="215">
        <v>652</v>
      </c>
      <c r="H659" s="16">
        <f t="shared" ca="1" si="18"/>
        <v>9.8341837707477842E-2</v>
      </c>
    </row>
    <row r="660" spans="7:8" x14ac:dyDescent="0.35">
      <c r="G660" s="215">
        <v>653</v>
      </c>
      <c r="H660" s="16">
        <f t="shared" ca="1" si="18"/>
        <v>5.1445516169883104E-2</v>
      </c>
    </row>
    <row r="661" spans="7:8" x14ac:dyDescent="0.35">
      <c r="G661" s="215">
        <v>654</v>
      </c>
      <c r="H661" s="16">
        <f t="shared" ca="1" si="18"/>
        <v>8.7198118594613308E-2</v>
      </c>
    </row>
    <row r="662" spans="7:8" x14ac:dyDescent="0.35">
      <c r="G662" s="215">
        <v>655</v>
      </c>
      <c r="H662" s="16">
        <f t="shared" ca="1" si="18"/>
        <v>-4.0613428838241525E-2</v>
      </c>
    </row>
    <row r="663" spans="7:8" x14ac:dyDescent="0.35">
      <c r="G663" s="215">
        <v>656</v>
      </c>
      <c r="H663" s="16">
        <f t="shared" ca="1" si="18"/>
        <v>-2.4817496924140516E-3</v>
      </c>
    </row>
    <row r="664" spans="7:8" x14ac:dyDescent="0.35">
      <c r="G664" s="215">
        <v>657</v>
      </c>
      <c r="H664" s="16">
        <f t="shared" ca="1" si="18"/>
        <v>7.1973744105216647E-2</v>
      </c>
    </row>
    <row r="665" spans="7:8" x14ac:dyDescent="0.35">
      <c r="G665" s="215">
        <v>658</v>
      </c>
      <c r="H665" s="16">
        <f t="shared" ca="1" si="18"/>
        <v>8.6269491141419893E-3</v>
      </c>
    </row>
    <row r="666" spans="7:8" x14ac:dyDescent="0.35">
      <c r="G666" s="215">
        <v>659</v>
      </c>
      <c r="H666" s="16">
        <f t="shared" ca="1" si="18"/>
        <v>6.3577537188001201E-2</v>
      </c>
    </row>
    <row r="667" spans="7:8" x14ac:dyDescent="0.35">
      <c r="G667" s="215">
        <v>660</v>
      </c>
      <c r="H667" s="16">
        <f t="shared" ca="1" si="18"/>
        <v>4.4445445846846288E-2</v>
      </c>
    </row>
    <row r="668" spans="7:8" x14ac:dyDescent="0.35">
      <c r="G668" s="215">
        <v>661</v>
      </c>
      <c r="H668" s="16">
        <f t="shared" ca="1" si="18"/>
        <v>6.3984030592305299E-2</v>
      </c>
    </row>
    <row r="669" spans="7:8" x14ac:dyDescent="0.35">
      <c r="G669" s="215">
        <v>662</v>
      </c>
      <c r="H669" s="16">
        <f t="shared" ca="1" si="18"/>
        <v>-0.11157953757411421</v>
      </c>
    </row>
    <row r="670" spans="7:8" x14ac:dyDescent="0.35">
      <c r="G670" s="215">
        <v>663</v>
      </c>
      <c r="H670" s="16">
        <f t="shared" ca="1" si="18"/>
        <v>7.4205529404675841E-2</v>
      </c>
    </row>
    <row r="671" spans="7:8" x14ac:dyDescent="0.35">
      <c r="G671" s="215">
        <v>664</v>
      </c>
      <c r="H671" s="16">
        <f t="shared" ca="1" si="18"/>
        <v>-7.1264254647291525E-2</v>
      </c>
    </row>
    <row r="672" spans="7:8" x14ac:dyDescent="0.35">
      <c r="G672" s="215">
        <v>665</v>
      </c>
      <c r="H672" s="16">
        <f t="shared" ca="1" si="18"/>
        <v>-2.6070718083667472E-2</v>
      </c>
    </row>
    <row r="673" spans="7:8" x14ac:dyDescent="0.35">
      <c r="G673" s="215">
        <v>666</v>
      </c>
      <c r="H673" s="16">
        <f t="shared" ca="1" si="18"/>
        <v>2.053427160020059E-2</v>
      </c>
    </row>
    <row r="674" spans="7:8" x14ac:dyDescent="0.35">
      <c r="G674" s="215">
        <v>667</v>
      </c>
      <c r="H674" s="16">
        <f t="shared" ca="1" si="18"/>
        <v>8.2671393000386506E-2</v>
      </c>
    </row>
    <row r="675" spans="7:8" x14ac:dyDescent="0.35">
      <c r="G675" s="215">
        <v>668</v>
      </c>
      <c r="H675" s="16">
        <f t="shared" ca="1" si="18"/>
        <v>1.1296069532909512E-2</v>
      </c>
    </row>
    <row r="676" spans="7:8" x14ac:dyDescent="0.35">
      <c r="G676" s="215">
        <v>669</v>
      </c>
      <c r="H676" s="16">
        <f t="shared" ca="1" si="18"/>
        <v>-5.7987568218049748E-2</v>
      </c>
    </row>
    <row r="677" spans="7:8" x14ac:dyDescent="0.35">
      <c r="G677" s="215">
        <v>670</v>
      </c>
      <c r="H677" s="16">
        <f t="shared" ca="1" si="18"/>
        <v>-1.431624808963582E-2</v>
      </c>
    </row>
    <row r="678" spans="7:8" x14ac:dyDescent="0.35">
      <c r="G678" s="215">
        <v>671</v>
      </c>
      <c r="H678" s="16">
        <f t="shared" ca="1" si="18"/>
        <v>6.9523974629924878E-2</v>
      </c>
    </row>
    <row r="679" spans="7:8" x14ac:dyDescent="0.35">
      <c r="G679" s="215">
        <v>672</v>
      </c>
      <c r="H679" s="16">
        <f t="shared" ca="1" si="18"/>
        <v>6.8100950639875257E-2</v>
      </c>
    </row>
    <row r="680" spans="7:8" x14ac:dyDescent="0.35">
      <c r="G680" s="215">
        <v>673</v>
      </c>
      <c r="H680" s="16">
        <f t="shared" ca="1" si="18"/>
        <v>0.13037756130915412</v>
      </c>
    </row>
    <row r="681" spans="7:8" x14ac:dyDescent="0.35">
      <c r="G681" s="215">
        <v>674</v>
      </c>
      <c r="H681" s="16">
        <f t="shared" ca="1" si="18"/>
        <v>8.2368507335624647E-2</v>
      </c>
    </row>
    <row r="682" spans="7:8" x14ac:dyDescent="0.35">
      <c r="G682" s="215">
        <v>675</v>
      </c>
      <c r="H682" s="16">
        <f t="shared" ca="1" si="18"/>
        <v>-3.9805106001294929E-2</v>
      </c>
    </row>
    <row r="683" spans="7:8" x14ac:dyDescent="0.35">
      <c r="G683" s="215">
        <v>676</v>
      </c>
      <c r="H683" s="16">
        <f t="shared" ca="1" si="18"/>
        <v>0.1545271419196062</v>
      </c>
    </row>
    <row r="684" spans="7:8" x14ac:dyDescent="0.35">
      <c r="G684" s="215">
        <v>677</v>
      </c>
      <c r="H684" s="16">
        <f t="shared" ca="1" si="18"/>
        <v>4.566721646798573E-2</v>
      </c>
    </row>
    <row r="685" spans="7:8" x14ac:dyDescent="0.35">
      <c r="G685" s="215">
        <v>678</v>
      </c>
      <c r="H685" s="16">
        <f t="shared" ca="1" si="18"/>
        <v>-0.10047836125328351</v>
      </c>
    </row>
    <row r="686" spans="7:8" x14ac:dyDescent="0.35">
      <c r="G686" s="215">
        <v>679</v>
      </c>
      <c r="H686" s="16">
        <f t="shared" ca="1" si="18"/>
        <v>-3.8407617125053847E-2</v>
      </c>
    </row>
    <row r="687" spans="7:8" x14ac:dyDescent="0.35">
      <c r="G687" s="215">
        <v>680</v>
      </c>
      <c r="H687" s="16">
        <f t="shared" ca="1" si="18"/>
        <v>-4.5062857012212396E-2</v>
      </c>
    </row>
    <row r="688" spans="7:8" x14ac:dyDescent="0.35">
      <c r="G688" s="215">
        <v>681</v>
      </c>
      <c r="H688" s="16">
        <f t="shared" ca="1" si="18"/>
        <v>4.8773938149448429E-2</v>
      </c>
    </row>
    <row r="689" spans="7:8" x14ac:dyDescent="0.35">
      <c r="G689" s="215">
        <v>682</v>
      </c>
      <c r="H689" s="16">
        <f t="shared" ca="1" si="18"/>
        <v>-3.649197236234504E-2</v>
      </c>
    </row>
    <row r="690" spans="7:8" x14ac:dyDescent="0.35">
      <c r="G690" s="215">
        <v>683</v>
      </c>
      <c r="H690" s="16">
        <f t="shared" ca="1" si="18"/>
        <v>5.6335960384888237E-2</v>
      </c>
    </row>
    <row r="691" spans="7:8" x14ac:dyDescent="0.35">
      <c r="G691" s="215">
        <v>684</v>
      </c>
      <c r="H691" s="16">
        <f t="shared" ca="1" si="18"/>
        <v>2.2966731580657682E-2</v>
      </c>
    </row>
    <row r="692" spans="7:8" x14ac:dyDescent="0.35">
      <c r="G692" s="215">
        <v>685</v>
      </c>
      <c r="H692" s="16">
        <f t="shared" ca="1" si="18"/>
        <v>-8.7579510139779576E-3</v>
      </c>
    </row>
    <row r="693" spans="7:8" x14ac:dyDescent="0.35">
      <c r="G693" s="215">
        <v>686</v>
      </c>
      <c r="H693" s="16">
        <f t="shared" ca="1" si="18"/>
        <v>0.15758790070848699</v>
      </c>
    </row>
    <row r="694" spans="7:8" x14ac:dyDescent="0.35">
      <c r="G694" s="215">
        <v>687</v>
      </c>
      <c r="H694" s="16">
        <f t="shared" ca="1" si="18"/>
        <v>-3.6691630885510904E-2</v>
      </c>
    </row>
    <row r="695" spans="7:8" x14ac:dyDescent="0.35">
      <c r="G695" s="215">
        <v>688</v>
      </c>
      <c r="H695" s="16">
        <f t="shared" ca="1" si="18"/>
        <v>2.8557255860494582E-2</v>
      </c>
    </row>
    <row r="696" spans="7:8" x14ac:dyDescent="0.35">
      <c r="G696" s="215">
        <v>689</v>
      </c>
      <c r="H696" s="16">
        <f t="shared" ca="1" si="18"/>
        <v>3.4503836740881082E-2</v>
      </c>
    </row>
    <row r="697" spans="7:8" x14ac:dyDescent="0.35">
      <c r="G697" s="215">
        <v>690</v>
      </c>
      <c r="H697" s="16">
        <f t="shared" ca="1" si="18"/>
        <v>1.285474720236086E-3</v>
      </c>
    </row>
    <row r="698" spans="7:8" x14ac:dyDescent="0.35">
      <c r="G698" s="215">
        <v>691</v>
      </c>
      <c r="H698" s="16">
        <f t="shared" ca="1" si="18"/>
        <v>5.3388502999889412E-2</v>
      </c>
    </row>
    <row r="699" spans="7:8" x14ac:dyDescent="0.35">
      <c r="G699" s="215">
        <v>692</v>
      </c>
      <c r="H699" s="16">
        <f t="shared" ca="1" si="18"/>
        <v>0.19856169714783173</v>
      </c>
    </row>
    <row r="700" spans="7:8" x14ac:dyDescent="0.35">
      <c r="G700" s="215">
        <v>693</v>
      </c>
      <c r="H700" s="16">
        <f t="shared" ca="1" si="18"/>
        <v>6.383695859275779E-3</v>
      </c>
    </row>
    <row r="701" spans="7:8" x14ac:dyDescent="0.35">
      <c r="G701" s="215">
        <v>694</v>
      </c>
      <c r="H701" s="16">
        <f t="shared" ca="1" si="18"/>
        <v>7.3706069894201254E-2</v>
      </c>
    </row>
    <row r="702" spans="7:8" x14ac:dyDescent="0.35">
      <c r="G702" s="215">
        <v>695</v>
      </c>
      <c r="H702" s="16">
        <f t="shared" ca="1" si="18"/>
        <v>-1.5648114851365209E-2</v>
      </c>
    </row>
    <row r="703" spans="7:8" x14ac:dyDescent="0.35">
      <c r="G703" s="215">
        <v>696</v>
      </c>
      <c r="H703" s="16">
        <f t="shared" ca="1" si="18"/>
        <v>1.1599513145497075E-2</v>
      </c>
    </row>
    <row r="704" spans="7:8" x14ac:dyDescent="0.35">
      <c r="G704" s="215">
        <v>697</v>
      </c>
      <c r="H704" s="16">
        <f t="shared" ca="1" si="18"/>
        <v>-5.7839909114339623E-3</v>
      </c>
    </row>
    <row r="705" spans="7:8" x14ac:dyDescent="0.35">
      <c r="G705" s="215">
        <v>698</v>
      </c>
      <c r="H705" s="16">
        <f t="shared" ca="1" si="18"/>
        <v>9.9334247437431189E-5</v>
      </c>
    </row>
    <row r="706" spans="7:8" x14ac:dyDescent="0.35">
      <c r="G706" s="215">
        <v>699</v>
      </c>
      <c r="H706" s="16">
        <f t="shared" ca="1" si="18"/>
        <v>3.262001427125516E-2</v>
      </c>
    </row>
    <row r="707" spans="7:8" x14ac:dyDescent="0.35">
      <c r="G707" s="215">
        <v>700</v>
      </c>
      <c r="H707" s="16">
        <f t="shared" ca="1" si="18"/>
        <v>0.16750007216675328</v>
      </c>
    </row>
    <row r="708" spans="7:8" x14ac:dyDescent="0.35">
      <c r="G708" s="215">
        <v>701</v>
      </c>
      <c r="H708" s="16">
        <f t="shared" ca="1" si="18"/>
        <v>6.2181813008736667E-2</v>
      </c>
    </row>
    <row r="709" spans="7:8" x14ac:dyDescent="0.35">
      <c r="G709" s="215">
        <v>702</v>
      </c>
      <c r="H709" s="16">
        <f t="shared" ca="1" si="18"/>
        <v>-4.9514449683804113E-2</v>
      </c>
    </row>
    <row r="710" spans="7:8" x14ac:dyDescent="0.35">
      <c r="G710" s="215">
        <v>703</v>
      </c>
      <c r="H710" s="16">
        <f t="shared" ca="1" si="18"/>
        <v>-0.1094818565523767</v>
      </c>
    </row>
    <row r="711" spans="7:8" x14ac:dyDescent="0.35">
      <c r="G711" s="215">
        <v>704</v>
      </c>
      <c r="H711" s="16">
        <f t="shared" ca="1" si="18"/>
        <v>-1.8413495716971009E-2</v>
      </c>
    </row>
    <row r="712" spans="7:8" x14ac:dyDescent="0.35">
      <c r="G712" s="215">
        <v>705</v>
      </c>
      <c r="H712" s="16">
        <f t="shared" ref="H712:H775" ca="1" si="19">_xlfn.NORM.INV(RAND(),M$10,M$11)</f>
        <v>6.0853111051330372E-2</v>
      </c>
    </row>
    <row r="713" spans="7:8" x14ac:dyDescent="0.35">
      <c r="G713" s="215">
        <v>706</v>
      </c>
      <c r="H713" s="16">
        <f t="shared" ca="1" si="19"/>
        <v>3.8529004359053896E-2</v>
      </c>
    </row>
    <row r="714" spans="7:8" x14ac:dyDescent="0.35">
      <c r="G714" s="215">
        <v>707</v>
      </c>
      <c r="H714" s="16">
        <f t="shared" ca="1" si="19"/>
        <v>7.12934578401557E-3</v>
      </c>
    </row>
    <row r="715" spans="7:8" x14ac:dyDescent="0.35">
      <c r="G715" s="215">
        <v>708</v>
      </c>
      <c r="H715" s="16">
        <f t="shared" ca="1" si="19"/>
        <v>-6.8967864555694883E-2</v>
      </c>
    </row>
    <row r="716" spans="7:8" x14ac:dyDescent="0.35">
      <c r="G716" s="215">
        <v>709</v>
      </c>
      <c r="H716" s="16">
        <f t="shared" ca="1" si="19"/>
        <v>-0.12922116143435564</v>
      </c>
    </row>
    <row r="717" spans="7:8" x14ac:dyDescent="0.35">
      <c r="G717" s="215">
        <v>710</v>
      </c>
      <c r="H717" s="16">
        <f t="shared" ca="1" si="19"/>
        <v>-0.17519338664294729</v>
      </c>
    </row>
    <row r="718" spans="7:8" x14ac:dyDescent="0.35">
      <c r="G718" s="215">
        <v>711</v>
      </c>
      <c r="H718" s="16">
        <f t="shared" ca="1" si="19"/>
        <v>3.076334856869745E-2</v>
      </c>
    </row>
    <row r="719" spans="7:8" x14ac:dyDescent="0.35">
      <c r="G719" s="215">
        <v>712</v>
      </c>
      <c r="H719" s="16">
        <f t="shared" ca="1" si="19"/>
        <v>6.1964581531739268E-2</v>
      </c>
    </row>
    <row r="720" spans="7:8" x14ac:dyDescent="0.35">
      <c r="G720" s="215">
        <v>713</v>
      </c>
      <c r="H720" s="16">
        <f t="shared" ca="1" si="19"/>
        <v>-2.3571038719893366E-2</v>
      </c>
    </row>
    <row r="721" spans="7:8" x14ac:dyDescent="0.35">
      <c r="G721" s="215">
        <v>714</v>
      </c>
      <c r="H721" s="16">
        <f t="shared" ca="1" si="19"/>
        <v>0.10408029148245618</v>
      </c>
    </row>
    <row r="722" spans="7:8" x14ac:dyDescent="0.35">
      <c r="G722" s="215">
        <v>715</v>
      </c>
      <c r="H722" s="16">
        <f t="shared" ca="1" si="19"/>
        <v>0.10241999634241515</v>
      </c>
    </row>
    <row r="723" spans="7:8" x14ac:dyDescent="0.35">
      <c r="G723" s="215">
        <v>716</v>
      </c>
      <c r="H723" s="16">
        <f t="shared" ca="1" si="19"/>
        <v>-6.7964274564564331E-2</v>
      </c>
    </row>
    <row r="724" spans="7:8" x14ac:dyDescent="0.35">
      <c r="G724" s="215">
        <v>717</v>
      </c>
      <c r="H724" s="16">
        <f t="shared" ca="1" si="19"/>
        <v>-1.2195804290083413E-2</v>
      </c>
    </row>
    <row r="725" spans="7:8" x14ac:dyDescent="0.35">
      <c r="G725" s="215">
        <v>718</v>
      </c>
      <c r="H725" s="16">
        <f t="shared" ca="1" si="19"/>
        <v>-7.6872704082537616E-2</v>
      </c>
    </row>
    <row r="726" spans="7:8" x14ac:dyDescent="0.35">
      <c r="G726" s="215">
        <v>719</v>
      </c>
      <c r="H726" s="16">
        <f t="shared" ca="1" si="19"/>
        <v>-1.2548574332706328E-2</v>
      </c>
    </row>
    <row r="727" spans="7:8" x14ac:dyDescent="0.35">
      <c r="G727" s="215">
        <v>720</v>
      </c>
      <c r="H727" s="16">
        <f t="shared" ca="1" si="19"/>
        <v>-5.9000151683846563E-2</v>
      </c>
    </row>
    <row r="728" spans="7:8" x14ac:dyDescent="0.35">
      <c r="G728" s="215">
        <v>721</v>
      </c>
      <c r="H728" s="16">
        <f t="shared" ca="1" si="19"/>
        <v>3.4056364836803805E-2</v>
      </c>
    </row>
    <row r="729" spans="7:8" x14ac:dyDescent="0.35">
      <c r="G729" s="215">
        <v>722</v>
      </c>
      <c r="H729" s="16">
        <f t="shared" ca="1" si="19"/>
        <v>-2.2997973566761084E-2</v>
      </c>
    </row>
    <row r="730" spans="7:8" x14ac:dyDescent="0.35">
      <c r="G730" s="215">
        <v>723</v>
      </c>
      <c r="H730" s="16">
        <f t="shared" ca="1" si="19"/>
        <v>-1.8725823987888583E-2</v>
      </c>
    </row>
    <row r="731" spans="7:8" x14ac:dyDescent="0.35">
      <c r="G731" s="215">
        <v>724</v>
      </c>
      <c r="H731" s="16">
        <f t="shared" ca="1" si="19"/>
        <v>3.6536420443843101E-2</v>
      </c>
    </row>
    <row r="732" spans="7:8" x14ac:dyDescent="0.35">
      <c r="G732" s="215">
        <v>725</v>
      </c>
      <c r="H732" s="16">
        <f t="shared" ca="1" si="19"/>
        <v>-4.4121597006514489E-3</v>
      </c>
    </row>
    <row r="733" spans="7:8" x14ac:dyDescent="0.35">
      <c r="G733" s="215">
        <v>726</v>
      </c>
      <c r="H733" s="16">
        <f t="shared" ca="1" si="19"/>
        <v>6.7912332857002752E-2</v>
      </c>
    </row>
    <row r="734" spans="7:8" x14ac:dyDescent="0.35">
      <c r="G734" s="215">
        <v>727</v>
      </c>
      <c r="H734" s="16">
        <f t="shared" ca="1" si="19"/>
        <v>7.2594721805343598E-2</v>
      </c>
    </row>
    <row r="735" spans="7:8" x14ac:dyDescent="0.35">
      <c r="G735" s="215">
        <v>728</v>
      </c>
      <c r="H735" s="16">
        <f t="shared" ca="1" si="19"/>
        <v>-6.4520906560678562E-2</v>
      </c>
    </row>
    <row r="736" spans="7:8" x14ac:dyDescent="0.35">
      <c r="G736" s="215">
        <v>729</v>
      </c>
      <c r="H736" s="16">
        <f t="shared" ca="1" si="19"/>
        <v>5.0560524294531242E-2</v>
      </c>
    </row>
    <row r="737" spans="7:8" x14ac:dyDescent="0.35">
      <c r="G737" s="215">
        <v>730</v>
      </c>
      <c r="H737" s="16">
        <f t="shared" ca="1" si="19"/>
        <v>9.669329152695405E-2</v>
      </c>
    </row>
    <row r="738" spans="7:8" x14ac:dyDescent="0.35">
      <c r="G738" s="215">
        <v>731</v>
      </c>
      <c r="H738" s="16">
        <f t="shared" ca="1" si="19"/>
        <v>-1.8280783687652048E-2</v>
      </c>
    </row>
    <row r="739" spans="7:8" x14ac:dyDescent="0.35">
      <c r="G739" s="215">
        <v>732</v>
      </c>
      <c r="H739" s="16">
        <f t="shared" ca="1" si="19"/>
        <v>3.2116877401328157E-3</v>
      </c>
    </row>
    <row r="740" spans="7:8" x14ac:dyDescent="0.35">
      <c r="G740" s="215">
        <v>733</v>
      </c>
      <c r="H740" s="16">
        <f t="shared" ca="1" si="19"/>
        <v>-0.18543092908148856</v>
      </c>
    </row>
    <row r="741" spans="7:8" x14ac:dyDescent="0.35">
      <c r="G741" s="215">
        <v>734</v>
      </c>
      <c r="H741" s="16">
        <f t="shared" ca="1" si="19"/>
        <v>-2.3104171132538428E-2</v>
      </c>
    </row>
    <row r="742" spans="7:8" x14ac:dyDescent="0.35">
      <c r="G742" s="215">
        <v>735</v>
      </c>
      <c r="H742" s="16">
        <f t="shared" ca="1" si="19"/>
        <v>8.4565580484984287E-3</v>
      </c>
    </row>
    <row r="743" spans="7:8" x14ac:dyDescent="0.35">
      <c r="G743" s="215">
        <v>736</v>
      </c>
      <c r="H743" s="16">
        <f t="shared" ca="1" si="19"/>
        <v>1.5145439400371455E-2</v>
      </c>
    </row>
    <row r="744" spans="7:8" x14ac:dyDescent="0.35">
      <c r="G744" s="215">
        <v>737</v>
      </c>
      <c r="H744" s="16">
        <f t="shared" ca="1" si="19"/>
        <v>-9.3949439287426009E-2</v>
      </c>
    </row>
    <row r="745" spans="7:8" x14ac:dyDescent="0.35">
      <c r="G745" s="215">
        <v>738</v>
      </c>
      <c r="H745" s="16">
        <f t="shared" ca="1" si="19"/>
        <v>2.1041417829991513E-2</v>
      </c>
    </row>
    <row r="746" spans="7:8" x14ac:dyDescent="0.35">
      <c r="G746" s="215">
        <v>739</v>
      </c>
      <c r="H746" s="16">
        <f t="shared" ca="1" si="19"/>
        <v>4.9318483782168993E-2</v>
      </c>
    </row>
    <row r="747" spans="7:8" x14ac:dyDescent="0.35">
      <c r="G747" s="215">
        <v>740</v>
      </c>
      <c r="H747" s="16">
        <f t="shared" ca="1" si="19"/>
        <v>5.6622292390659121E-2</v>
      </c>
    </row>
    <row r="748" spans="7:8" x14ac:dyDescent="0.35">
      <c r="G748" s="215">
        <v>741</v>
      </c>
      <c r="H748" s="16">
        <f t="shared" ca="1" si="19"/>
        <v>3.4122475195423763E-3</v>
      </c>
    </row>
    <row r="749" spans="7:8" x14ac:dyDescent="0.35">
      <c r="G749" s="215">
        <v>742</v>
      </c>
      <c r="H749" s="16">
        <f t="shared" ca="1" si="19"/>
        <v>-5.7647925396933142E-2</v>
      </c>
    </row>
    <row r="750" spans="7:8" x14ac:dyDescent="0.35">
      <c r="G750" s="215">
        <v>743</v>
      </c>
      <c r="H750" s="16">
        <f t="shared" ca="1" si="19"/>
        <v>6.9291670859872312E-2</v>
      </c>
    </row>
    <row r="751" spans="7:8" x14ac:dyDescent="0.35">
      <c r="G751" s="215">
        <v>744</v>
      </c>
      <c r="H751" s="16">
        <f t="shared" ca="1" si="19"/>
        <v>-5.7735808918448109E-2</v>
      </c>
    </row>
    <row r="752" spans="7:8" x14ac:dyDescent="0.35">
      <c r="G752" s="215">
        <v>745</v>
      </c>
      <c r="H752" s="16">
        <f t="shared" ca="1" si="19"/>
        <v>0.16425164916344018</v>
      </c>
    </row>
    <row r="753" spans="7:8" x14ac:dyDescent="0.35">
      <c r="G753" s="215">
        <v>746</v>
      </c>
      <c r="H753" s="16">
        <f t="shared" ca="1" si="19"/>
        <v>0.18092194986657537</v>
      </c>
    </row>
    <row r="754" spans="7:8" x14ac:dyDescent="0.35">
      <c r="G754" s="215">
        <v>747</v>
      </c>
      <c r="H754" s="16">
        <f t="shared" ca="1" si="19"/>
        <v>-0.10678147207834525</v>
      </c>
    </row>
    <row r="755" spans="7:8" x14ac:dyDescent="0.35">
      <c r="G755" s="215">
        <v>748</v>
      </c>
      <c r="H755" s="16">
        <f t="shared" ca="1" si="19"/>
        <v>0.12278364546411542</v>
      </c>
    </row>
    <row r="756" spans="7:8" x14ac:dyDescent="0.35">
      <c r="G756" s="215">
        <v>749</v>
      </c>
      <c r="H756" s="16">
        <f t="shared" ca="1" si="19"/>
        <v>9.1174541072217754E-3</v>
      </c>
    </row>
    <row r="757" spans="7:8" x14ac:dyDescent="0.35">
      <c r="G757" s="215">
        <v>750</v>
      </c>
      <c r="H757" s="16">
        <f t="shared" ca="1" si="19"/>
        <v>7.1473599314117717E-2</v>
      </c>
    </row>
    <row r="758" spans="7:8" x14ac:dyDescent="0.35">
      <c r="G758" s="215">
        <v>751</v>
      </c>
      <c r="H758" s="16">
        <f t="shared" ca="1" si="19"/>
        <v>0.14656186962996967</v>
      </c>
    </row>
    <row r="759" spans="7:8" x14ac:dyDescent="0.35">
      <c r="G759" s="215">
        <v>752</v>
      </c>
      <c r="H759" s="16">
        <f t="shared" ca="1" si="19"/>
        <v>-2.2752545477284541E-2</v>
      </c>
    </row>
    <row r="760" spans="7:8" x14ac:dyDescent="0.35">
      <c r="G760" s="215">
        <v>753</v>
      </c>
      <c r="H760" s="16">
        <f t="shared" ca="1" si="19"/>
        <v>3.4943367266956574E-3</v>
      </c>
    </row>
    <row r="761" spans="7:8" x14ac:dyDescent="0.35">
      <c r="G761" s="215">
        <v>754</v>
      </c>
      <c r="H761" s="16">
        <f t="shared" ca="1" si="19"/>
        <v>4.264785855938117E-2</v>
      </c>
    </row>
    <row r="762" spans="7:8" x14ac:dyDescent="0.35">
      <c r="G762" s="215">
        <v>755</v>
      </c>
      <c r="H762" s="16">
        <f t="shared" ca="1" si="19"/>
        <v>-4.3721099820953069E-3</v>
      </c>
    </row>
    <row r="763" spans="7:8" x14ac:dyDescent="0.35">
      <c r="G763" s="215">
        <v>756</v>
      </c>
      <c r="H763" s="16">
        <f t="shared" ca="1" si="19"/>
        <v>8.2583951468730613E-2</v>
      </c>
    </row>
    <row r="764" spans="7:8" x14ac:dyDescent="0.35">
      <c r="G764" s="215">
        <v>757</v>
      </c>
      <c r="H764" s="16">
        <f t="shared" ca="1" si="19"/>
        <v>9.5134765191068421E-2</v>
      </c>
    </row>
    <row r="765" spans="7:8" x14ac:dyDescent="0.35">
      <c r="G765" s="215">
        <v>758</v>
      </c>
      <c r="H765" s="16">
        <f t="shared" ca="1" si="19"/>
        <v>0.13757363211611598</v>
      </c>
    </row>
    <row r="766" spans="7:8" x14ac:dyDescent="0.35">
      <c r="G766" s="215">
        <v>759</v>
      </c>
      <c r="H766" s="16">
        <f t="shared" ca="1" si="19"/>
        <v>6.932073111990307E-2</v>
      </c>
    </row>
    <row r="767" spans="7:8" x14ac:dyDescent="0.35">
      <c r="G767" s="215">
        <v>760</v>
      </c>
      <c r="H767" s="16">
        <f t="shared" ca="1" si="19"/>
        <v>7.0594708521532074E-3</v>
      </c>
    </row>
    <row r="768" spans="7:8" x14ac:dyDescent="0.35">
      <c r="G768" s="215">
        <v>761</v>
      </c>
      <c r="H768" s="16">
        <f t="shared" ca="1" si="19"/>
        <v>-1.6738978145897098E-2</v>
      </c>
    </row>
    <row r="769" spans="7:8" x14ac:dyDescent="0.35">
      <c r="G769" s="215">
        <v>762</v>
      </c>
      <c r="H769" s="16">
        <f t="shared" ca="1" si="19"/>
        <v>0.120160627435277</v>
      </c>
    </row>
    <row r="770" spans="7:8" x14ac:dyDescent="0.35">
      <c r="G770" s="215">
        <v>763</v>
      </c>
      <c r="H770" s="16">
        <f t="shared" ca="1" si="19"/>
        <v>6.3291652677911925E-2</v>
      </c>
    </row>
    <row r="771" spans="7:8" x14ac:dyDescent="0.35">
      <c r="G771" s="215">
        <v>764</v>
      </c>
      <c r="H771" s="16">
        <f t="shared" ca="1" si="19"/>
        <v>-5.584611663517064E-3</v>
      </c>
    </row>
    <row r="772" spans="7:8" x14ac:dyDescent="0.35">
      <c r="G772" s="215">
        <v>765</v>
      </c>
      <c r="H772" s="16">
        <f t="shared" ca="1" si="19"/>
        <v>5.8200273416276538E-2</v>
      </c>
    </row>
    <row r="773" spans="7:8" x14ac:dyDescent="0.35">
      <c r="G773" s="215">
        <v>766</v>
      </c>
      <c r="H773" s="16">
        <f t="shared" ca="1" si="19"/>
        <v>-8.5502723250503579E-2</v>
      </c>
    </row>
    <row r="774" spans="7:8" x14ac:dyDescent="0.35">
      <c r="G774" s="215">
        <v>767</v>
      </c>
      <c r="H774" s="16">
        <f t="shared" ca="1" si="19"/>
        <v>0.1404923940857587</v>
      </c>
    </row>
    <row r="775" spans="7:8" x14ac:dyDescent="0.35">
      <c r="G775" s="215">
        <v>768</v>
      </c>
      <c r="H775" s="16">
        <f t="shared" ca="1" si="19"/>
        <v>-3.3932380743711119E-2</v>
      </c>
    </row>
    <row r="776" spans="7:8" x14ac:dyDescent="0.35">
      <c r="G776" s="215">
        <v>769</v>
      </c>
      <c r="H776" s="16">
        <f t="shared" ref="H776:H839" ca="1" si="20">_xlfn.NORM.INV(RAND(),M$10,M$11)</f>
        <v>-9.0522535800785564E-2</v>
      </c>
    </row>
    <row r="777" spans="7:8" x14ac:dyDescent="0.35">
      <c r="G777" s="215">
        <v>770</v>
      </c>
      <c r="H777" s="16">
        <f t="shared" ca="1" si="20"/>
        <v>-4.2884712699469946E-2</v>
      </c>
    </row>
    <row r="778" spans="7:8" x14ac:dyDescent="0.35">
      <c r="G778" s="215">
        <v>771</v>
      </c>
      <c r="H778" s="16">
        <f t="shared" ca="1" si="20"/>
        <v>-8.2175175183691204E-2</v>
      </c>
    </row>
    <row r="779" spans="7:8" x14ac:dyDescent="0.35">
      <c r="G779" s="215">
        <v>772</v>
      </c>
      <c r="H779" s="16">
        <f t="shared" ca="1" si="20"/>
        <v>8.5544025739410265E-2</v>
      </c>
    </row>
    <row r="780" spans="7:8" x14ac:dyDescent="0.35">
      <c r="G780" s="215">
        <v>773</v>
      </c>
      <c r="H780" s="16">
        <f t="shared" ca="1" si="20"/>
        <v>5.5951741329338389E-2</v>
      </c>
    </row>
    <row r="781" spans="7:8" x14ac:dyDescent="0.35">
      <c r="G781" s="215">
        <v>774</v>
      </c>
      <c r="H781" s="16">
        <f t="shared" ca="1" si="20"/>
        <v>-0.13901761578237554</v>
      </c>
    </row>
    <row r="782" spans="7:8" x14ac:dyDescent="0.35">
      <c r="G782" s="215">
        <v>775</v>
      </c>
      <c r="H782" s="16">
        <f t="shared" ca="1" si="20"/>
        <v>0.12000036244992505</v>
      </c>
    </row>
    <row r="783" spans="7:8" x14ac:dyDescent="0.35">
      <c r="G783" s="215">
        <v>776</v>
      </c>
      <c r="H783" s="16">
        <f t="shared" ca="1" si="20"/>
        <v>3.9918354781587097E-3</v>
      </c>
    </row>
    <row r="784" spans="7:8" x14ac:dyDescent="0.35">
      <c r="G784" s="215">
        <v>777</v>
      </c>
      <c r="H784" s="16">
        <f t="shared" ca="1" si="20"/>
        <v>-4.3631871742820863E-3</v>
      </c>
    </row>
    <row r="785" spans="7:8" x14ac:dyDescent="0.35">
      <c r="G785" s="215">
        <v>778</v>
      </c>
      <c r="H785" s="16">
        <f t="shared" ca="1" si="20"/>
        <v>-5.756606012156737E-2</v>
      </c>
    </row>
    <row r="786" spans="7:8" x14ac:dyDescent="0.35">
      <c r="G786" s="215">
        <v>779</v>
      </c>
      <c r="H786" s="16">
        <f t="shared" ca="1" si="20"/>
        <v>-8.3556796117826154E-2</v>
      </c>
    </row>
    <row r="787" spans="7:8" x14ac:dyDescent="0.35">
      <c r="G787" s="215">
        <v>780</v>
      </c>
      <c r="H787" s="16">
        <f t="shared" ca="1" si="20"/>
        <v>0.15913428380197125</v>
      </c>
    </row>
    <row r="788" spans="7:8" x14ac:dyDescent="0.35">
      <c r="G788" s="215">
        <v>781</v>
      </c>
      <c r="H788" s="16">
        <f t="shared" ca="1" si="20"/>
        <v>0.19921983808011662</v>
      </c>
    </row>
    <row r="789" spans="7:8" x14ac:dyDescent="0.35">
      <c r="G789" s="215">
        <v>782</v>
      </c>
      <c r="H789" s="16">
        <f t="shared" ca="1" si="20"/>
        <v>1.7686931268402494E-2</v>
      </c>
    </row>
    <row r="790" spans="7:8" x14ac:dyDescent="0.35">
      <c r="G790" s="215">
        <v>783</v>
      </c>
      <c r="H790" s="16">
        <f t="shared" ca="1" si="20"/>
        <v>5.7700863102036523E-2</v>
      </c>
    </row>
    <row r="791" spans="7:8" x14ac:dyDescent="0.35">
      <c r="G791" s="215">
        <v>784</v>
      </c>
      <c r="H791" s="16">
        <f t="shared" ca="1" si="20"/>
        <v>2.7280603676344255E-3</v>
      </c>
    </row>
    <row r="792" spans="7:8" x14ac:dyDescent="0.35">
      <c r="G792" s="215">
        <v>785</v>
      </c>
      <c r="H792" s="16">
        <f t="shared" ca="1" si="20"/>
        <v>3.9122336062102893E-2</v>
      </c>
    </row>
    <row r="793" spans="7:8" x14ac:dyDescent="0.35">
      <c r="G793" s="215">
        <v>786</v>
      </c>
      <c r="H793" s="16">
        <f t="shared" ca="1" si="20"/>
        <v>-4.1361528891086047E-2</v>
      </c>
    </row>
    <row r="794" spans="7:8" x14ac:dyDescent="0.35">
      <c r="G794" s="215">
        <v>787</v>
      </c>
      <c r="H794" s="16">
        <f t="shared" ca="1" si="20"/>
        <v>7.8825105915994367E-3</v>
      </c>
    </row>
    <row r="795" spans="7:8" x14ac:dyDescent="0.35">
      <c r="G795" s="215">
        <v>788</v>
      </c>
      <c r="H795" s="16">
        <f t="shared" ca="1" si="20"/>
        <v>0.11225078922282372</v>
      </c>
    </row>
    <row r="796" spans="7:8" x14ac:dyDescent="0.35">
      <c r="G796" s="215">
        <v>789</v>
      </c>
      <c r="H796" s="16">
        <f t="shared" ca="1" si="20"/>
        <v>3.3209287291582429E-2</v>
      </c>
    </row>
    <row r="797" spans="7:8" x14ac:dyDescent="0.35">
      <c r="G797" s="215">
        <v>790</v>
      </c>
      <c r="H797" s="16">
        <f t="shared" ca="1" si="20"/>
        <v>-4.0168121786551304E-3</v>
      </c>
    </row>
    <row r="798" spans="7:8" x14ac:dyDescent="0.35">
      <c r="G798" s="215">
        <v>791</v>
      </c>
      <c r="H798" s="16">
        <f t="shared" ca="1" si="20"/>
        <v>0.10531858862851214</v>
      </c>
    </row>
    <row r="799" spans="7:8" x14ac:dyDescent="0.35">
      <c r="G799" s="215">
        <v>792</v>
      </c>
      <c r="H799" s="16">
        <f t="shared" ca="1" si="20"/>
        <v>-9.6297653060167521E-3</v>
      </c>
    </row>
    <row r="800" spans="7:8" x14ac:dyDescent="0.35">
      <c r="G800" s="215">
        <v>793</v>
      </c>
      <c r="H800" s="16">
        <f t="shared" ca="1" si="20"/>
        <v>-6.0623798144672739E-2</v>
      </c>
    </row>
    <row r="801" spans="7:8" x14ac:dyDescent="0.35">
      <c r="G801" s="215">
        <v>794</v>
      </c>
      <c r="H801" s="16">
        <f t="shared" ca="1" si="20"/>
        <v>-1.0401661514133183E-2</v>
      </c>
    </row>
    <row r="802" spans="7:8" x14ac:dyDescent="0.35">
      <c r="G802" s="215">
        <v>795</v>
      </c>
      <c r="H802" s="16">
        <f t="shared" ca="1" si="20"/>
        <v>8.130758240509002E-2</v>
      </c>
    </row>
    <row r="803" spans="7:8" x14ac:dyDescent="0.35">
      <c r="G803" s="215">
        <v>796</v>
      </c>
      <c r="H803" s="16">
        <f t="shared" ca="1" si="20"/>
        <v>0.11216717971829368</v>
      </c>
    </row>
    <row r="804" spans="7:8" x14ac:dyDescent="0.35">
      <c r="G804" s="215">
        <v>797</v>
      </c>
      <c r="H804" s="16">
        <f t="shared" ca="1" si="20"/>
        <v>5.9533041376650053E-2</v>
      </c>
    </row>
    <row r="805" spans="7:8" x14ac:dyDescent="0.35">
      <c r="G805" s="215">
        <v>798</v>
      </c>
      <c r="H805" s="16">
        <f t="shared" ca="1" si="20"/>
        <v>6.5674998218633165E-2</v>
      </c>
    </row>
    <row r="806" spans="7:8" x14ac:dyDescent="0.35">
      <c r="G806" s="215">
        <v>799</v>
      </c>
      <c r="H806" s="16">
        <f t="shared" ca="1" si="20"/>
        <v>6.9587420666981217E-2</v>
      </c>
    </row>
    <row r="807" spans="7:8" x14ac:dyDescent="0.35">
      <c r="G807" s="215">
        <v>800</v>
      </c>
      <c r="H807" s="16">
        <f t="shared" ca="1" si="20"/>
        <v>3.2543778854035449E-2</v>
      </c>
    </row>
    <row r="808" spans="7:8" x14ac:dyDescent="0.35">
      <c r="G808" s="215">
        <v>801</v>
      </c>
      <c r="H808" s="16">
        <f t="shared" ca="1" si="20"/>
        <v>5.6449230733657499E-2</v>
      </c>
    </row>
    <row r="809" spans="7:8" x14ac:dyDescent="0.35">
      <c r="G809" s="215">
        <v>802</v>
      </c>
      <c r="H809" s="16">
        <f t="shared" ca="1" si="20"/>
        <v>-1.724765483550008E-2</v>
      </c>
    </row>
    <row r="810" spans="7:8" x14ac:dyDescent="0.35">
      <c r="G810" s="215">
        <v>803</v>
      </c>
      <c r="H810" s="16">
        <f t="shared" ca="1" si="20"/>
        <v>-3.1105896278358219E-3</v>
      </c>
    </row>
    <row r="811" spans="7:8" x14ac:dyDescent="0.35">
      <c r="G811" s="215">
        <v>804</v>
      </c>
      <c r="H811" s="16">
        <f t="shared" ca="1" si="20"/>
        <v>-0.13455460371655012</v>
      </c>
    </row>
    <row r="812" spans="7:8" x14ac:dyDescent="0.35">
      <c r="G812" s="215">
        <v>805</v>
      </c>
      <c r="H812" s="16">
        <f t="shared" ca="1" si="20"/>
        <v>-0.1285996483271315</v>
      </c>
    </row>
    <row r="813" spans="7:8" x14ac:dyDescent="0.35">
      <c r="G813" s="215">
        <v>806</v>
      </c>
      <c r="H813" s="16">
        <f t="shared" ca="1" si="20"/>
        <v>-7.6998810294949774E-2</v>
      </c>
    </row>
    <row r="814" spans="7:8" x14ac:dyDescent="0.35">
      <c r="G814" s="215">
        <v>807</v>
      </c>
      <c r="H814" s="16">
        <f t="shared" ca="1" si="20"/>
        <v>-2.5001292603152332E-2</v>
      </c>
    </row>
    <row r="815" spans="7:8" x14ac:dyDescent="0.35">
      <c r="G815" s="215">
        <v>808</v>
      </c>
      <c r="H815" s="16">
        <f t="shared" ca="1" si="20"/>
        <v>2.9423683631971242E-2</v>
      </c>
    </row>
    <row r="816" spans="7:8" x14ac:dyDescent="0.35">
      <c r="G816" s="215">
        <v>809</v>
      </c>
      <c r="H816" s="16">
        <f t="shared" ca="1" si="20"/>
        <v>1.7877473843045465E-2</v>
      </c>
    </row>
    <row r="817" spans="7:8" x14ac:dyDescent="0.35">
      <c r="G817" s="215">
        <v>810</v>
      </c>
      <c r="H817" s="16">
        <f t="shared" ca="1" si="20"/>
        <v>-0.112355842983867</v>
      </c>
    </row>
    <row r="818" spans="7:8" x14ac:dyDescent="0.35">
      <c r="G818" s="215">
        <v>811</v>
      </c>
      <c r="H818" s="16">
        <f t="shared" ca="1" si="20"/>
        <v>-8.2588638290802437E-4</v>
      </c>
    </row>
    <row r="819" spans="7:8" x14ac:dyDescent="0.35">
      <c r="G819" s="215">
        <v>812</v>
      </c>
      <c r="H819" s="16">
        <f t="shared" ca="1" si="20"/>
        <v>-7.3235169648725382E-2</v>
      </c>
    </row>
    <row r="820" spans="7:8" x14ac:dyDescent="0.35">
      <c r="G820" s="215">
        <v>813</v>
      </c>
      <c r="H820" s="16">
        <f t="shared" ca="1" si="20"/>
        <v>-2.8709952717958977E-2</v>
      </c>
    </row>
    <row r="821" spans="7:8" x14ac:dyDescent="0.35">
      <c r="G821" s="215">
        <v>814</v>
      </c>
      <c r="H821" s="16">
        <f t="shared" ca="1" si="20"/>
        <v>0.12279609514931121</v>
      </c>
    </row>
    <row r="822" spans="7:8" x14ac:dyDescent="0.35">
      <c r="G822" s="215">
        <v>815</v>
      </c>
      <c r="H822" s="16">
        <f t="shared" ca="1" si="20"/>
        <v>3.1408302684592389E-2</v>
      </c>
    </row>
    <row r="823" spans="7:8" x14ac:dyDescent="0.35">
      <c r="G823" s="215">
        <v>816</v>
      </c>
      <c r="H823" s="16">
        <f t="shared" ca="1" si="20"/>
        <v>1.4808041777015689E-2</v>
      </c>
    </row>
    <row r="824" spans="7:8" x14ac:dyDescent="0.35">
      <c r="G824" s="215">
        <v>817</v>
      </c>
      <c r="H824" s="16">
        <f t="shared" ca="1" si="20"/>
        <v>7.8989771550314239E-2</v>
      </c>
    </row>
    <row r="825" spans="7:8" x14ac:dyDescent="0.35">
      <c r="G825" s="215">
        <v>818</v>
      </c>
      <c r="H825" s="16">
        <f t="shared" ca="1" si="20"/>
        <v>0.10063910079578441</v>
      </c>
    </row>
    <row r="826" spans="7:8" x14ac:dyDescent="0.35">
      <c r="G826" s="215">
        <v>819</v>
      </c>
      <c r="H826" s="16">
        <f t="shared" ca="1" si="20"/>
        <v>0.14738703998470706</v>
      </c>
    </row>
    <row r="827" spans="7:8" x14ac:dyDescent="0.35">
      <c r="G827" s="215">
        <v>820</v>
      </c>
      <c r="H827" s="16">
        <f t="shared" ca="1" si="20"/>
        <v>0.13671774343707563</v>
      </c>
    </row>
    <row r="828" spans="7:8" x14ac:dyDescent="0.35">
      <c r="G828" s="215">
        <v>821</v>
      </c>
      <c r="H828" s="16">
        <f t="shared" ca="1" si="20"/>
        <v>8.3839893023728004E-2</v>
      </c>
    </row>
    <row r="829" spans="7:8" x14ac:dyDescent="0.35">
      <c r="G829" s="215">
        <v>822</v>
      </c>
      <c r="H829" s="16">
        <f t="shared" ca="1" si="20"/>
        <v>1.2012413722074011E-2</v>
      </c>
    </row>
    <row r="830" spans="7:8" x14ac:dyDescent="0.35">
      <c r="G830" s="215">
        <v>823</v>
      </c>
      <c r="H830" s="16">
        <f t="shared" ca="1" si="20"/>
        <v>7.4246008586576873E-2</v>
      </c>
    </row>
    <row r="831" spans="7:8" x14ac:dyDescent="0.35">
      <c r="G831" s="215">
        <v>824</v>
      </c>
      <c r="H831" s="16">
        <f t="shared" ca="1" si="20"/>
        <v>0.11840057224412391</v>
      </c>
    </row>
    <row r="832" spans="7:8" x14ac:dyDescent="0.35">
      <c r="G832" s="215">
        <v>825</v>
      </c>
      <c r="H832" s="16">
        <f t="shared" ca="1" si="20"/>
        <v>9.1483521869024267E-2</v>
      </c>
    </row>
    <row r="833" spans="7:8" x14ac:dyDescent="0.35">
      <c r="G833" s="215">
        <v>826</v>
      </c>
      <c r="H833" s="16">
        <f t="shared" ca="1" si="20"/>
        <v>6.5043176871551582E-3</v>
      </c>
    </row>
    <row r="834" spans="7:8" x14ac:dyDescent="0.35">
      <c r="G834" s="215">
        <v>827</v>
      </c>
      <c r="H834" s="16">
        <f t="shared" ca="1" si="20"/>
        <v>-2.6564720622300423E-3</v>
      </c>
    </row>
    <row r="835" spans="7:8" x14ac:dyDescent="0.35">
      <c r="G835" s="215">
        <v>828</v>
      </c>
      <c r="H835" s="16">
        <f t="shared" ca="1" si="20"/>
        <v>3.736422694003471E-2</v>
      </c>
    </row>
    <row r="836" spans="7:8" x14ac:dyDescent="0.35">
      <c r="G836" s="215">
        <v>829</v>
      </c>
      <c r="H836" s="16">
        <f t="shared" ca="1" si="20"/>
        <v>5.0444668370566631E-2</v>
      </c>
    </row>
    <row r="837" spans="7:8" x14ac:dyDescent="0.35">
      <c r="G837" s="215">
        <v>830</v>
      </c>
      <c r="H837" s="16">
        <f t="shared" ca="1" si="20"/>
        <v>-1.4025800515527733E-2</v>
      </c>
    </row>
    <row r="838" spans="7:8" x14ac:dyDescent="0.35">
      <c r="G838" s="215">
        <v>831</v>
      </c>
      <c r="H838" s="16">
        <f t="shared" ca="1" si="20"/>
        <v>5.6195697595046081E-3</v>
      </c>
    </row>
    <row r="839" spans="7:8" x14ac:dyDescent="0.35">
      <c r="G839" s="215">
        <v>832</v>
      </c>
      <c r="H839" s="16">
        <f t="shared" ca="1" si="20"/>
        <v>0.13330380276186712</v>
      </c>
    </row>
    <row r="840" spans="7:8" x14ac:dyDescent="0.35">
      <c r="G840" s="215">
        <v>833</v>
      </c>
      <c r="H840" s="16">
        <f t="shared" ref="H840:H903" ca="1" si="21">_xlfn.NORM.INV(RAND(),M$10,M$11)</f>
        <v>-4.9941132084371578E-3</v>
      </c>
    </row>
    <row r="841" spans="7:8" x14ac:dyDescent="0.35">
      <c r="G841" s="215">
        <v>834</v>
      </c>
      <c r="H841" s="16">
        <f t="shared" ca="1" si="21"/>
        <v>3.9275149033304153E-2</v>
      </c>
    </row>
    <row r="842" spans="7:8" x14ac:dyDescent="0.35">
      <c r="G842" s="215">
        <v>835</v>
      </c>
      <c r="H842" s="16">
        <f t="shared" ca="1" si="21"/>
        <v>4.2984248568453606E-3</v>
      </c>
    </row>
    <row r="843" spans="7:8" x14ac:dyDescent="0.35">
      <c r="G843" s="215">
        <v>836</v>
      </c>
      <c r="H843" s="16">
        <f t="shared" ca="1" si="21"/>
        <v>-7.7784639829990357E-3</v>
      </c>
    </row>
    <row r="844" spans="7:8" x14ac:dyDescent="0.35">
      <c r="G844" s="215">
        <v>837</v>
      </c>
      <c r="H844" s="16">
        <f t="shared" ca="1" si="21"/>
        <v>6.9787036464986504E-2</v>
      </c>
    </row>
    <row r="845" spans="7:8" x14ac:dyDescent="0.35">
      <c r="G845" s="215">
        <v>838</v>
      </c>
      <c r="H845" s="16">
        <f t="shared" ca="1" si="21"/>
        <v>5.7846293955403777E-2</v>
      </c>
    </row>
    <row r="846" spans="7:8" x14ac:dyDescent="0.35">
      <c r="G846" s="215">
        <v>839</v>
      </c>
      <c r="H846" s="16">
        <f t="shared" ca="1" si="21"/>
        <v>-0.10284233343374341</v>
      </c>
    </row>
    <row r="847" spans="7:8" x14ac:dyDescent="0.35">
      <c r="G847" s="215">
        <v>840</v>
      </c>
      <c r="H847" s="16">
        <f t="shared" ca="1" si="21"/>
        <v>3.242194989993865E-2</v>
      </c>
    </row>
    <row r="848" spans="7:8" x14ac:dyDescent="0.35">
      <c r="G848" s="215">
        <v>841</v>
      </c>
      <c r="H848" s="16">
        <f t="shared" ca="1" si="21"/>
        <v>-8.5189873345457329E-2</v>
      </c>
    </row>
    <row r="849" spans="7:8" x14ac:dyDescent="0.35">
      <c r="G849" s="215">
        <v>842</v>
      </c>
      <c r="H849" s="16">
        <f t="shared" ca="1" si="21"/>
        <v>4.5124498006080371E-2</v>
      </c>
    </row>
    <row r="850" spans="7:8" x14ac:dyDescent="0.35">
      <c r="G850" s="215">
        <v>843</v>
      </c>
      <c r="H850" s="16">
        <f t="shared" ca="1" si="21"/>
        <v>2.1125110338681474E-2</v>
      </c>
    </row>
    <row r="851" spans="7:8" x14ac:dyDescent="0.35">
      <c r="G851" s="215">
        <v>844</v>
      </c>
      <c r="H851" s="16">
        <f t="shared" ca="1" si="21"/>
        <v>7.4242701490628412E-3</v>
      </c>
    </row>
    <row r="852" spans="7:8" x14ac:dyDescent="0.35">
      <c r="G852" s="215">
        <v>845</v>
      </c>
      <c r="H852" s="16">
        <f t="shared" ca="1" si="21"/>
        <v>0.15966263439361089</v>
      </c>
    </row>
    <row r="853" spans="7:8" x14ac:dyDescent="0.35">
      <c r="G853" s="215">
        <v>846</v>
      </c>
      <c r="H853" s="16">
        <f t="shared" ca="1" si="21"/>
        <v>3.7935774607917777E-2</v>
      </c>
    </row>
    <row r="854" spans="7:8" x14ac:dyDescent="0.35">
      <c r="G854" s="215">
        <v>847</v>
      </c>
      <c r="H854" s="16">
        <f t="shared" ca="1" si="21"/>
        <v>0.11527091874753687</v>
      </c>
    </row>
    <row r="855" spans="7:8" x14ac:dyDescent="0.35">
      <c r="G855" s="215">
        <v>848</v>
      </c>
      <c r="H855" s="16">
        <f t="shared" ca="1" si="21"/>
        <v>-2.5127256186919269E-2</v>
      </c>
    </row>
    <row r="856" spans="7:8" x14ac:dyDescent="0.35">
      <c r="G856" s="215">
        <v>849</v>
      </c>
      <c r="H856" s="16">
        <f t="shared" ca="1" si="21"/>
        <v>-8.0071639878017395E-2</v>
      </c>
    </row>
    <row r="857" spans="7:8" x14ac:dyDescent="0.35">
      <c r="G857" s="215">
        <v>850</v>
      </c>
      <c r="H857" s="16">
        <f t="shared" ca="1" si="21"/>
        <v>0.14791681060073897</v>
      </c>
    </row>
    <row r="858" spans="7:8" x14ac:dyDescent="0.35">
      <c r="G858" s="215">
        <v>851</v>
      </c>
      <c r="H858" s="16">
        <f t="shared" ca="1" si="21"/>
        <v>-7.9692862064693212E-2</v>
      </c>
    </row>
    <row r="859" spans="7:8" x14ac:dyDescent="0.35">
      <c r="G859" s="215">
        <v>852</v>
      </c>
      <c r="H859" s="16">
        <f t="shared" ca="1" si="21"/>
        <v>1.7162709083892183E-2</v>
      </c>
    </row>
    <row r="860" spans="7:8" x14ac:dyDescent="0.35">
      <c r="G860" s="215">
        <v>853</v>
      </c>
      <c r="H860" s="16">
        <f t="shared" ca="1" si="21"/>
        <v>-0.13113961582713127</v>
      </c>
    </row>
    <row r="861" spans="7:8" x14ac:dyDescent="0.35">
      <c r="G861" s="215">
        <v>854</v>
      </c>
      <c r="H861" s="16">
        <f t="shared" ca="1" si="21"/>
        <v>6.1832386752837976E-2</v>
      </c>
    </row>
    <row r="862" spans="7:8" x14ac:dyDescent="0.35">
      <c r="G862" s="215">
        <v>855</v>
      </c>
      <c r="H862" s="16">
        <f t="shared" ca="1" si="21"/>
        <v>0.14147717624442091</v>
      </c>
    </row>
    <row r="863" spans="7:8" x14ac:dyDescent="0.35">
      <c r="G863" s="215">
        <v>856</v>
      </c>
      <c r="H863" s="16">
        <f t="shared" ca="1" si="21"/>
        <v>-0.1029040739342046</v>
      </c>
    </row>
    <row r="864" spans="7:8" x14ac:dyDescent="0.35">
      <c r="G864" s="215">
        <v>857</v>
      </c>
      <c r="H864" s="16">
        <f t="shared" ca="1" si="21"/>
        <v>-3.8632990078950907E-2</v>
      </c>
    </row>
    <row r="865" spans="7:8" x14ac:dyDescent="0.35">
      <c r="G865" s="215">
        <v>858</v>
      </c>
      <c r="H865" s="16">
        <f t="shared" ca="1" si="21"/>
        <v>0.1365614565508618</v>
      </c>
    </row>
    <row r="866" spans="7:8" x14ac:dyDescent="0.35">
      <c r="G866" s="215">
        <v>859</v>
      </c>
      <c r="H866" s="16">
        <f t="shared" ca="1" si="21"/>
        <v>-5.7579209600094661E-2</v>
      </c>
    </row>
    <row r="867" spans="7:8" x14ac:dyDescent="0.35">
      <c r="G867" s="215">
        <v>860</v>
      </c>
      <c r="H867" s="16">
        <f t="shared" ca="1" si="21"/>
        <v>1.9814320489989212E-3</v>
      </c>
    </row>
    <row r="868" spans="7:8" x14ac:dyDescent="0.35">
      <c r="G868" s="215">
        <v>861</v>
      </c>
      <c r="H868" s="16">
        <f t="shared" ca="1" si="21"/>
        <v>-2.8061628589637479E-2</v>
      </c>
    </row>
    <row r="869" spans="7:8" x14ac:dyDescent="0.35">
      <c r="G869" s="215">
        <v>862</v>
      </c>
      <c r="H869" s="16">
        <f t="shared" ca="1" si="21"/>
        <v>-9.1302949265370484E-2</v>
      </c>
    </row>
    <row r="870" spans="7:8" x14ac:dyDescent="0.35">
      <c r="G870" s="215">
        <v>863</v>
      </c>
      <c r="H870" s="16">
        <f t="shared" ca="1" si="21"/>
        <v>-7.6640179185548093E-2</v>
      </c>
    </row>
    <row r="871" spans="7:8" x14ac:dyDescent="0.35">
      <c r="G871" s="215">
        <v>864</v>
      </c>
      <c r="H871" s="16">
        <f t="shared" ca="1" si="21"/>
        <v>7.0389293511145853E-2</v>
      </c>
    </row>
    <row r="872" spans="7:8" x14ac:dyDescent="0.35">
      <c r="G872" s="215">
        <v>865</v>
      </c>
      <c r="H872" s="16">
        <f t="shared" ca="1" si="21"/>
        <v>5.3531417713910651E-2</v>
      </c>
    </row>
    <row r="873" spans="7:8" x14ac:dyDescent="0.35">
      <c r="G873" s="215">
        <v>866</v>
      </c>
      <c r="H873" s="16">
        <f t="shared" ca="1" si="21"/>
        <v>-9.8343868603819329E-3</v>
      </c>
    </row>
    <row r="874" spans="7:8" x14ac:dyDescent="0.35">
      <c r="G874" s="215">
        <v>867</v>
      </c>
      <c r="H874" s="16">
        <f t="shared" ca="1" si="21"/>
        <v>2.5146701272941524E-2</v>
      </c>
    </row>
    <row r="875" spans="7:8" x14ac:dyDescent="0.35">
      <c r="G875" s="215">
        <v>868</v>
      </c>
      <c r="H875" s="16">
        <f t="shared" ca="1" si="21"/>
        <v>9.093599249110737E-2</v>
      </c>
    </row>
    <row r="876" spans="7:8" x14ac:dyDescent="0.35">
      <c r="G876" s="215">
        <v>869</v>
      </c>
      <c r="H876" s="16">
        <f t="shared" ca="1" si="21"/>
        <v>3.8123221552108288E-2</v>
      </c>
    </row>
    <row r="877" spans="7:8" x14ac:dyDescent="0.35">
      <c r="G877" s="215">
        <v>870</v>
      </c>
      <c r="H877" s="16">
        <f t="shared" ca="1" si="21"/>
        <v>-7.4348167026898719E-3</v>
      </c>
    </row>
    <row r="878" spans="7:8" x14ac:dyDescent="0.35">
      <c r="G878" s="215">
        <v>871</v>
      </c>
      <c r="H878" s="16">
        <f t="shared" ca="1" si="21"/>
        <v>5.2481905521686287E-2</v>
      </c>
    </row>
    <row r="879" spans="7:8" x14ac:dyDescent="0.35">
      <c r="G879" s="215">
        <v>872</v>
      </c>
      <c r="H879" s="16">
        <f t="shared" ca="1" si="21"/>
        <v>8.754992850319325E-3</v>
      </c>
    </row>
    <row r="880" spans="7:8" x14ac:dyDescent="0.35">
      <c r="G880" s="215">
        <v>873</v>
      </c>
      <c r="H880" s="16">
        <f t="shared" ca="1" si="21"/>
        <v>4.092882752978054E-2</v>
      </c>
    </row>
    <row r="881" spans="7:8" x14ac:dyDescent="0.35">
      <c r="G881" s="215">
        <v>874</v>
      </c>
      <c r="H881" s="16">
        <f t="shared" ca="1" si="21"/>
        <v>-1.4992246771783329E-2</v>
      </c>
    </row>
    <row r="882" spans="7:8" x14ac:dyDescent="0.35">
      <c r="G882" s="215">
        <v>875</v>
      </c>
      <c r="H882" s="16">
        <f t="shared" ca="1" si="21"/>
        <v>8.3342982156196746E-2</v>
      </c>
    </row>
    <row r="883" spans="7:8" x14ac:dyDescent="0.35">
      <c r="G883" s="215">
        <v>876</v>
      </c>
      <c r="H883" s="16">
        <f t="shared" ca="1" si="21"/>
        <v>1.8359822179132179E-2</v>
      </c>
    </row>
    <row r="884" spans="7:8" x14ac:dyDescent="0.35">
      <c r="G884" s="215">
        <v>877</v>
      </c>
      <c r="H884" s="16">
        <f t="shared" ca="1" si="21"/>
        <v>9.5859587333408505E-2</v>
      </c>
    </row>
    <row r="885" spans="7:8" x14ac:dyDescent="0.35">
      <c r="G885" s="215">
        <v>878</v>
      </c>
      <c r="H885" s="16">
        <f t="shared" ca="1" si="21"/>
        <v>6.1777264963308223E-2</v>
      </c>
    </row>
    <row r="886" spans="7:8" x14ac:dyDescent="0.35">
      <c r="G886" s="215">
        <v>879</v>
      </c>
      <c r="H886" s="16">
        <f t="shared" ca="1" si="21"/>
        <v>-5.9946254323414674E-2</v>
      </c>
    </row>
    <row r="887" spans="7:8" x14ac:dyDescent="0.35">
      <c r="G887" s="215">
        <v>880</v>
      </c>
      <c r="H887" s="16">
        <f t="shared" ca="1" si="21"/>
        <v>-7.3366066338005943E-3</v>
      </c>
    </row>
    <row r="888" spans="7:8" x14ac:dyDescent="0.35">
      <c r="G888" s="215">
        <v>881</v>
      </c>
      <c r="H888" s="16">
        <f t="shared" ca="1" si="21"/>
        <v>-3.2383087656235848E-2</v>
      </c>
    </row>
    <row r="889" spans="7:8" x14ac:dyDescent="0.35">
      <c r="G889" s="215">
        <v>882</v>
      </c>
      <c r="H889" s="16">
        <f t="shared" ca="1" si="21"/>
        <v>7.6276413461232206E-2</v>
      </c>
    </row>
    <row r="890" spans="7:8" x14ac:dyDescent="0.35">
      <c r="G890" s="215">
        <v>883</v>
      </c>
      <c r="H890" s="16">
        <f t="shared" ca="1" si="21"/>
        <v>6.3418992877786712E-2</v>
      </c>
    </row>
    <row r="891" spans="7:8" x14ac:dyDescent="0.35">
      <c r="G891" s="215">
        <v>884</v>
      </c>
      <c r="H891" s="16">
        <f t="shared" ca="1" si="21"/>
        <v>-1.8275657982950274E-2</v>
      </c>
    </row>
    <row r="892" spans="7:8" x14ac:dyDescent="0.35">
      <c r="G892" s="215">
        <v>885</v>
      </c>
      <c r="H892" s="16">
        <f t="shared" ca="1" si="21"/>
        <v>5.5192292523052758E-2</v>
      </c>
    </row>
    <row r="893" spans="7:8" x14ac:dyDescent="0.35">
      <c r="G893" s="215">
        <v>886</v>
      </c>
      <c r="H893" s="16">
        <f t="shared" ca="1" si="21"/>
        <v>-5.9960101751060965E-2</v>
      </c>
    </row>
    <row r="894" spans="7:8" x14ac:dyDescent="0.35">
      <c r="G894" s="215">
        <v>887</v>
      </c>
      <c r="H894" s="16">
        <f t="shared" ca="1" si="21"/>
        <v>5.0956610756459353E-3</v>
      </c>
    </row>
    <row r="895" spans="7:8" x14ac:dyDescent="0.35">
      <c r="G895" s="215">
        <v>888</v>
      </c>
      <c r="H895" s="16">
        <f t="shared" ca="1" si="21"/>
        <v>5.2218471159059796E-2</v>
      </c>
    </row>
    <row r="896" spans="7:8" x14ac:dyDescent="0.35">
      <c r="G896" s="215">
        <v>889</v>
      </c>
      <c r="H896" s="16">
        <f t="shared" ca="1" si="21"/>
        <v>-4.7063438592546331E-2</v>
      </c>
    </row>
    <row r="897" spans="7:8" x14ac:dyDescent="0.35">
      <c r="G897" s="215">
        <v>890</v>
      </c>
      <c r="H897" s="16">
        <f t="shared" ca="1" si="21"/>
        <v>1.5243806463417407E-2</v>
      </c>
    </row>
    <row r="898" spans="7:8" x14ac:dyDescent="0.35">
      <c r="G898" s="215">
        <v>891</v>
      </c>
      <c r="H898" s="16">
        <f t="shared" ca="1" si="21"/>
        <v>-3.5592251507147663E-2</v>
      </c>
    </row>
    <row r="899" spans="7:8" x14ac:dyDescent="0.35">
      <c r="G899" s="215">
        <v>892</v>
      </c>
      <c r="H899" s="16">
        <f t="shared" ca="1" si="21"/>
        <v>0.13483047024887371</v>
      </c>
    </row>
    <row r="900" spans="7:8" x14ac:dyDescent="0.35">
      <c r="G900" s="215">
        <v>893</v>
      </c>
      <c r="H900" s="16">
        <f t="shared" ca="1" si="21"/>
        <v>-9.1782916756365823E-2</v>
      </c>
    </row>
    <row r="901" spans="7:8" x14ac:dyDescent="0.35">
      <c r="G901" s="215">
        <v>894</v>
      </c>
      <c r="H901" s="16">
        <f t="shared" ca="1" si="21"/>
        <v>-0.11577010786880351</v>
      </c>
    </row>
    <row r="902" spans="7:8" x14ac:dyDescent="0.35">
      <c r="G902" s="215">
        <v>895</v>
      </c>
      <c r="H902" s="16">
        <f t="shared" ca="1" si="21"/>
        <v>-6.1909458600999959E-2</v>
      </c>
    </row>
    <row r="903" spans="7:8" x14ac:dyDescent="0.35">
      <c r="G903" s="215">
        <v>896</v>
      </c>
      <c r="H903" s="16">
        <f t="shared" ca="1" si="21"/>
        <v>-4.2144828212397581E-2</v>
      </c>
    </row>
    <row r="904" spans="7:8" x14ac:dyDescent="0.35">
      <c r="G904" s="215">
        <v>897</v>
      </c>
      <c r="H904" s="16">
        <f t="shared" ref="H904:H967" ca="1" si="22">_xlfn.NORM.INV(RAND(),M$10,M$11)</f>
        <v>8.286553817385961E-2</v>
      </c>
    </row>
    <row r="905" spans="7:8" x14ac:dyDescent="0.35">
      <c r="G905" s="215">
        <v>898</v>
      </c>
      <c r="H905" s="16">
        <f t="shared" ca="1" si="22"/>
        <v>-5.5866261126006525E-2</v>
      </c>
    </row>
    <row r="906" spans="7:8" x14ac:dyDescent="0.35">
      <c r="G906" s="215">
        <v>899</v>
      </c>
      <c r="H906" s="16">
        <f t="shared" ca="1" si="22"/>
        <v>1.3890078460195287E-2</v>
      </c>
    </row>
    <row r="907" spans="7:8" x14ac:dyDescent="0.35">
      <c r="G907" s="215">
        <v>900</v>
      </c>
      <c r="H907" s="16">
        <f t="shared" ca="1" si="22"/>
        <v>-9.1446141760962635E-2</v>
      </c>
    </row>
    <row r="908" spans="7:8" x14ac:dyDescent="0.35">
      <c r="G908" s="215">
        <v>901</v>
      </c>
      <c r="H908" s="16">
        <f t="shared" ca="1" si="22"/>
        <v>-0.25832214334185083</v>
      </c>
    </row>
    <row r="909" spans="7:8" x14ac:dyDescent="0.35">
      <c r="G909" s="215">
        <v>902</v>
      </c>
      <c r="H909" s="16">
        <f t="shared" ca="1" si="22"/>
        <v>-1.2071158770259598E-2</v>
      </c>
    </row>
    <row r="910" spans="7:8" x14ac:dyDescent="0.35">
      <c r="G910" s="215">
        <v>903</v>
      </c>
      <c r="H910" s="16">
        <f t="shared" ca="1" si="22"/>
        <v>7.7631597383691242E-2</v>
      </c>
    </row>
    <row r="911" spans="7:8" x14ac:dyDescent="0.35">
      <c r="G911" s="215">
        <v>904</v>
      </c>
      <c r="H911" s="16">
        <f t="shared" ca="1" si="22"/>
        <v>4.1183297676899641E-2</v>
      </c>
    </row>
    <row r="912" spans="7:8" x14ac:dyDescent="0.35">
      <c r="G912" s="215">
        <v>905</v>
      </c>
      <c r="H912" s="16">
        <f t="shared" ca="1" si="22"/>
        <v>2.1806518928647441E-2</v>
      </c>
    </row>
    <row r="913" spans="7:8" x14ac:dyDescent="0.35">
      <c r="G913" s="215">
        <v>906</v>
      </c>
      <c r="H913" s="16">
        <f t="shared" ca="1" si="22"/>
        <v>-1.936311950720776E-3</v>
      </c>
    </row>
    <row r="914" spans="7:8" x14ac:dyDescent="0.35">
      <c r="G914" s="215">
        <v>907</v>
      </c>
      <c r="H914" s="16">
        <f t="shared" ca="1" si="22"/>
        <v>4.1478290514169694E-2</v>
      </c>
    </row>
    <row r="915" spans="7:8" x14ac:dyDescent="0.35">
      <c r="G915" s="215">
        <v>908</v>
      </c>
      <c r="H915" s="16">
        <f t="shared" ca="1" si="22"/>
        <v>0.12864913439168088</v>
      </c>
    </row>
    <row r="916" spans="7:8" x14ac:dyDescent="0.35">
      <c r="G916" s="215">
        <v>909</v>
      </c>
      <c r="H916" s="16">
        <f t="shared" ca="1" si="22"/>
        <v>0.15586114893456984</v>
      </c>
    </row>
    <row r="917" spans="7:8" x14ac:dyDescent="0.35">
      <c r="G917" s="215">
        <v>910</v>
      </c>
      <c r="H917" s="16">
        <f t="shared" ca="1" si="22"/>
        <v>2.4668562683842363E-2</v>
      </c>
    </row>
    <row r="918" spans="7:8" x14ac:dyDescent="0.35">
      <c r="G918" s="215">
        <v>911</v>
      </c>
      <c r="H918" s="16">
        <f t="shared" ca="1" si="22"/>
        <v>-2.2436518374702879E-2</v>
      </c>
    </row>
    <row r="919" spans="7:8" x14ac:dyDescent="0.35">
      <c r="G919" s="215">
        <v>912</v>
      </c>
      <c r="H919" s="16">
        <f t="shared" ca="1" si="22"/>
        <v>1.8500275804949153E-2</v>
      </c>
    </row>
    <row r="920" spans="7:8" x14ac:dyDescent="0.35">
      <c r="G920" s="215">
        <v>913</v>
      </c>
      <c r="H920" s="16">
        <f t="shared" ca="1" si="22"/>
        <v>-0.10298826916048248</v>
      </c>
    </row>
    <row r="921" spans="7:8" x14ac:dyDescent="0.35">
      <c r="G921" s="215">
        <v>914</v>
      </c>
      <c r="H921" s="16">
        <f t="shared" ca="1" si="22"/>
        <v>5.7162579664800747E-2</v>
      </c>
    </row>
    <row r="922" spans="7:8" x14ac:dyDescent="0.35">
      <c r="G922" s="215">
        <v>915</v>
      </c>
      <c r="H922" s="16">
        <f t="shared" ca="1" si="22"/>
        <v>-4.1780530160601223E-2</v>
      </c>
    </row>
    <row r="923" spans="7:8" x14ac:dyDescent="0.35">
      <c r="G923" s="215">
        <v>916</v>
      </c>
      <c r="H923" s="16">
        <f t="shared" ca="1" si="22"/>
        <v>-5.9379938661842116E-2</v>
      </c>
    </row>
    <row r="924" spans="7:8" x14ac:dyDescent="0.35">
      <c r="G924" s="215">
        <v>917</v>
      </c>
      <c r="H924" s="16">
        <f t="shared" ca="1" si="22"/>
        <v>2.3893925726181965E-2</v>
      </c>
    </row>
    <row r="925" spans="7:8" x14ac:dyDescent="0.35">
      <c r="G925" s="215">
        <v>918</v>
      </c>
      <c r="H925" s="16">
        <f t="shared" ca="1" si="22"/>
        <v>7.2132713078084734E-2</v>
      </c>
    </row>
    <row r="926" spans="7:8" x14ac:dyDescent="0.35">
      <c r="G926" s="215">
        <v>919</v>
      </c>
      <c r="H926" s="16">
        <f t="shared" ca="1" si="22"/>
        <v>-0.10964027726090077</v>
      </c>
    </row>
    <row r="927" spans="7:8" x14ac:dyDescent="0.35">
      <c r="G927" s="215">
        <v>920</v>
      </c>
      <c r="H927" s="16">
        <f t="shared" ca="1" si="22"/>
        <v>-3.6296200874462309E-2</v>
      </c>
    </row>
    <row r="928" spans="7:8" x14ac:dyDescent="0.35">
      <c r="G928" s="215">
        <v>921</v>
      </c>
      <c r="H928" s="16">
        <f t="shared" ca="1" si="22"/>
        <v>0.14894893984063209</v>
      </c>
    </row>
    <row r="929" spans="7:8" x14ac:dyDescent="0.35">
      <c r="G929" s="215">
        <v>922</v>
      </c>
      <c r="H929" s="16">
        <f t="shared" ca="1" si="22"/>
        <v>-1.8365295851497685E-2</v>
      </c>
    </row>
    <row r="930" spans="7:8" x14ac:dyDescent="0.35">
      <c r="G930" s="215">
        <v>923</v>
      </c>
      <c r="H930" s="16">
        <f t="shared" ca="1" si="22"/>
        <v>0.16410756902901516</v>
      </c>
    </row>
    <row r="931" spans="7:8" x14ac:dyDescent="0.35">
      <c r="G931" s="215">
        <v>924</v>
      </c>
      <c r="H931" s="16">
        <f t="shared" ca="1" si="22"/>
        <v>-6.0984414221139982E-2</v>
      </c>
    </row>
    <row r="932" spans="7:8" x14ac:dyDescent="0.35">
      <c r="G932" s="215">
        <v>925</v>
      </c>
      <c r="H932" s="16">
        <f t="shared" ca="1" si="22"/>
        <v>3.8599259042335646E-2</v>
      </c>
    </row>
    <row r="933" spans="7:8" x14ac:dyDescent="0.35">
      <c r="G933" s="215">
        <v>926</v>
      </c>
      <c r="H933" s="16">
        <f t="shared" ca="1" si="22"/>
        <v>2.4425020458203363E-3</v>
      </c>
    </row>
    <row r="934" spans="7:8" x14ac:dyDescent="0.35">
      <c r="G934" s="215">
        <v>927</v>
      </c>
      <c r="H934" s="16">
        <f t="shared" ca="1" si="22"/>
        <v>-3.3070461186937475E-2</v>
      </c>
    </row>
    <row r="935" spans="7:8" x14ac:dyDescent="0.35">
      <c r="G935" s="215">
        <v>928</v>
      </c>
      <c r="H935" s="16">
        <f t="shared" ca="1" si="22"/>
        <v>-3.6884357459717562E-2</v>
      </c>
    </row>
    <row r="936" spans="7:8" x14ac:dyDescent="0.35">
      <c r="G936" s="215">
        <v>929</v>
      </c>
      <c r="H936" s="16">
        <f t="shared" ca="1" si="22"/>
        <v>2.9975713711637798E-2</v>
      </c>
    </row>
    <row r="937" spans="7:8" x14ac:dyDescent="0.35">
      <c r="G937" s="215">
        <v>930</v>
      </c>
      <c r="H937" s="16">
        <f t="shared" ca="1" si="22"/>
        <v>-9.9302246555039247E-2</v>
      </c>
    </row>
    <row r="938" spans="7:8" x14ac:dyDescent="0.35">
      <c r="G938" s="215">
        <v>931</v>
      </c>
      <c r="H938" s="16">
        <f t="shared" ca="1" si="22"/>
        <v>-3.4210681651220737E-2</v>
      </c>
    </row>
    <row r="939" spans="7:8" x14ac:dyDescent="0.35">
      <c r="G939" s="215">
        <v>932</v>
      </c>
      <c r="H939" s="16">
        <f t="shared" ca="1" si="22"/>
        <v>4.2604726026893122E-2</v>
      </c>
    </row>
    <row r="940" spans="7:8" x14ac:dyDescent="0.35">
      <c r="G940" s="215">
        <v>933</v>
      </c>
      <c r="H940" s="16">
        <f t="shared" ca="1" si="22"/>
        <v>2.1862569736489867E-2</v>
      </c>
    </row>
    <row r="941" spans="7:8" x14ac:dyDescent="0.35">
      <c r="G941" s="215">
        <v>934</v>
      </c>
      <c r="H941" s="16">
        <f t="shared" ca="1" si="22"/>
        <v>7.1194722761071139E-2</v>
      </c>
    </row>
    <row r="942" spans="7:8" x14ac:dyDescent="0.35">
      <c r="G942" s="215">
        <v>935</v>
      </c>
      <c r="H942" s="16">
        <f t="shared" ca="1" si="22"/>
        <v>-4.8430706931517596E-3</v>
      </c>
    </row>
    <row r="943" spans="7:8" x14ac:dyDescent="0.35">
      <c r="G943" s="215">
        <v>936</v>
      </c>
      <c r="H943" s="16">
        <f t="shared" ca="1" si="22"/>
        <v>8.2601505697044442E-2</v>
      </c>
    </row>
    <row r="944" spans="7:8" x14ac:dyDescent="0.35">
      <c r="G944" s="215">
        <v>937</v>
      </c>
      <c r="H944" s="16">
        <f t="shared" ca="1" si="22"/>
        <v>2.6954564198248286E-2</v>
      </c>
    </row>
    <row r="945" spans="7:8" x14ac:dyDescent="0.35">
      <c r="G945" s="215">
        <v>938</v>
      </c>
      <c r="H945" s="16">
        <f t="shared" ca="1" si="22"/>
        <v>2.3245050518902702E-2</v>
      </c>
    </row>
    <row r="946" spans="7:8" x14ac:dyDescent="0.35">
      <c r="G946" s="215">
        <v>939</v>
      </c>
      <c r="H946" s="16">
        <f t="shared" ca="1" si="22"/>
        <v>-6.626807232741716E-2</v>
      </c>
    </row>
    <row r="947" spans="7:8" x14ac:dyDescent="0.35">
      <c r="G947" s="215">
        <v>940</v>
      </c>
      <c r="H947" s="16">
        <f t="shared" ca="1" si="22"/>
        <v>1.1786117258828069E-2</v>
      </c>
    </row>
    <row r="948" spans="7:8" x14ac:dyDescent="0.35">
      <c r="G948" s="215">
        <v>941</v>
      </c>
      <c r="H948" s="16">
        <f t="shared" ca="1" si="22"/>
        <v>9.0373772760882098E-2</v>
      </c>
    </row>
    <row r="949" spans="7:8" x14ac:dyDescent="0.35">
      <c r="G949" s="215">
        <v>942</v>
      </c>
      <c r="H949" s="16">
        <f t="shared" ca="1" si="22"/>
        <v>-2.551027096571434E-2</v>
      </c>
    </row>
    <row r="950" spans="7:8" x14ac:dyDescent="0.35">
      <c r="G950" s="215">
        <v>943</v>
      </c>
      <c r="H950" s="16">
        <f t="shared" ca="1" si="22"/>
        <v>1.4405777766528308E-2</v>
      </c>
    </row>
    <row r="951" spans="7:8" x14ac:dyDescent="0.35">
      <c r="G951" s="215">
        <v>944</v>
      </c>
      <c r="H951" s="16">
        <f t="shared" ca="1" si="22"/>
        <v>9.8248040471937432E-3</v>
      </c>
    </row>
    <row r="952" spans="7:8" x14ac:dyDescent="0.35">
      <c r="G952" s="215">
        <v>945</v>
      </c>
      <c r="H952" s="16">
        <f t="shared" ca="1" si="22"/>
        <v>2.4706686969727991E-2</v>
      </c>
    </row>
    <row r="953" spans="7:8" x14ac:dyDescent="0.35">
      <c r="G953" s="215">
        <v>946</v>
      </c>
      <c r="H953" s="16">
        <f t="shared" ca="1" si="22"/>
        <v>-7.9518325365397616E-2</v>
      </c>
    </row>
    <row r="954" spans="7:8" x14ac:dyDescent="0.35">
      <c r="G954" s="215">
        <v>947</v>
      </c>
      <c r="H954" s="16">
        <f t="shared" ca="1" si="22"/>
        <v>-3.6651962739677038E-2</v>
      </c>
    </row>
    <row r="955" spans="7:8" x14ac:dyDescent="0.35">
      <c r="G955" s="215">
        <v>948</v>
      </c>
      <c r="H955" s="16">
        <f t="shared" ca="1" si="22"/>
        <v>-0.15611239069230312</v>
      </c>
    </row>
    <row r="956" spans="7:8" x14ac:dyDescent="0.35">
      <c r="G956" s="215">
        <v>949</v>
      </c>
      <c r="H956" s="16">
        <f t="shared" ca="1" si="22"/>
        <v>-5.4237524146699995E-2</v>
      </c>
    </row>
    <row r="957" spans="7:8" x14ac:dyDescent="0.35">
      <c r="G957" s="215">
        <v>950</v>
      </c>
      <c r="H957" s="16">
        <f t="shared" ca="1" si="22"/>
        <v>-4.9454538040455479E-3</v>
      </c>
    </row>
    <row r="958" spans="7:8" x14ac:dyDescent="0.35">
      <c r="G958" s="215">
        <v>951</v>
      </c>
      <c r="H958" s="16">
        <f t="shared" ca="1" si="22"/>
        <v>-9.79710750346479E-3</v>
      </c>
    </row>
    <row r="959" spans="7:8" x14ac:dyDescent="0.35">
      <c r="G959" s="215">
        <v>952</v>
      </c>
      <c r="H959" s="16">
        <f t="shared" ca="1" si="22"/>
        <v>5.7166163390706806E-2</v>
      </c>
    </row>
    <row r="960" spans="7:8" x14ac:dyDescent="0.35">
      <c r="G960" s="215">
        <v>953</v>
      </c>
      <c r="H960" s="16">
        <f t="shared" ca="1" si="22"/>
        <v>9.6855909196640708E-2</v>
      </c>
    </row>
    <row r="961" spans="7:8" x14ac:dyDescent="0.35">
      <c r="G961" s="215">
        <v>954</v>
      </c>
      <c r="H961" s="16">
        <f t="shared" ca="1" si="22"/>
        <v>5.4968993195103857E-2</v>
      </c>
    </row>
    <row r="962" spans="7:8" x14ac:dyDescent="0.35">
      <c r="G962" s="215">
        <v>955</v>
      </c>
      <c r="H962" s="16">
        <f t="shared" ca="1" si="22"/>
        <v>1.668240133186832E-2</v>
      </c>
    </row>
    <row r="963" spans="7:8" x14ac:dyDescent="0.35">
      <c r="G963" s="215">
        <v>956</v>
      </c>
      <c r="H963" s="16">
        <f t="shared" ca="1" si="22"/>
        <v>-8.8710757447984748E-2</v>
      </c>
    </row>
    <row r="964" spans="7:8" x14ac:dyDescent="0.35">
      <c r="G964" s="215">
        <v>957</v>
      </c>
      <c r="H964" s="16">
        <f t="shared" ca="1" si="22"/>
        <v>3.9426265625424187E-2</v>
      </c>
    </row>
    <row r="965" spans="7:8" x14ac:dyDescent="0.35">
      <c r="G965" s="215">
        <v>958</v>
      </c>
      <c r="H965" s="16">
        <f t="shared" ca="1" si="22"/>
        <v>3.3539820742637783E-2</v>
      </c>
    </row>
    <row r="966" spans="7:8" x14ac:dyDescent="0.35">
      <c r="G966" s="215">
        <v>959</v>
      </c>
      <c r="H966" s="16">
        <f t="shared" ca="1" si="22"/>
        <v>-4.8077501527040323E-2</v>
      </c>
    </row>
    <row r="967" spans="7:8" x14ac:dyDescent="0.35">
      <c r="G967" s="215">
        <v>960</v>
      </c>
      <c r="H967" s="16">
        <f t="shared" ca="1" si="22"/>
        <v>3.5514852213683515E-2</v>
      </c>
    </row>
    <row r="968" spans="7:8" x14ac:dyDescent="0.35">
      <c r="G968" s="215">
        <v>961</v>
      </c>
      <c r="H968" s="16">
        <f t="shared" ref="H968:H1031" ca="1" si="23">_xlfn.NORM.INV(RAND(),M$10,M$11)</f>
        <v>0.10329969521376721</v>
      </c>
    </row>
    <row r="969" spans="7:8" x14ac:dyDescent="0.35">
      <c r="G969" s="215">
        <v>962</v>
      </c>
      <c r="H969" s="16">
        <f t="shared" ca="1" si="23"/>
        <v>9.6759283914354288E-2</v>
      </c>
    </row>
    <row r="970" spans="7:8" x14ac:dyDescent="0.35">
      <c r="G970" s="215">
        <v>963</v>
      </c>
      <c r="H970" s="16">
        <f t="shared" ca="1" si="23"/>
        <v>6.2134659874584622E-2</v>
      </c>
    </row>
    <row r="971" spans="7:8" x14ac:dyDescent="0.35">
      <c r="G971" s="215">
        <v>964</v>
      </c>
      <c r="H971" s="16">
        <f t="shared" ca="1" si="23"/>
        <v>5.2278530385951996E-2</v>
      </c>
    </row>
    <row r="972" spans="7:8" x14ac:dyDescent="0.35">
      <c r="G972" s="215">
        <v>965</v>
      </c>
      <c r="H972" s="16">
        <f t="shared" ca="1" si="23"/>
        <v>-4.0113131728917492E-2</v>
      </c>
    </row>
    <row r="973" spans="7:8" x14ac:dyDescent="0.35">
      <c r="G973" s="215">
        <v>966</v>
      </c>
      <c r="H973" s="16">
        <f t="shared" ca="1" si="23"/>
        <v>-0.20207922550776775</v>
      </c>
    </row>
    <row r="974" spans="7:8" x14ac:dyDescent="0.35">
      <c r="G974" s="215">
        <v>967</v>
      </c>
      <c r="H974" s="16">
        <f t="shared" ca="1" si="23"/>
        <v>0.10066083290042407</v>
      </c>
    </row>
    <row r="975" spans="7:8" x14ac:dyDescent="0.35">
      <c r="G975" s="215">
        <v>968</v>
      </c>
      <c r="H975" s="16">
        <f t="shared" ca="1" si="23"/>
        <v>0.20529654172133982</v>
      </c>
    </row>
    <row r="976" spans="7:8" x14ac:dyDescent="0.35">
      <c r="G976" s="215">
        <v>969</v>
      </c>
      <c r="H976" s="16">
        <f t="shared" ca="1" si="23"/>
        <v>4.6359002630443472E-2</v>
      </c>
    </row>
    <row r="977" spans="7:8" x14ac:dyDescent="0.35">
      <c r="G977" s="215">
        <v>970</v>
      </c>
      <c r="H977" s="16">
        <f t="shared" ca="1" si="23"/>
        <v>0.12288411477571068</v>
      </c>
    </row>
    <row r="978" spans="7:8" x14ac:dyDescent="0.35">
      <c r="G978" s="215">
        <v>971</v>
      </c>
      <c r="H978" s="16">
        <f t="shared" ca="1" si="23"/>
        <v>0.11302663121330495</v>
      </c>
    </row>
    <row r="979" spans="7:8" x14ac:dyDescent="0.35">
      <c r="G979" s="215">
        <v>972</v>
      </c>
      <c r="H979" s="16">
        <f t="shared" ca="1" si="23"/>
        <v>2.5937945510649617E-2</v>
      </c>
    </row>
    <row r="980" spans="7:8" x14ac:dyDescent="0.35">
      <c r="G980" s="215">
        <v>973</v>
      </c>
      <c r="H980" s="16">
        <f t="shared" ca="1" si="23"/>
        <v>2.7707705507264275E-2</v>
      </c>
    </row>
    <row r="981" spans="7:8" x14ac:dyDescent="0.35">
      <c r="G981" s="215">
        <v>974</v>
      </c>
      <c r="H981" s="16">
        <f t="shared" ca="1" si="23"/>
        <v>0.16314698550648313</v>
      </c>
    </row>
    <row r="982" spans="7:8" x14ac:dyDescent="0.35">
      <c r="G982" s="215">
        <v>975</v>
      </c>
      <c r="H982" s="16">
        <f t="shared" ca="1" si="23"/>
        <v>3.4699629753921074E-2</v>
      </c>
    </row>
    <row r="983" spans="7:8" x14ac:dyDescent="0.35">
      <c r="G983" s="215">
        <v>976</v>
      </c>
      <c r="H983" s="16">
        <f t="shared" ca="1" si="23"/>
        <v>8.4197616003699266E-2</v>
      </c>
    </row>
    <row r="984" spans="7:8" x14ac:dyDescent="0.35">
      <c r="G984" s="215">
        <v>977</v>
      </c>
      <c r="H984" s="16">
        <f t="shared" ca="1" si="23"/>
        <v>-1.1882964980192551E-2</v>
      </c>
    </row>
    <row r="985" spans="7:8" x14ac:dyDescent="0.35">
      <c r="G985" s="215">
        <v>978</v>
      </c>
      <c r="H985" s="16">
        <f t="shared" ca="1" si="23"/>
        <v>4.1558473263837964E-2</v>
      </c>
    </row>
    <row r="986" spans="7:8" x14ac:dyDescent="0.35">
      <c r="G986" s="215">
        <v>979</v>
      </c>
      <c r="H986" s="16">
        <f t="shared" ca="1" si="23"/>
        <v>7.4354790221571543E-2</v>
      </c>
    </row>
    <row r="987" spans="7:8" x14ac:dyDescent="0.35">
      <c r="G987" s="215">
        <v>980</v>
      </c>
      <c r="H987" s="16">
        <f t="shared" ca="1" si="23"/>
        <v>4.2944553217095487E-3</v>
      </c>
    </row>
    <row r="988" spans="7:8" x14ac:dyDescent="0.35">
      <c r="G988" s="215">
        <v>981</v>
      </c>
      <c r="H988" s="16">
        <f t="shared" ca="1" si="23"/>
        <v>-4.1810226327530196E-3</v>
      </c>
    </row>
    <row r="989" spans="7:8" x14ac:dyDescent="0.35">
      <c r="G989" s="215">
        <v>982</v>
      </c>
      <c r="H989" s="16">
        <f t="shared" ca="1" si="23"/>
        <v>-4.4252394247019974E-2</v>
      </c>
    </row>
    <row r="990" spans="7:8" x14ac:dyDescent="0.35">
      <c r="G990" s="215">
        <v>983</v>
      </c>
      <c r="H990" s="16">
        <f t="shared" ca="1" si="23"/>
        <v>0.1050194695527351</v>
      </c>
    </row>
    <row r="991" spans="7:8" x14ac:dyDescent="0.35">
      <c r="G991" s="215">
        <v>984</v>
      </c>
      <c r="H991" s="16">
        <f t="shared" ca="1" si="23"/>
        <v>1.7308764754916245E-5</v>
      </c>
    </row>
    <row r="992" spans="7:8" x14ac:dyDescent="0.35">
      <c r="G992" s="215">
        <v>985</v>
      </c>
      <c r="H992" s="16">
        <f t="shared" ca="1" si="23"/>
        <v>-6.626562319009946E-3</v>
      </c>
    </row>
    <row r="993" spans="7:8" x14ac:dyDescent="0.35">
      <c r="G993" s="215">
        <v>986</v>
      </c>
      <c r="H993" s="16">
        <f t="shared" ca="1" si="23"/>
        <v>-1.0550289268842824E-2</v>
      </c>
    </row>
    <row r="994" spans="7:8" x14ac:dyDescent="0.35">
      <c r="G994" s="215">
        <v>987</v>
      </c>
      <c r="H994" s="16">
        <f t="shared" ca="1" si="23"/>
        <v>6.5864387117549134E-2</v>
      </c>
    </row>
    <row r="995" spans="7:8" x14ac:dyDescent="0.35">
      <c r="G995" s="215">
        <v>988</v>
      </c>
      <c r="H995" s="16">
        <f t="shared" ca="1" si="23"/>
        <v>-7.2148410538388705E-2</v>
      </c>
    </row>
    <row r="996" spans="7:8" x14ac:dyDescent="0.35">
      <c r="G996" s="215">
        <v>989</v>
      </c>
      <c r="H996" s="16">
        <f t="shared" ca="1" si="23"/>
        <v>1.6920953997109342E-2</v>
      </c>
    </row>
    <row r="997" spans="7:8" x14ac:dyDescent="0.35">
      <c r="G997" s="215">
        <v>990</v>
      </c>
      <c r="H997" s="16">
        <f t="shared" ca="1" si="23"/>
        <v>-7.7813516454068296E-2</v>
      </c>
    </row>
    <row r="998" spans="7:8" x14ac:dyDescent="0.35">
      <c r="G998" s="215">
        <v>991</v>
      </c>
      <c r="H998" s="16">
        <f t="shared" ca="1" si="23"/>
        <v>0.12077885989980808</v>
      </c>
    </row>
    <row r="999" spans="7:8" x14ac:dyDescent="0.35">
      <c r="G999" s="215">
        <v>992</v>
      </c>
      <c r="H999" s="16">
        <f t="shared" ca="1" si="23"/>
        <v>-2.4046966567210486E-2</v>
      </c>
    </row>
    <row r="1000" spans="7:8" x14ac:dyDescent="0.35">
      <c r="G1000" s="215">
        <v>993</v>
      </c>
      <c r="H1000" s="16">
        <f t="shared" ca="1" si="23"/>
        <v>0.21889461850912967</v>
      </c>
    </row>
    <row r="1001" spans="7:8" x14ac:dyDescent="0.35">
      <c r="G1001" s="215">
        <v>994</v>
      </c>
      <c r="H1001" s="16">
        <f t="shared" ca="1" si="23"/>
        <v>-4.8699116338366086E-2</v>
      </c>
    </row>
    <row r="1002" spans="7:8" x14ac:dyDescent="0.35">
      <c r="G1002" s="215">
        <v>995</v>
      </c>
      <c r="H1002" s="16">
        <f t="shared" ca="1" si="23"/>
        <v>-6.4981104827653416E-2</v>
      </c>
    </row>
    <row r="1003" spans="7:8" x14ac:dyDescent="0.35">
      <c r="G1003" s="215">
        <v>996</v>
      </c>
      <c r="H1003" s="16">
        <f t="shared" ca="1" si="23"/>
        <v>2.640860705321995E-2</v>
      </c>
    </row>
    <row r="1004" spans="7:8" x14ac:dyDescent="0.35">
      <c r="G1004" s="215">
        <v>997</v>
      </c>
      <c r="H1004" s="16">
        <f t="shared" ca="1" si="23"/>
        <v>0.13285579422687005</v>
      </c>
    </row>
    <row r="1005" spans="7:8" x14ac:dyDescent="0.35">
      <c r="G1005" s="215">
        <v>998</v>
      </c>
      <c r="H1005" s="16">
        <f t="shared" ca="1" si="23"/>
        <v>-5.1461777751286505E-2</v>
      </c>
    </row>
    <row r="1006" spans="7:8" x14ac:dyDescent="0.35">
      <c r="G1006" s="215">
        <v>999</v>
      </c>
      <c r="H1006" s="16">
        <f t="shared" ca="1" si="23"/>
        <v>5.1268985092101677E-2</v>
      </c>
    </row>
    <row r="1007" spans="7:8" x14ac:dyDescent="0.35">
      <c r="G1007" s="215">
        <v>1000</v>
      </c>
      <c r="H1007" s="16">
        <f t="shared" ca="1" si="23"/>
        <v>3.366269521159997E-3</v>
      </c>
    </row>
    <row r="1008" spans="7:8" x14ac:dyDescent="0.35">
      <c r="G1008" s="215">
        <v>1001</v>
      </c>
      <c r="H1008" s="16">
        <f t="shared" ca="1" si="23"/>
        <v>4.6503427774275699E-2</v>
      </c>
    </row>
    <row r="1009" spans="7:8" x14ac:dyDescent="0.35">
      <c r="G1009" s="215">
        <v>1002</v>
      </c>
      <c r="H1009" s="16">
        <f t="shared" ca="1" si="23"/>
        <v>-0.13746099371144485</v>
      </c>
    </row>
    <row r="1010" spans="7:8" x14ac:dyDescent="0.35">
      <c r="G1010" s="215">
        <v>1003</v>
      </c>
      <c r="H1010" s="16">
        <f t="shared" ca="1" si="23"/>
        <v>-0.11221984561722785</v>
      </c>
    </row>
    <row r="1011" spans="7:8" x14ac:dyDescent="0.35">
      <c r="G1011" s="215">
        <v>1004</v>
      </c>
      <c r="H1011" s="16">
        <f t="shared" ca="1" si="23"/>
        <v>6.2688425646590745E-2</v>
      </c>
    </row>
    <row r="1012" spans="7:8" x14ac:dyDescent="0.35">
      <c r="G1012" s="215">
        <v>1005</v>
      </c>
      <c r="H1012" s="16">
        <f t="shared" ca="1" si="23"/>
        <v>0.18084993338792532</v>
      </c>
    </row>
    <row r="1013" spans="7:8" x14ac:dyDescent="0.35">
      <c r="G1013" s="215">
        <v>1006</v>
      </c>
      <c r="H1013" s="16">
        <f t="shared" ca="1" si="23"/>
        <v>-4.6429751713658263E-2</v>
      </c>
    </row>
    <row r="1014" spans="7:8" x14ac:dyDescent="0.35">
      <c r="G1014" s="215">
        <v>1007</v>
      </c>
      <c r="H1014" s="16">
        <f t="shared" ca="1" si="23"/>
        <v>9.2878934863967491E-2</v>
      </c>
    </row>
    <row r="1015" spans="7:8" x14ac:dyDescent="0.35">
      <c r="G1015" s="215">
        <v>1008</v>
      </c>
      <c r="H1015" s="16">
        <f t="shared" ca="1" si="23"/>
        <v>-9.0626060781534221E-5</v>
      </c>
    </row>
    <row r="1016" spans="7:8" x14ac:dyDescent="0.35">
      <c r="G1016" s="215">
        <v>1009</v>
      </c>
      <c r="H1016" s="16">
        <f t="shared" ca="1" si="23"/>
        <v>-7.920667819725339E-3</v>
      </c>
    </row>
    <row r="1017" spans="7:8" x14ac:dyDescent="0.35">
      <c r="G1017" s="215">
        <v>1010</v>
      </c>
      <c r="H1017" s="16">
        <f t="shared" ca="1" si="23"/>
        <v>3.1810377531955987E-2</v>
      </c>
    </row>
    <row r="1018" spans="7:8" x14ac:dyDescent="0.35">
      <c r="G1018" s="215">
        <v>1011</v>
      </c>
      <c r="H1018" s="16">
        <f t="shared" ca="1" si="23"/>
        <v>0.19701659175815647</v>
      </c>
    </row>
    <row r="1019" spans="7:8" x14ac:dyDescent="0.35">
      <c r="G1019" s="215">
        <v>1012</v>
      </c>
      <c r="H1019" s="16">
        <f t="shared" ca="1" si="23"/>
        <v>3.9526945739955299E-2</v>
      </c>
    </row>
    <row r="1020" spans="7:8" x14ac:dyDescent="0.35">
      <c r="G1020" s="215">
        <v>1013</v>
      </c>
      <c r="H1020" s="16">
        <f t="shared" ca="1" si="23"/>
        <v>5.4729471311522476E-2</v>
      </c>
    </row>
    <row r="1021" spans="7:8" x14ac:dyDescent="0.35">
      <c r="G1021" s="215">
        <v>1014</v>
      </c>
      <c r="H1021" s="16">
        <f t="shared" ca="1" si="23"/>
        <v>6.7171612843799758E-2</v>
      </c>
    </row>
    <row r="1022" spans="7:8" x14ac:dyDescent="0.35">
      <c r="G1022" s="215">
        <v>1015</v>
      </c>
      <c r="H1022" s="16">
        <f t="shared" ca="1" si="23"/>
        <v>7.0310145223159315E-2</v>
      </c>
    </row>
    <row r="1023" spans="7:8" x14ac:dyDescent="0.35">
      <c r="G1023" s="215">
        <v>1016</v>
      </c>
      <c r="H1023" s="16">
        <f t="shared" ca="1" si="23"/>
        <v>-1.5900127235589069E-2</v>
      </c>
    </row>
    <row r="1024" spans="7:8" x14ac:dyDescent="0.35">
      <c r="G1024" s="215">
        <v>1017</v>
      </c>
      <c r="H1024" s="16">
        <f t="shared" ca="1" si="23"/>
        <v>-9.6671546743770057E-2</v>
      </c>
    </row>
    <row r="1025" spans="7:8" x14ac:dyDescent="0.35">
      <c r="G1025" s="215">
        <v>1018</v>
      </c>
      <c r="H1025" s="16">
        <f t="shared" ca="1" si="23"/>
        <v>-0.10625307528394115</v>
      </c>
    </row>
    <row r="1026" spans="7:8" x14ac:dyDescent="0.35">
      <c r="G1026" s="215">
        <v>1019</v>
      </c>
      <c r="H1026" s="16">
        <f t="shared" ca="1" si="23"/>
        <v>-3.8140001092564227E-2</v>
      </c>
    </row>
    <row r="1027" spans="7:8" x14ac:dyDescent="0.35">
      <c r="G1027" s="215">
        <v>1020</v>
      </c>
      <c r="H1027" s="16">
        <f t="shared" ca="1" si="23"/>
        <v>-1.9720839674196022E-3</v>
      </c>
    </row>
    <row r="1028" spans="7:8" x14ac:dyDescent="0.35">
      <c r="G1028" s="215">
        <v>1021</v>
      </c>
      <c r="H1028" s="16">
        <f t="shared" ca="1" si="23"/>
        <v>3.5605166144709981E-4</v>
      </c>
    </row>
    <row r="1029" spans="7:8" x14ac:dyDescent="0.35">
      <c r="G1029" s="215">
        <v>1022</v>
      </c>
      <c r="H1029" s="16">
        <f t="shared" ca="1" si="23"/>
        <v>0.11111993420944884</v>
      </c>
    </row>
    <row r="1030" spans="7:8" x14ac:dyDescent="0.35">
      <c r="G1030" s="215">
        <v>1023</v>
      </c>
      <c r="H1030" s="16">
        <f t="shared" ca="1" si="23"/>
        <v>6.5295506249855612E-2</v>
      </c>
    </row>
    <row r="1031" spans="7:8" x14ac:dyDescent="0.35">
      <c r="G1031" s="215">
        <v>1024</v>
      </c>
      <c r="H1031" s="16">
        <f t="shared" ca="1" si="23"/>
        <v>-5.1977480704771567E-2</v>
      </c>
    </row>
    <row r="1032" spans="7:8" x14ac:dyDescent="0.35">
      <c r="G1032" s="215">
        <v>1025</v>
      </c>
      <c r="H1032" s="16">
        <f t="shared" ref="H1032:H1095" ca="1" si="24">_xlfn.NORM.INV(RAND(),M$10,M$11)</f>
        <v>-0.14780143428472911</v>
      </c>
    </row>
    <row r="1033" spans="7:8" x14ac:dyDescent="0.35">
      <c r="G1033" s="215">
        <v>1026</v>
      </c>
      <c r="H1033" s="16">
        <f t="shared" ca="1" si="24"/>
        <v>-1.9983646611421574E-3</v>
      </c>
    </row>
    <row r="1034" spans="7:8" x14ac:dyDescent="0.35">
      <c r="G1034" s="215">
        <v>1027</v>
      </c>
      <c r="H1034" s="16">
        <f t="shared" ca="1" si="24"/>
        <v>-0.10162151363422682</v>
      </c>
    </row>
    <row r="1035" spans="7:8" x14ac:dyDescent="0.35">
      <c r="G1035" s="215">
        <v>1028</v>
      </c>
      <c r="H1035" s="16">
        <f t="shared" ca="1" si="24"/>
        <v>8.2186314984541459E-2</v>
      </c>
    </row>
    <row r="1036" spans="7:8" x14ac:dyDescent="0.35">
      <c r="G1036" s="215">
        <v>1029</v>
      </c>
      <c r="H1036" s="16">
        <f t="shared" ca="1" si="24"/>
        <v>-9.7220897711128226E-3</v>
      </c>
    </row>
    <row r="1037" spans="7:8" x14ac:dyDescent="0.35">
      <c r="G1037" s="215">
        <v>1030</v>
      </c>
      <c r="H1037" s="16">
        <f t="shared" ca="1" si="24"/>
        <v>-6.181866795865909E-3</v>
      </c>
    </row>
    <row r="1038" spans="7:8" x14ac:dyDescent="0.35">
      <c r="G1038" s="215">
        <v>1031</v>
      </c>
      <c r="H1038" s="16">
        <f t="shared" ca="1" si="24"/>
        <v>-0.12658004430256015</v>
      </c>
    </row>
    <row r="1039" spans="7:8" x14ac:dyDescent="0.35">
      <c r="G1039" s="215">
        <v>1032</v>
      </c>
      <c r="H1039" s="16">
        <f t="shared" ca="1" si="24"/>
        <v>3.4813296002593253E-2</v>
      </c>
    </row>
    <row r="1040" spans="7:8" x14ac:dyDescent="0.35">
      <c r="G1040" s="215">
        <v>1033</v>
      </c>
      <c r="H1040" s="16">
        <f t="shared" ca="1" si="24"/>
        <v>-4.8822180287635963E-2</v>
      </c>
    </row>
    <row r="1041" spans="7:8" x14ac:dyDescent="0.35">
      <c r="G1041" s="215">
        <v>1034</v>
      </c>
      <c r="H1041" s="16">
        <f t="shared" ca="1" si="24"/>
        <v>7.1047296258563208E-2</v>
      </c>
    </row>
    <row r="1042" spans="7:8" x14ac:dyDescent="0.35">
      <c r="G1042" s="215">
        <v>1035</v>
      </c>
      <c r="H1042" s="16">
        <f t="shared" ca="1" si="24"/>
        <v>0.1214639499384248</v>
      </c>
    </row>
    <row r="1043" spans="7:8" x14ac:dyDescent="0.35">
      <c r="G1043" s="215">
        <v>1036</v>
      </c>
      <c r="H1043" s="16">
        <f t="shared" ca="1" si="24"/>
        <v>-7.009898279486336E-2</v>
      </c>
    </row>
    <row r="1044" spans="7:8" x14ac:dyDescent="0.35">
      <c r="G1044" s="215">
        <v>1037</v>
      </c>
      <c r="H1044" s="16">
        <f t="shared" ca="1" si="24"/>
        <v>2.0866420974219486E-2</v>
      </c>
    </row>
    <row r="1045" spans="7:8" x14ac:dyDescent="0.35">
      <c r="G1045" s="215">
        <v>1038</v>
      </c>
      <c r="H1045" s="16">
        <f t="shared" ca="1" si="24"/>
        <v>-5.7543965224541901E-2</v>
      </c>
    </row>
    <row r="1046" spans="7:8" x14ac:dyDescent="0.35">
      <c r="G1046" s="215">
        <v>1039</v>
      </c>
      <c r="H1046" s="16">
        <f t="shared" ca="1" si="24"/>
        <v>-5.9169203441114371E-2</v>
      </c>
    </row>
    <row r="1047" spans="7:8" x14ac:dyDescent="0.35">
      <c r="G1047" s="215">
        <v>1040</v>
      </c>
      <c r="H1047" s="16">
        <f t="shared" ca="1" si="24"/>
        <v>-0.11917711151572163</v>
      </c>
    </row>
    <row r="1048" spans="7:8" x14ac:dyDescent="0.35">
      <c r="G1048" s="215">
        <v>1041</v>
      </c>
      <c r="H1048" s="16">
        <f t="shared" ca="1" si="24"/>
        <v>-5.2055279969212248E-2</v>
      </c>
    </row>
    <row r="1049" spans="7:8" x14ac:dyDescent="0.35">
      <c r="G1049" s="215">
        <v>1042</v>
      </c>
      <c r="H1049" s="16">
        <f t="shared" ca="1" si="24"/>
        <v>0.1310945099493693</v>
      </c>
    </row>
    <row r="1050" spans="7:8" x14ac:dyDescent="0.35">
      <c r="G1050" s="215">
        <v>1043</v>
      </c>
      <c r="H1050" s="16">
        <f t="shared" ca="1" si="24"/>
        <v>9.0711609553835143E-2</v>
      </c>
    </row>
    <row r="1051" spans="7:8" x14ac:dyDescent="0.35">
      <c r="G1051" s="215">
        <v>1044</v>
      </c>
      <c r="H1051" s="16">
        <f t="shared" ca="1" si="24"/>
        <v>3.6166449031374732E-2</v>
      </c>
    </row>
    <row r="1052" spans="7:8" x14ac:dyDescent="0.35">
      <c r="G1052" s="215">
        <v>1045</v>
      </c>
      <c r="H1052" s="16">
        <f t="shared" ca="1" si="24"/>
        <v>-8.9852745783364163E-2</v>
      </c>
    </row>
    <row r="1053" spans="7:8" x14ac:dyDescent="0.35">
      <c r="G1053" s="215">
        <v>1046</v>
      </c>
      <c r="H1053" s="16">
        <f t="shared" ca="1" si="24"/>
        <v>7.2957263022089269E-2</v>
      </c>
    </row>
    <row r="1054" spans="7:8" x14ac:dyDescent="0.35">
      <c r="G1054" s="215">
        <v>1047</v>
      </c>
      <c r="H1054" s="16">
        <f t="shared" ca="1" si="24"/>
        <v>-0.12273349561976904</v>
      </c>
    </row>
    <row r="1055" spans="7:8" x14ac:dyDescent="0.35">
      <c r="G1055" s="215">
        <v>1048</v>
      </c>
      <c r="H1055" s="16">
        <f t="shared" ca="1" si="24"/>
        <v>1.048168520557299E-3</v>
      </c>
    </row>
    <row r="1056" spans="7:8" x14ac:dyDescent="0.35">
      <c r="G1056" s="215">
        <v>1049</v>
      </c>
      <c r="H1056" s="16">
        <f t="shared" ca="1" si="24"/>
        <v>-0.11894586392450246</v>
      </c>
    </row>
    <row r="1057" spans="7:8" x14ac:dyDescent="0.35">
      <c r="G1057" s="215">
        <v>1050</v>
      </c>
      <c r="H1057" s="16">
        <f t="shared" ca="1" si="24"/>
        <v>-9.5521780658871042E-2</v>
      </c>
    </row>
    <row r="1058" spans="7:8" x14ac:dyDescent="0.35">
      <c r="G1058" s="215">
        <v>1051</v>
      </c>
      <c r="H1058" s="16">
        <f t="shared" ca="1" si="24"/>
        <v>8.8301842595038024E-2</v>
      </c>
    </row>
    <row r="1059" spans="7:8" x14ac:dyDescent="0.35">
      <c r="G1059" s="215">
        <v>1052</v>
      </c>
      <c r="H1059" s="16">
        <f t="shared" ca="1" si="24"/>
        <v>0.10719900807822715</v>
      </c>
    </row>
    <row r="1060" spans="7:8" x14ac:dyDescent="0.35">
      <c r="G1060" s="215">
        <v>1053</v>
      </c>
      <c r="H1060" s="16">
        <f t="shared" ca="1" si="24"/>
        <v>3.8742273208219047E-2</v>
      </c>
    </row>
    <row r="1061" spans="7:8" x14ac:dyDescent="0.35">
      <c r="G1061" s="215">
        <v>1054</v>
      </c>
      <c r="H1061" s="16">
        <f t="shared" ca="1" si="24"/>
        <v>-1.3129322860497047E-2</v>
      </c>
    </row>
    <row r="1062" spans="7:8" x14ac:dyDescent="0.35">
      <c r="G1062" s="215">
        <v>1055</v>
      </c>
      <c r="H1062" s="16">
        <f t="shared" ca="1" si="24"/>
        <v>-5.2165407974415309E-2</v>
      </c>
    </row>
    <row r="1063" spans="7:8" x14ac:dyDescent="0.35">
      <c r="G1063" s="215">
        <v>1056</v>
      </c>
      <c r="H1063" s="16">
        <f t="shared" ca="1" si="24"/>
        <v>-7.1040796681631185E-2</v>
      </c>
    </row>
    <row r="1064" spans="7:8" x14ac:dyDescent="0.35">
      <c r="G1064" s="215">
        <v>1057</v>
      </c>
      <c r="H1064" s="16">
        <f t="shared" ca="1" si="24"/>
        <v>7.2635535627822753E-2</v>
      </c>
    </row>
    <row r="1065" spans="7:8" x14ac:dyDescent="0.35">
      <c r="G1065" s="215">
        <v>1058</v>
      </c>
      <c r="H1065" s="16">
        <f t="shared" ca="1" si="24"/>
        <v>-3.1752799098844847E-2</v>
      </c>
    </row>
    <row r="1066" spans="7:8" x14ac:dyDescent="0.35">
      <c r="G1066" s="215">
        <v>1059</v>
      </c>
      <c r="H1066" s="16">
        <f t="shared" ca="1" si="24"/>
        <v>-8.3200134433381367E-2</v>
      </c>
    </row>
    <row r="1067" spans="7:8" x14ac:dyDescent="0.35">
      <c r="G1067" s="215">
        <v>1060</v>
      </c>
      <c r="H1067" s="16">
        <f t="shared" ca="1" si="24"/>
        <v>-4.1196411765599059E-2</v>
      </c>
    </row>
    <row r="1068" spans="7:8" x14ac:dyDescent="0.35">
      <c r="G1068" s="215">
        <v>1061</v>
      </c>
      <c r="H1068" s="16">
        <f t="shared" ca="1" si="24"/>
        <v>-8.2969646397736893E-3</v>
      </c>
    </row>
    <row r="1069" spans="7:8" x14ac:dyDescent="0.35">
      <c r="G1069" s="215">
        <v>1062</v>
      </c>
      <c r="H1069" s="16">
        <f t="shared" ca="1" si="24"/>
        <v>8.8048117863543787E-2</v>
      </c>
    </row>
    <row r="1070" spans="7:8" x14ac:dyDescent="0.35">
      <c r="G1070" s="215">
        <v>1063</v>
      </c>
      <c r="H1070" s="16">
        <f t="shared" ca="1" si="24"/>
        <v>-7.7427772927763011E-2</v>
      </c>
    </row>
    <row r="1071" spans="7:8" x14ac:dyDescent="0.35">
      <c r="G1071" s="215">
        <v>1064</v>
      </c>
      <c r="H1071" s="16">
        <f t="shared" ca="1" si="24"/>
        <v>9.9675096167658128E-2</v>
      </c>
    </row>
    <row r="1072" spans="7:8" x14ac:dyDescent="0.35">
      <c r="G1072" s="215">
        <v>1065</v>
      </c>
      <c r="H1072" s="16">
        <f t="shared" ca="1" si="24"/>
        <v>-3.8687169639039731E-2</v>
      </c>
    </row>
    <row r="1073" spans="7:8" x14ac:dyDescent="0.35">
      <c r="G1073" s="215">
        <v>1066</v>
      </c>
      <c r="H1073" s="16">
        <f t="shared" ca="1" si="24"/>
        <v>-1.9889795789540279E-2</v>
      </c>
    </row>
    <row r="1074" spans="7:8" x14ac:dyDescent="0.35">
      <c r="G1074" s="215">
        <v>1067</v>
      </c>
      <c r="H1074" s="16">
        <f t="shared" ca="1" si="24"/>
        <v>-4.6958417280380554E-2</v>
      </c>
    </row>
    <row r="1075" spans="7:8" x14ac:dyDescent="0.35">
      <c r="G1075" s="215">
        <v>1068</v>
      </c>
      <c r="H1075" s="16">
        <f t="shared" ca="1" si="24"/>
        <v>0.16277839153823143</v>
      </c>
    </row>
    <row r="1076" spans="7:8" x14ac:dyDescent="0.35">
      <c r="G1076" s="215">
        <v>1069</v>
      </c>
      <c r="H1076" s="16">
        <f t="shared" ca="1" si="24"/>
        <v>-7.2848364101415528E-2</v>
      </c>
    </row>
    <row r="1077" spans="7:8" x14ac:dyDescent="0.35">
      <c r="G1077" s="215">
        <v>1070</v>
      </c>
      <c r="H1077" s="16">
        <f t="shared" ca="1" si="24"/>
        <v>-4.1449707569966063E-2</v>
      </c>
    </row>
    <row r="1078" spans="7:8" x14ac:dyDescent="0.35">
      <c r="G1078" s="215">
        <v>1071</v>
      </c>
      <c r="H1078" s="16">
        <f t="shared" ca="1" si="24"/>
        <v>1.2422398132366575E-2</v>
      </c>
    </row>
    <row r="1079" spans="7:8" x14ac:dyDescent="0.35">
      <c r="G1079" s="215">
        <v>1072</v>
      </c>
      <c r="H1079" s="16">
        <f t="shared" ca="1" si="24"/>
        <v>-5.3124539976172017E-2</v>
      </c>
    </row>
    <row r="1080" spans="7:8" x14ac:dyDescent="0.35">
      <c r="G1080" s="215">
        <v>1073</v>
      </c>
      <c r="H1080" s="16">
        <f t="shared" ca="1" si="24"/>
        <v>-0.11457204985462882</v>
      </c>
    </row>
    <row r="1081" spans="7:8" x14ac:dyDescent="0.35">
      <c r="G1081" s="215">
        <v>1074</v>
      </c>
      <c r="H1081" s="16">
        <f t="shared" ca="1" si="24"/>
        <v>-0.23043065350871683</v>
      </c>
    </row>
    <row r="1082" spans="7:8" x14ac:dyDescent="0.35">
      <c r="G1082" s="215">
        <v>1075</v>
      </c>
      <c r="H1082" s="16">
        <f t="shared" ca="1" si="24"/>
        <v>-0.23133719632852184</v>
      </c>
    </row>
    <row r="1083" spans="7:8" x14ac:dyDescent="0.35">
      <c r="G1083" s="215">
        <v>1076</v>
      </c>
      <c r="H1083" s="16">
        <f t="shared" ca="1" si="24"/>
        <v>-7.5249000049424114E-2</v>
      </c>
    </row>
    <row r="1084" spans="7:8" x14ac:dyDescent="0.35">
      <c r="G1084" s="215">
        <v>1077</v>
      </c>
      <c r="H1084" s="16">
        <f t="shared" ca="1" si="24"/>
        <v>4.1204965109112361E-2</v>
      </c>
    </row>
    <row r="1085" spans="7:8" x14ac:dyDescent="0.35">
      <c r="G1085" s="215">
        <v>1078</v>
      </c>
      <c r="H1085" s="16">
        <f t="shared" ca="1" si="24"/>
        <v>3.2919086800146755E-2</v>
      </c>
    </row>
    <row r="1086" spans="7:8" x14ac:dyDescent="0.35">
      <c r="G1086" s="215">
        <v>1079</v>
      </c>
      <c r="H1086" s="16">
        <f t="shared" ca="1" si="24"/>
        <v>-6.8703002226413595E-2</v>
      </c>
    </row>
    <row r="1087" spans="7:8" x14ac:dyDescent="0.35">
      <c r="G1087" s="215">
        <v>1080</v>
      </c>
      <c r="H1087" s="16">
        <f t="shared" ca="1" si="24"/>
        <v>-7.0810233107966594E-2</v>
      </c>
    </row>
    <row r="1088" spans="7:8" x14ac:dyDescent="0.35">
      <c r="G1088" s="215">
        <v>1081</v>
      </c>
      <c r="H1088" s="16">
        <f t="shared" ca="1" si="24"/>
        <v>4.1312375440639246E-2</v>
      </c>
    </row>
    <row r="1089" spans="7:8" x14ac:dyDescent="0.35">
      <c r="G1089" s="215">
        <v>1082</v>
      </c>
      <c r="H1089" s="16">
        <f t="shared" ca="1" si="24"/>
        <v>1.9595942016685262E-2</v>
      </c>
    </row>
    <row r="1090" spans="7:8" x14ac:dyDescent="0.35">
      <c r="G1090" s="215">
        <v>1083</v>
      </c>
      <c r="H1090" s="16">
        <f t="shared" ca="1" si="24"/>
        <v>-1.8186288268559569E-2</v>
      </c>
    </row>
    <row r="1091" spans="7:8" x14ac:dyDescent="0.35">
      <c r="G1091" s="215">
        <v>1084</v>
      </c>
      <c r="H1091" s="16">
        <f t="shared" ca="1" si="24"/>
        <v>0.10764018686482944</v>
      </c>
    </row>
    <row r="1092" spans="7:8" x14ac:dyDescent="0.35">
      <c r="G1092" s="215">
        <v>1085</v>
      </c>
      <c r="H1092" s="16">
        <f t="shared" ca="1" si="24"/>
        <v>6.1733228518420113E-2</v>
      </c>
    </row>
    <row r="1093" spans="7:8" x14ac:dyDescent="0.35">
      <c r="G1093" s="215">
        <v>1086</v>
      </c>
      <c r="H1093" s="16">
        <f t="shared" ca="1" si="24"/>
        <v>9.8933205470114804E-2</v>
      </c>
    </row>
    <row r="1094" spans="7:8" x14ac:dyDescent="0.35">
      <c r="G1094" s="215">
        <v>1087</v>
      </c>
      <c r="H1094" s="16">
        <f t="shared" ca="1" si="24"/>
        <v>3.0993458204615288E-2</v>
      </c>
    </row>
    <row r="1095" spans="7:8" x14ac:dyDescent="0.35">
      <c r="G1095" s="215">
        <v>1088</v>
      </c>
      <c r="H1095" s="16">
        <f t="shared" ca="1" si="24"/>
        <v>4.666152440824764E-2</v>
      </c>
    </row>
    <row r="1096" spans="7:8" x14ac:dyDescent="0.35">
      <c r="G1096" s="215">
        <v>1089</v>
      </c>
      <c r="H1096" s="16">
        <f t="shared" ref="H1096:H1159" ca="1" si="25">_xlfn.NORM.INV(RAND(),M$10,M$11)</f>
        <v>0.21949682053469954</v>
      </c>
    </row>
    <row r="1097" spans="7:8" x14ac:dyDescent="0.35">
      <c r="G1097" s="215">
        <v>1090</v>
      </c>
      <c r="H1097" s="16">
        <f t="shared" ca="1" si="25"/>
        <v>-7.8001534818572443E-2</v>
      </c>
    </row>
    <row r="1098" spans="7:8" x14ac:dyDescent="0.35">
      <c r="G1098" s="215">
        <v>1091</v>
      </c>
      <c r="H1098" s="16">
        <f t="shared" ca="1" si="25"/>
        <v>-2.1304866402480058E-2</v>
      </c>
    </row>
    <row r="1099" spans="7:8" x14ac:dyDescent="0.35">
      <c r="G1099" s="215">
        <v>1092</v>
      </c>
      <c r="H1099" s="16">
        <f t="shared" ca="1" si="25"/>
        <v>2.1468881907739039E-2</v>
      </c>
    </row>
    <row r="1100" spans="7:8" x14ac:dyDescent="0.35">
      <c r="G1100" s="215">
        <v>1093</v>
      </c>
      <c r="H1100" s="16">
        <f t="shared" ca="1" si="25"/>
        <v>9.7623165446249632E-2</v>
      </c>
    </row>
    <row r="1101" spans="7:8" x14ac:dyDescent="0.35">
      <c r="G1101" s="215">
        <v>1094</v>
      </c>
      <c r="H1101" s="16">
        <f t="shared" ca="1" si="25"/>
        <v>3.9785577006628756E-4</v>
      </c>
    </row>
    <row r="1102" spans="7:8" x14ac:dyDescent="0.35">
      <c r="G1102" s="215">
        <v>1095</v>
      </c>
      <c r="H1102" s="16">
        <f t="shared" ca="1" si="25"/>
        <v>0.11707145921685899</v>
      </c>
    </row>
    <row r="1103" spans="7:8" x14ac:dyDescent="0.35">
      <c r="G1103" s="215">
        <v>1096</v>
      </c>
      <c r="H1103" s="16">
        <f t="shared" ca="1" si="25"/>
        <v>-5.0336873496551027E-2</v>
      </c>
    </row>
    <row r="1104" spans="7:8" x14ac:dyDescent="0.35">
      <c r="G1104" s="215">
        <v>1097</v>
      </c>
      <c r="H1104" s="16">
        <f t="shared" ca="1" si="25"/>
        <v>5.8094932508359717E-2</v>
      </c>
    </row>
    <row r="1105" spans="7:8" x14ac:dyDescent="0.35">
      <c r="G1105" s="215">
        <v>1098</v>
      </c>
      <c r="H1105" s="16">
        <f t="shared" ca="1" si="25"/>
        <v>-0.18036463123733038</v>
      </c>
    </row>
    <row r="1106" spans="7:8" x14ac:dyDescent="0.35">
      <c r="G1106" s="215">
        <v>1099</v>
      </c>
      <c r="H1106" s="16">
        <f t="shared" ca="1" si="25"/>
        <v>-0.21049992462206527</v>
      </c>
    </row>
    <row r="1107" spans="7:8" x14ac:dyDescent="0.35">
      <c r="G1107" s="215">
        <v>1100</v>
      </c>
      <c r="H1107" s="16">
        <f t="shared" ca="1" si="25"/>
        <v>-0.13125441859408754</v>
      </c>
    </row>
    <row r="1108" spans="7:8" x14ac:dyDescent="0.35">
      <c r="G1108" s="215">
        <v>1101</v>
      </c>
      <c r="H1108" s="16">
        <f t="shared" ca="1" si="25"/>
        <v>0.15459143661698849</v>
      </c>
    </row>
    <row r="1109" spans="7:8" x14ac:dyDescent="0.35">
      <c r="G1109" s="215">
        <v>1102</v>
      </c>
      <c r="H1109" s="16">
        <f t="shared" ca="1" si="25"/>
        <v>0.11178630400149799</v>
      </c>
    </row>
    <row r="1110" spans="7:8" x14ac:dyDescent="0.35">
      <c r="G1110" s="215">
        <v>1103</v>
      </c>
      <c r="H1110" s="16">
        <f t="shared" ca="1" si="25"/>
        <v>9.1918134947425123E-2</v>
      </c>
    </row>
    <row r="1111" spans="7:8" x14ac:dyDescent="0.35">
      <c r="G1111" s="215">
        <v>1104</v>
      </c>
      <c r="H1111" s="16">
        <f t="shared" ca="1" si="25"/>
        <v>-1.3546497302085563E-2</v>
      </c>
    </row>
    <row r="1112" spans="7:8" x14ac:dyDescent="0.35">
      <c r="G1112" s="215">
        <v>1105</v>
      </c>
      <c r="H1112" s="16">
        <f t="shared" ca="1" si="25"/>
        <v>2.5594609315759409E-2</v>
      </c>
    </row>
    <row r="1113" spans="7:8" x14ac:dyDescent="0.35">
      <c r="G1113" s="215">
        <v>1106</v>
      </c>
      <c r="H1113" s="16">
        <f t="shared" ca="1" si="25"/>
        <v>6.5137919142551778E-2</v>
      </c>
    </row>
    <row r="1114" spans="7:8" x14ac:dyDescent="0.35">
      <c r="G1114" s="215">
        <v>1107</v>
      </c>
      <c r="H1114" s="16">
        <f t="shared" ca="1" si="25"/>
        <v>-5.7409481722768052E-2</v>
      </c>
    </row>
    <row r="1115" spans="7:8" x14ac:dyDescent="0.35">
      <c r="G1115" s="215">
        <v>1108</v>
      </c>
      <c r="H1115" s="16">
        <f t="shared" ca="1" si="25"/>
        <v>4.0607469106539604E-2</v>
      </c>
    </row>
    <row r="1116" spans="7:8" x14ac:dyDescent="0.35">
      <c r="G1116" s="215">
        <v>1109</v>
      </c>
      <c r="H1116" s="16">
        <f t="shared" ca="1" si="25"/>
        <v>5.5738022468569015E-2</v>
      </c>
    </row>
    <row r="1117" spans="7:8" x14ac:dyDescent="0.35">
      <c r="G1117" s="215">
        <v>1110</v>
      </c>
      <c r="H1117" s="16">
        <f t="shared" ca="1" si="25"/>
        <v>3.466793413219621E-2</v>
      </c>
    </row>
    <row r="1118" spans="7:8" x14ac:dyDescent="0.35">
      <c r="G1118" s="215">
        <v>1111</v>
      </c>
      <c r="H1118" s="16">
        <f t="shared" ca="1" si="25"/>
        <v>-2.3451672049984728E-2</v>
      </c>
    </row>
    <row r="1119" spans="7:8" x14ac:dyDescent="0.35">
      <c r="G1119" s="215">
        <v>1112</v>
      </c>
      <c r="H1119" s="16">
        <f t="shared" ca="1" si="25"/>
        <v>-7.0405221981647961E-2</v>
      </c>
    </row>
    <row r="1120" spans="7:8" x14ac:dyDescent="0.35">
      <c r="G1120" s="215">
        <v>1113</v>
      </c>
      <c r="H1120" s="16">
        <f t="shared" ca="1" si="25"/>
        <v>1.5232134393729099E-2</v>
      </c>
    </row>
    <row r="1121" spans="7:8" x14ac:dyDescent="0.35">
      <c r="G1121" s="215">
        <v>1114</v>
      </c>
      <c r="H1121" s="16">
        <f t="shared" ca="1" si="25"/>
        <v>-4.0217011191372123E-2</v>
      </c>
    </row>
    <row r="1122" spans="7:8" x14ac:dyDescent="0.35">
      <c r="G1122" s="215">
        <v>1115</v>
      </c>
      <c r="H1122" s="16">
        <f t="shared" ca="1" si="25"/>
        <v>6.7724822960192083E-2</v>
      </c>
    </row>
    <row r="1123" spans="7:8" x14ac:dyDescent="0.35">
      <c r="G1123" s="215">
        <v>1116</v>
      </c>
      <c r="H1123" s="16">
        <f t="shared" ca="1" si="25"/>
        <v>0.1520089581744542</v>
      </c>
    </row>
    <row r="1124" spans="7:8" x14ac:dyDescent="0.35">
      <c r="G1124" s="215">
        <v>1117</v>
      </c>
      <c r="H1124" s="16">
        <f t="shared" ca="1" si="25"/>
        <v>3.4829291653976177E-2</v>
      </c>
    </row>
    <row r="1125" spans="7:8" x14ac:dyDescent="0.35">
      <c r="G1125" s="215">
        <v>1118</v>
      </c>
      <c r="H1125" s="16">
        <f t="shared" ca="1" si="25"/>
        <v>1.2135601266726108E-2</v>
      </c>
    </row>
    <row r="1126" spans="7:8" x14ac:dyDescent="0.35">
      <c r="G1126" s="215">
        <v>1119</v>
      </c>
      <c r="H1126" s="16">
        <f t="shared" ca="1" si="25"/>
        <v>-0.19534141089861706</v>
      </c>
    </row>
    <row r="1127" spans="7:8" x14ac:dyDescent="0.35">
      <c r="G1127" s="215">
        <v>1120</v>
      </c>
      <c r="H1127" s="16">
        <f t="shared" ca="1" si="25"/>
        <v>2.3052784506876079E-3</v>
      </c>
    </row>
    <row r="1128" spans="7:8" x14ac:dyDescent="0.35">
      <c r="G1128" s="215">
        <v>1121</v>
      </c>
      <c r="H1128" s="16">
        <f t="shared" ca="1" si="25"/>
        <v>-6.1981354405369268E-3</v>
      </c>
    </row>
    <row r="1129" spans="7:8" x14ac:dyDescent="0.35">
      <c r="G1129" s="215">
        <v>1122</v>
      </c>
      <c r="H1129" s="16">
        <f t="shared" ca="1" si="25"/>
        <v>0.11294406316292217</v>
      </c>
    </row>
    <row r="1130" spans="7:8" x14ac:dyDescent="0.35">
      <c r="G1130" s="215">
        <v>1123</v>
      </c>
      <c r="H1130" s="16">
        <f t="shared" ca="1" si="25"/>
        <v>2.6233311784614979E-2</v>
      </c>
    </row>
    <row r="1131" spans="7:8" x14ac:dyDescent="0.35">
      <c r="G1131" s="215">
        <v>1124</v>
      </c>
      <c r="H1131" s="16">
        <f t="shared" ca="1" si="25"/>
        <v>5.537427389516375E-2</v>
      </c>
    </row>
    <row r="1132" spans="7:8" x14ac:dyDescent="0.35">
      <c r="G1132" s="215">
        <v>1125</v>
      </c>
      <c r="H1132" s="16">
        <f t="shared" ca="1" si="25"/>
        <v>3.0375755973561628E-2</v>
      </c>
    </row>
    <row r="1133" spans="7:8" x14ac:dyDescent="0.35">
      <c r="G1133" s="215">
        <v>1126</v>
      </c>
      <c r="H1133" s="16">
        <f t="shared" ca="1" si="25"/>
        <v>-0.13086784696471299</v>
      </c>
    </row>
    <row r="1134" spans="7:8" x14ac:dyDescent="0.35">
      <c r="G1134" s="215">
        <v>1127</v>
      </c>
      <c r="H1134" s="16">
        <f t="shared" ca="1" si="25"/>
        <v>2.801812479044867E-3</v>
      </c>
    </row>
    <row r="1135" spans="7:8" x14ac:dyDescent="0.35">
      <c r="G1135" s="215">
        <v>1128</v>
      </c>
      <c r="H1135" s="16">
        <f t="shared" ca="1" si="25"/>
        <v>3.4977338184976302E-2</v>
      </c>
    </row>
    <row r="1136" spans="7:8" x14ac:dyDescent="0.35">
      <c r="G1136" s="215">
        <v>1129</v>
      </c>
      <c r="H1136" s="16">
        <f t="shared" ca="1" si="25"/>
        <v>2.976617315897722E-2</v>
      </c>
    </row>
    <row r="1137" spans="7:8" x14ac:dyDescent="0.35">
      <c r="G1137" s="215">
        <v>1130</v>
      </c>
      <c r="H1137" s="16">
        <f t="shared" ca="1" si="25"/>
        <v>0.10822683392989066</v>
      </c>
    </row>
    <row r="1138" spans="7:8" x14ac:dyDescent="0.35">
      <c r="G1138" s="215">
        <v>1131</v>
      </c>
      <c r="H1138" s="16">
        <f t="shared" ca="1" si="25"/>
        <v>8.2227985237507101E-2</v>
      </c>
    </row>
    <row r="1139" spans="7:8" x14ac:dyDescent="0.35">
      <c r="G1139" s="215">
        <v>1132</v>
      </c>
      <c r="H1139" s="16">
        <f t="shared" ca="1" si="25"/>
        <v>9.4999324849649375E-2</v>
      </c>
    </row>
    <row r="1140" spans="7:8" x14ac:dyDescent="0.35">
      <c r="G1140" s="215">
        <v>1133</v>
      </c>
      <c r="H1140" s="16">
        <f t="shared" ca="1" si="25"/>
        <v>1.8889403198584544E-2</v>
      </c>
    </row>
    <row r="1141" spans="7:8" x14ac:dyDescent="0.35">
      <c r="G1141" s="215">
        <v>1134</v>
      </c>
      <c r="H1141" s="16">
        <f t="shared" ca="1" si="25"/>
        <v>-3.5722293931068835E-2</v>
      </c>
    </row>
    <row r="1142" spans="7:8" x14ac:dyDescent="0.35">
      <c r="G1142" s="215">
        <v>1135</v>
      </c>
      <c r="H1142" s="16">
        <f t="shared" ca="1" si="25"/>
        <v>-6.5547220739094442E-2</v>
      </c>
    </row>
    <row r="1143" spans="7:8" x14ac:dyDescent="0.35">
      <c r="G1143" s="215">
        <v>1136</v>
      </c>
      <c r="H1143" s="16">
        <f t="shared" ca="1" si="25"/>
        <v>-3.8214865865022173E-4</v>
      </c>
    </row>
    <row r="1144" spans="7:8" x14ac:dyDescent="0.35">
      <c r="G1144" s="215">
        <v>1137</v>
      </c>
      <c r="H1144" s="16">
        <f t="shared" ca="1" si="25"/>
        <v>-8.7719215072809803E-2</v>
      </c>
    </row>
    <row r="1145" spans="7:8" x14ac:dyDescent="0.35">
      <c r="G1145" s="215">
        <v>1138</v>
      </c>
      <c r="H1145" s="16">
        <f t="shared" ca="1" si="25"/>
        <v>9.3699369580440103E-2</v>
      </c>
    </row>
    <row r="1146" spans="7:8" x14ac:dyDescent="0.35">
      <c r="G1146" s="215">
        <v>1139</v>
      </c>
      <c r="H1146" s="16">
        <f t="shared" ca="1" si="25"/>
        <v>-0.11551009151822964</v>
      </c>
    </row>
    <row r="1147" spans="7:8" x14ac:dyDescent="0.35">
      <c r="G1147" s="215">
        <v>1140</v>
      </c>
      <c r="H1147" s="16">
        <f t="shared" ca="1" si="25"/>
        <v>-2.9426913286765232E-2</v>
      </c>
    </row>
    <row r="1148" spans="7:8" x14ac:dyDescent="0.35">
      <c r="G1148" s="215">
        <v>1141</v>
      </c>
      <c r="H1148" s="16">
        <f t="shared" ca="1" si="25"/>
        <v>-4.4728553487753467E-3</v>
      </c>
    </row>
    <row r="1149" spans="7:8" x14ac:dyDescent="0.35">
      <c r="G1149" s="215">
        <v>1142</v>
      </c>
      <c r="H1149" s="16">
        <f t="shared" ca="1" si="25"/>
        <v>6.5949407206347593E-2</v>
      </c>
    </row>
    <row r="1150" spans="7:8" x14ac:dyDescent="0.35">
      <c r="G1150" s="215">
        <v>1143</v>
      </c>
      <c r="H1150" s="16">
        <f t="shared" ca="1" si="25"/>
        <v>5.1080388107437924E-2</v>
      </c>
    </row>
    <row r="1151" spans="7:8" x14ac:dyDescent="0.35">
      <c r="G1151" s="215">
        <v>1144</v>
      </c>
      <c r="H1151" s="16">
        <f t="shared" ca="1" si="25"/>
        <v>-4.8305604504074798E-3</v>
      </c>
    </row>
    <row r="1152" spans="7:8" x14ac:dyDescent="0.35">
      <c r="G1152" s="215">
        <v>1145</v>
      </c>
      <c r="H1152" s="16">
        <f t="shared" ca="1" si="25"/>
        <v>0.10289400563119144</v>
      </c>
    </row>
    <row r="1153" spans="7:8" x14ac:dyDescent="0.35">
      <c r="G1153" s="215">
        <v>1146</v>
      </c>
      <c r="H1153" s="16">
        <f t="shared" ca="1" si="25"/>
        <v>0.15117010230690137</v>
      </c>
    </row>
    <row r="1154" spans="7:8" x14ac:dyDescent="0.35">
      <c r="G1154" s="215">
        <v>1147</v>
      </c>
      <c r="H1154" s="16">
        <f t="shared" ca="1" si="25"/>
        <v>5.0039793994891196E-2</v>
      </c>
    </row>
    <row r="1155" spans="7:8" x14ac:dyDescent="0.35">
      <c r="G1155" s="215">
        <v>1148</v>
      </c>
      <c r="H1155" s="16">
        <f t="shared" ca="1" si="25"/>
        <v>2.5627642327159972E-2</v>
      </c>
    </row>
    <row r="1156" spans="7:8" x14ac:dyDescent="0.35">
      <c r="G1156" s="215">
        <v>1149</v>
      </c>
      <c r="H1156" s="16">
        <f t="shared" ca="1" si="25"/>
        <v>6.0362456951964946E-2</v>
      </c>
    </row>
    <row r="1157" spans="7:8" x14ac:dyDescent="0.35">
      <c r="G1157" s="215">
        <v>1150</v>
      </c>
      <c r="H1157" s="16">
        <f t="shared" ca="1" si="25"/>
        <v>9.0233757977702181E-3</v>
      </c>
    </row>
    <row r="1158" spans="7:8" x14ac:dyDescent="0.35">
      <c r="G1158" s="215">
        <v>1151</v>
      </c>
      <c r="H1158" s="16">
        <f t="shared" ca="1" si="25"/>
        <v>8.6449518588226949E-4</v>
      </c>
    </row>
    <row r="1159" spans="7:8" x14ac:dyDescent="0.35">
      <c r="G1159" s="215">
        <v>1152</v>
      </c>
      <c r="H1159" s="16">
        <f t="shared" ca="1" si="25"/>
        <v>-6.5174725397371208E-2</v>
      </c>
    </row>
    <row r="1160" spans="7:8" x14ac:dyDescent="0.35">
      <c r="G1160" s="215">
        <v>1153</v>
      </c>
      <c r="H1160" s="16">
        <f t="shared" ref="H1160:H1223" ca="1" si="26">_xlfn.NORM.INV(RAND(),M$10,M$11)</f>
        <v>5.2265784537107132E-2</v>
      </c>
    </row>
    <row r="1161" spans="7:8" x14ac:dyDescent="0.35">
      <c r="G1161" s="215">
        <v>1154</v>
      </c>
      <c r="H1161" s="16">
        <f t="shared" ca="1" si="26"/>
        <v>0.12317574761710481</v>
      </c>
    </row>
    <row r="1162" spans="7:8" x14ac:dyDescent="0.35">
      <c r="G1162" s="215">
        <v>1155</v>
      </c>
      <c r="H1162" s="16">
        <f t="shared" ca="1" si="26"/>
        <v>-6.5316916548296688E-2</v>
      </c>
    </row>
    <row r="1163" spans="7:8" x14ac:dyDescent="0.35">
      <c r="G1163" s="215">
        <v>1156</v>
      </c>
      <c r="H1163" s="16">
        <f t="shared" ca="1" si="26"/>
        <v>-0.14058183616062114</v>
      </c>
    </row>
    <row r="1164" spans="7:8" x14ac:dyDescent="0.35">
      <c r="G1164" s="215">
        <v>1157</v>
      </c>
      <c r="H1164" s="16">
        <f t="shared" ca="1" si="26"/>
        <v>8.7928190167689685E-2</v>
      </c>
    </row>
    <row r="1165" spans="7:8" x14ac:dyDescent="0.35">
      <c r="G1165" s="215">
        <v>1158</v>
      </c>
      <c r="H1165" s="16">
        <f t="shared" ca="1" si="26"/>
        <v>3.009910814013041E-2</v>
      </c>
    </row>
    <row r="1166" spans="7:8" x14ac:dyDescent="0.35">
      <c r="G1166" s="215">
        <v>1159</v>
      </c>
      <c r="H1166" s="16">
        <f t="shared" ca="1" si="26"/>
        <v>-2.7988970031407202E-2</v>
      </c>
    </row>
    <row r="1167" spans="7:8" x14ac:dyDescent="0.35">
      <c r="G1167" s="215">
        <v>1160</v>
      </c>
      <c r="H1167" s="16">
        <f t="shared" ca="1" si="26"/>
        <v>2.046123393717237E-2</v>
      </c>
    </row>
    <row r="1168" spans="7:8" x14ac:dyDescent="0.35">
      <c r="G1168" s="215">
        <v>1161</v>
      </c>
      <c r="H1168" s="16">
        <f t="shared" ca="1" si="26"/>
        <v>-0.10159694811419859</v>
      </c>
    </row>
    <row r="1169" spans="7:8" x14ac:dyDescent="0.35">
      <c r="G1169" s="215">
        <v>1162</v>
      </c>
      <c r="H1169" s="16">
        <f t="shared" ca="1" si="26"/>
        <v>3.8948857598932823E-2</v>
      </c>
    </row>
    <row r="1170" spans="7:8" x14ac:dyDescent="0.35">
      <c r="G1170" s="215">
        <v>1163</v>
      </c>
      <c r="H1170" s="16">
        <f t="shared" ca="1" si="26"/>
        <v>6.4955813540844287E-2</v>
      </c>
    </row>
    <row r="1171" spans="7:8" x14ac:dyDescent="0.35">
      <c r="G1171" s="215">
        <v>1164</v>
      </c>
      <c r="H1171" s="16">
        <f t="shared" ca="1" si="26"/>
        <v>0.16538920818077943</v>
      </c>
    </row>
    <row r="1172" spans="7:8" x14ac:dyDescent="0.35">
      <c r="G1172" s="215">
        <v>1165</v>
      </c>
      <c r="H1172" s="16">
        <f t="shared" ca="1" si="26"/>
        <v>0.11550028658282441</v>
      </c>
    </row>
    <row r="1173" spans="7:8" x14ac:dyDescent="0.35">
      <c r="G1173" s="215">
        <v>1166</v>
      </c>
      <c r="H1173" s="16">
        <f t="shared" ca="1" si="26"/>
        <v>7.6316187313841641E-2</v>
      </c>
    </row>
    <row r="1174" spans="7:8" x14ac:dyDescent="0.35">
      <c r="G1174" s="215">
        <v>1167</v>
      </c>
      <c r="H1174" s="16">
        <f t="shared" ca="1" si="26"/>
        <v>4.686682611243409E-2</v>
      </c>
    </row>
    <row r="1175" spans="7:8" x14ac:dyDescent="0.35">
      <c r="G1175" s="215">
        <v>1168</v>
      </c>
      <c r="H1175" s="16">
        <f t="shared" ca="1" si="26"/>
        <v>7.6074427322488397E-2</v>
      </c>
    </row>
    <row r="1176" spans="7:8" x14ac:dyDescent="0.35">
      <c r="G1176" s="215">
        <v>1169</v>
      </c>
      <c r="H1176" s="16">
        <f t="shared" ca="1" si="26"/>
        <v>2.4352095164139276E-2</v>
      </c>
    </row>
    <row r="1177" spans="7:8" x14ac:dyDescent="0.35">
      <c r="G1177" s="215">
        <v>1170</v>
      </c>
      <c r="H1177" s="16">
        <f t="shared" ca="1" si="26"/>
        <v>0.10083437940036484</v>
      </c>
    </row>
    <row r="1178" spans="7:8" x14ac:dyDescent="0.35">
      <c r="G1178" s="215">
        <v>1171</v>
      </c>
      <c r="H1178" s="16">
        <f t="shared" ca="1" si="26"/>
        <v>-0.16052459545866557</v>
      </c>
    </row>
    <row r="1179" spans="7:8" x14ac:dyDescent="0.35">
      <c r="G1179" s="215">
        <v>1172</v>
      </c>
      <c r="H1179" s="16">
        <f t="shared" ca="1" si="26"/>
        <v>1.8290415477154355E-2</v>
      </c>
    </row>
    <row r="1180" spans="7:8" x14ac:dyDescent="0.35">
      <c r="G1180" s="215">
        <v>1173</v>
      </c>
      <c r="H1180" s="16">
        <f t="shared" ca="1" si="26"/>
        <v>1.6104081289286486E-2</v>
      </c>
    </row>
    <row r="1181" spans="7:8" x14ac:dyDescent="0.35">
      <c r="G1181" s="215">
        <v>1174</v>
      </c>
      <c r="H1181" s="16">
        <f t="shared" ca="1" si="26"/>
        <v>7.5486079068861345E-2</v>
      </c>
    </row>
    <row r="1182" spans="7:8" x14ac:dyDescent="0.35">
      <c r="G1182" s="215">
        <v>1175</v>
      </c>
      <c r="H1182" s="16">
        <f t="shared" ca="1" si="26"/>
        <v>-5.0385531338409395E-2</v>
      </c>
    </row>
    <row r="1183" spans="7:8" x14ac:dyDescent="0.35">
      <c r="G1183" s="215">
        <v>1176</v>
      </c>
      <c r="H1183" s="16">
        <f t="shared" ca="1" si="26"/>
        <v>0.10503800378175505</v>
      </c>
    </row>
    <row r="1184" spans="7:8" x14ac:dyDescent="0.35">
      <c r="G1184" s="215">
        <v>1177</v>
      </c>
      <c r="H1184" s="16">
        <f t="shared" ca="1" si="26"/>
        <v>6.6553213997032776E-2</v>
      </c>
    </row>
    <row r="1185" spans="7:8" x14ac:dyDescent="0.35">
      <c r="G1185" s="215">
        <v>1178</v>
      </c>
      <c r="H1185" s="16">
        <f t="shared" ca="1" si="26"/>
        <v>-1.666545295962937E-2</v>
      </c>
    </row>
    <row r="1186" spans="7:8" x14ac:dyDescent="0.35">
      <c r="G1186" s="215">
        <v>1179</v>
      </c>
      <c r="H1186" s="16">
        <f t="shared" ca="1" si="26"/>
        <v>3.7302799904330337E-2</v>
      </c>
    </row>
    <row r="1187" spans="7:8" x14ac:dyDescent="0.35">
      <c r="G1187" s="215">
        <v>1180</v>
      </c>
      <c r="H1187" s="16">
        <f t="shared" ca="1" si="26"/>
        <v>7.3252587125351666E-3</v>
      </c>
    </row>
    <row r="1188" spans="7:8" x14ac:dyDescent="0.35">
      <c r="G1188" s="215">
        <v>1181</v>
      </c>
      <c r="H1188" s="16">
        <f t="shared" ca="1" si="26"/>
        <v>7.8062728384220181E-2</v>
      </c>
    </row>
    <row r="1189" spans="7:8" x14ac:dyDescent="0.35">
      <c r="G1189" s="215">
        <v>1182</v>
      </c>
      <c r="H1189" s="16">
        <f t="shared" ca="1" si="26"/>
        <v>2.0263795407661087E-2</v>
      </c>
    </row>
    <row r="1190" spans="7:8" x14ac:dyDescent="0.35">
      <c r="G1190" s="215">
        <v>1183</v>
      </c>
      <c r="H1190" s="16">
        <f t="shared" ca="1" si="26"/>
        <v>-0.13330202629624593</v>
      </c>
    </row>
    <row r="1191" spans="7:8" x14ac:dyDescent="0.35">
      <c r="G1191" s="215">
        <v>1184</v>
      </c>
      <c r="H1191" s="16">
        <f t="shared" ca="1" si="26"/>
        <v>6.3964637691336659E-2</v>
      </c>
    </row>
    <row r="1192" spans="7:8" x14ac:dyDescent="0.35">
      <c r="G1192" s="215">
        <v>1185</v>
      </c>
      <c r="H1192" s="16">
        <f t="shared" ca="1" si="26"/>
        <v>-0.10370457593178936</v>
      </c>
    </row>
    <row r="1193" spans="7:8" x14ac:dyDescent="0.35">
      <c r="G1193" s="215">
        <v>1186</v>
      </c>
      <c r="H1193" s="16">
        <f t="shared" ca="1" si="26"/>
        <v>-1.695093331911688E-2</v>
      </c>
    </row>
    <row r="1194" spans="7:8" x14ac:dyDescent="0.35">
      <c r="G1194" s="215">
        <v>1187</v>
      </c>
      <c r="H1194" s="16">
        <f t="shared" ca="1" si="26"/>
        <v>2.2381095683389335E-2</v>
      </c>
    </row>
    <row r="1195" spans="7:8" x14ac:dyDescent="0.35">
      <c r="G1195" s="215">
        <v>1188</v>
      </c>
      <c r="H1195" s="16">
        <f t="shared" ca="1" si="26"/>
        <v>4.8866127125931885E-2</v>
      </c>
    </row>
    <row r="1196" spans="7:8" x14ac:dyDescent="0.35">
      <c r="G1196" s="215">
        <v>1189</v>
      </c>
      <c r="H1196" s="16">
        <f t="shared" ca="1" si="26"/>
        <v>5.5970615598681633E-2</v>
      </c>
    </row>
    <row r="1197" spans="7:8" x14ac:dyDescent="0.35">
      <c r="G1197" s="215">
        <v>1190</v>
      </c>
      <c r="H1197" s="16">
        <f t="shared" ca="1" si="26"/>
        <v>3.0565378566688312E-2</v>
      </c>
    </row>
    <row r="1198" spans="7:8" x14ac:dyDescent="0.35">
      <c r="G1198" s="215">
        <v>1191</v>
      </c>
      <c r="H1198" s="16">
        <f t="shared" ca="1" si="26"/>
        <v>-8.5670121125555221E-2</v>
      </c>
    </row>
    <row r="1199" spans="7:8" x14ac:dyDescent="0.35">
      <c r="G1199" s="215">
        <v>1192</v>
      </c>
      <c r="H1199" s="16">
        <f t="shared" ca="1" si="26"/>
        <v>-0.15154573766486892</v>
      </c>
    </row>
    <row r="1200" spans="7:8" x14ac:dyDescent="0.35">
      <c r="G1200" s="215">
        <v>1193</v>
      </c>
      <c r="H1200" s="16">
        <f t="shared" ca="1" si="26"/>
        <v>0.1144244131385373</v>
      </c>
    </row>
    <row r="1201" spans="7:8" x14ac:dyDescent="0.35">
      <c r="G1201" s="215">
        <v>1194</v>
      </c>
      <c r="H1201" s="16">
        <f t="shared" ca="1" si="26"/>
        <v>5.6626220330030869E-2</v>
      </c>
    </row>
    <row r="1202" spans="7:8" x14ac:dyDescent="0.35">
      <c r="G1202" s="215">
        <v>1195</v>
      </c>
      <c r="H1202" s="16">
        <f t="shared" ca="1" si="26"/>
        <v>9.2597274685581807E-2</v>
      </c>
    </row>
    <row r="1203" spans="7:8" x14ac:dyDescent="0.35">
      <c r="G1203" s="215">
        <v>1196</v>
      </c>
      <c r="H1203" s="16">
        <f t="shared" ca="1" si="26"/>
        <v>1.828529851299206E-2</v>
      </c>
    </row>
    <row r="1204" spans="7:8" x14ac:dyDescent="0.35">
      <c r="G1204" s="215">
        <v>1197</v>
      </c>
      <c r="H1204" s="16">
        <f t="shared" ca="1" si="26"/>
        <v>3.9531080857306916E-2</v>
      </c>
    </row>
    <row r="1205" spans="7:8" x14ac:dyDescent="0.35">
      <c r="G1205" s="215">
        <v>1198</v>
      </c>
      <c r="H1205" s="16">
        <f t="shared" ca="1" si="26"/>
        <v>-8.4014447448737054E-2</v>
      </c>
    </row>
    <row r="1206" spans="7:8" x14ac:dyDescent="0.35">
      <c r="G1206" s="215">
        <v>1199</v>
      </c>
      <c r="H1206" s="16">
        <f t="shared" ca="1" si="26"/>
        <v>-3.4369526346545137E-2</v>
      </c>
    </row>
    <row r="1207" spans="7:8" x14ac:dyDescent="0.35">
      <c r="G1207" s="215">
        <v>1200</v>
      </c>
      <c r="H1207" s="16">
        <f t="shared" ca="1" si="26"/>
        <v>-5.1958622718407704E-2</v>
      </c>
    </row>
    <row r="1208" spans="7:8" x14ac:dyDescent="0.35">
      <c r="G1208" s="215">
        <v>1201</v>
      </c>
      <c r="H1208" s="16">
        <f t="shared" ca="1" si="26"/>
        <v>1.0147591542188115E-2</v>
      </c>
    </row>
    <row r="1209" spans="7:8" x14ac:dyDescent="0.35">
      <c r="G1209" s="215">
        <v>1202</v>
      </c>
      <c r="H1209" s="16">
        <f t="shared" ca="1" si="26"/>
        <v>6.2178165138568825E-3</v>
      </c>
    </row>
    <row r="1210" spans="7:8" x14ac:dyDescent="0.35">
      <c r="G1210" s="215">
        <v>1203</v>
      </c>
      <c r="H1210" s="16">
        <f t="shared" ca="1" si="26"/>
        <v>9.5495872768030371E-3</v>
      </c>
    </row>
    <row r="1211" spans="7:8" x14ac:dyDescent="0.35">
      <c r="G1211" s="215">
        <v>1204</v>
      </c>
      <c r="H1211" s="16">
        <f t="shared" ca="1" si="26"/>
        <v>-0.17279488533200804</v>
      </c>
    </row>
    <row r="1212" spans="7:8" x14ac:dyDescent="0.35">
      <c r="G1212" s="215">
        <v>1205</v>
      </c>
      <c r="H1212" s="16">
        <f t="shared" ca="1" si="26"/>
        <v>7.310713640395064E-2</v>
      </c>
    </row>
    <row r="1213" spans="7:8" x14ac:dyDescent="0.35">
      <c r="G1213" s="215">
        <v>1206</v>
      </c>
      <c r="H1213" s="16">
        <f t="shared" ca="1" si="26"/>
        <v>-5.9308947365097772E-2</v>
      </c>
    </row>
    <row r="1214" spans="7:8" x14ac:dyDescent="0.35">
      <c r="G1214" s="215">
        <v>1207</v>
      </c>
      <c r="H1214" s="16">
        <f t="shared" ca="1" si="26"/>
        <v>-3.2100426592088366E-2</v>
      </c>
    </row>
    <row r="1215" spans="7:8" x14ac:dyDescent="0.35">
      <c r="G1215" s="215">
        <v>1208</v>
      </c>
      <c r="H1215" s="16">
        <f t="shared" ca="1" si="26"/>
        <v>-8.2685651427663293E-2</v>
      </c>
    </row>
    <row r="1216" spans="7:8" x14ac:dyDescent="0.35">
      <c r="G1216" s="215">
        <v>1209</v>
      </c>
      <c r="H1216" s="16">
        <f t="shared" ca="1" si="26"/>
        <v>5.4078744225715403E-2</v>
      </c>
    </row>
    <row r="1217" spans="7:8" x14ac:dyDescent="0.35">
      <c r="G1217" s="215">
        <v>1210</v>
      </c>
      <c r="H1217" s="16">
        <f t="shared" ca="1" si="26"/>
        <v>-1.2245051093589785E-2</v>
      </c>
    </row>
    <row r="1218" spans="7:8" x14ac:dyDescent="0.35">
      <c r="G1218" s="215">
        <v>1211</v>
      </c>
      <c r="H1218" s="16">
        <f t="shared" ca="1" si="26"/>
        <v>-1.2370870993213372E-2</v>
      </c>
    </row>
    <row r="1219" spans="7:8" x14ac:dyDescent="0.35">
      <c r="G1219" s="215">
        <v>1212</v>
      </c>
      <c r="H1219" s="16">
        <f t="shared" ca="1" si="26"/>
        <v>4.5878306498718296E-2</v>
      </c>
    </row>
    <row r="1220" spans="7:8" x14ac:dyDescent="0.35">
      <c r="G1220" s="215">
        <v>1213</v>
      </c>
      <c r="H1220" s="16">
        <f t="shared" ca="1" si="26"/>
        <v>1.7847306788484875E-2</v>
      </c>
    </row>
    <row r="1221" spans="7:8" x14ac:dyDescent="0.35">
      <c r="G1221" s="215">
        <v>1214</v>
      </c>
      <c r="H1221" s="16">
        <f t="shared" ca="1" si="26"/>
        <v>-9.0681743924461392E-2</v>
      </c>
    </row>
    <row r="1222" spans="7:8" x14ac:dyDescent="0.35">
      <c r="G1222" s="215">
        <v>1215</v>
      </c>
      <c r="H1222" s="16">
        <f t="shared" ca="1" si="26"/>
        <v>-0.12908921913046909</v>
      </c>
    </row>
    <row r="1223" spans="7:8" x14ac:dyDescent="0.35">
      <c r="G1223" s="215">
        <v>1216</v>
      </c>
      <c r="H1223" s="16">
        <f t="shared" ca="1" si="26"/>
        <v>-3.1893808669995305E-2</v>
      </c>
    </row>
    <row r="1224" spans="7:8" x14ac:dyDescent="0.35">
      <c r="G1224" s="215">
        <v>1217</v>
      </c>
      <c r="H1224" s="16">
        <f t="shared" ref="H1224:H1287" ca="1" si="27">_xlfn.NORM.INV(RAND(),M$10,M$11)</f>
        <v>-4.3115834787903817E-2</v>
      </c>
    </row>
    <row r="1225" spans="7:8" x14ac:dyDescent="0.35">
      <c r="G1225" s="215">
        <v>1218</v>
      </c>
      <c r="H1225" s="16">
        <f t="shared" ca="1" si="27"/>
        <v>-1.9121674600692459E-3</v>
      </c>
    </row>
    <row r="1226" spans="7:8" x14ac:dyDescent="0.35">
      <c r="G1226" s="215">
        <v>1219</v>
      </c>
      <c r="H1226" s="16">
        <f t="shared" ca="1" si="27"/>
        <v>7.3310424121913811E-2</v>
      </c>
    </row>
    <row r="1227" spans="7:8" x14ac:dyDescent="0.35">
      <c r="G1227" s="215">
        <v>1220</v>
      </c>
      <c r="H1227" s="16">
        <f t="shared" ca="1" si="27"/>
        <v>-0.12130805747120388</v>
      </c>
    </row>
    <row r="1228" spans="7:8" x14ac:dyDescent="0.35">
      <c r="G1228" s="215">
        <v>1221</v>
      </c>
      <c r="H1228" s="16">
        <f t="shared" ca="1" si="27"/>
        <v>-1.7585553981487936E-2</v>
      </c>
    </row>
    <row r="1229" spans="7:8" x14ac:dyDescent="0.35">
      <c r="G1229" s="215">
        <v>1222</v>
      </c>
      <c r="H1229" s="16">
        <f t="shared" ca="1" si="27"/>
        <v>7.776682243533535E-2</v>
      </c>
    </row>
    <row r="1230" spans="7:8" x14ac:dyDescent="0.35">
      <c r="G1230" s="215">
        <v>1223</v>
      </c>
      <c r="H1230" s="16">
        <f t="shared" ca="1" si="27"/>
        <v>-5.1756963763018513E-2</v>
      </c>
    </row>
    <row r="1231" spans="7:8" x14ac:dyDescent="0.35">
      <c r="G1231" s="215">
        <v>1224</v>
      </c>
      <c r="H1231" s="16">
        <f t="shared" ca="1" si="27"/>
        <v>-0.10363496662690236</v>
      </c>
    </row>
    <row r="1232" spans="7:8" x14ac:dyDescent="0.35">
      <c r="G1232" s="215">
        <v>1225</v>
      </c>
      <c r="H1232" s="16">
        <f t="shared" ca="1" si="27"/>
        <v>5.0937501970570759E-2</v>
      </c>
    </row>
    <row r="1233" spans="7:8" x14ac:dyDescent="0.35">
      <c r="G1233" s="215">
        <v>1226</v>
      </c>
      <c r="H1233" s="16">
        <f t="shared" ca="1" si="27"/>
        <v>0.18986782575997965</v>
      </c>
    </row>
    <row r="1234" spans="7:8" x14ac:dyDescent="0.35">
      <c r="G1234" s="215">
        <v>1227</v>
      </c>
      <c r="H1234" s="16">
        <f t="shared" ca="1" si="27"/>
        <v>3.4473751595410218E-2</v>
      </c>
    </row>
    <row r="1235" spans="7:8" x14ac:dyDescent="0.35">
      <c r="G1235" s="215">
        <v>1228</v>
      </c>
      <c r="H1235" s="16">
        <f t="shared" ca="1" si="27"/>
        <v>-6.9488965172875547E-2</v>
      </c>
    </row>
    <row r="1236" spans="7:8" x14ac:dyDescent="0.35">
      <c r="G1236" s="215">
        <v>1229</v>
      </c>
      <c r="H1236" s="16">
        <f t="shared" ca="1" si="27"/>
        <v>6.6302507368376021E-2</v>
      </c>
    </row>
    <row r="1237" spans="7:8" x14ac:dyDescent="0.35">
      <c r="G1237" s="215">
        <v>1230</v>
      </c>
      <c r="H1237" s="16">
        <f t="shared" ca="1" si="27"/>
        <v>-3.7168486474800935E-2</v>
      </c>
    </row>
    <row r="1238" spans="7:8" x14ac:dyDescent="0.35">
      <c r="G1238" s="215">
        <v>1231</v>
      </c>
      <c r="H1238" s="16">
        <f t="shared" ca="1" si="27"/>
        <v>-7.5864650777535916E-2</v>
      </c>
    </row>
    <row r="1239" spans="7:8" x14ac:dyDescent="0.35">
      <c r="G1239" s="215">
        <v>1232</v>
      </c>
      <c r="H1239" s="16">
        <f t="shared" ca="1" si="27"/>
        <v>2.9150391471831884E-2</v>
      </c>
    </row>
    <row r="1240" spans="7:8" x14ac:dyDescent="0.35">
      <c r="G1240" s="215">
        <v>1233</v>
      </c>
      <c r="H1240" s="16">
        <f t="shared" ca="1" si="27"/>
        <v>3.6973828960891533E-2</v>
      </c>
    </row>
    <row r="1241" spans="7:8" x14ac:dyDescent="0.35">
      <c r="G1241" s="215">
        <v>1234</v>
      </c>
      <c r="H1241" s="16">
        <f t="shared" ca="1" si="27"/>
        <v>4.8811103004817599E-2</v>
      </c>
    </row>
    <row r="1242" spans="7:8" x14ac:dyDescent="0.35">
      <c r="G1242" s="215">
        <v>1235</v>
      </c>
      <c r="H1242" s="16">
        <f t="shared" ca="1" si="27"/>
        <v>-4.8991281667215433E-2</v>
      </c>
    </row>
    <row r="1243" spans="7:8" x14ac:dyDescent="0.35">
      <c r="G1243" s="215">
        <v>1236</v>
      </c>
      <c r="H1243" s="16">
        <f t="shared" ca="1" si="27"/>
        <v>-4.3556121680478586E-3</v>
      </c>
    </row>
    <row r="1244" spans="7:8" x14ac:dyDescent="0.35">
      <c r="G1244" s="215">
        <v>1237</v>
      </c>
      <c r="H1244" s="16">
        <f t="shared" ca="1" si="27"/>
        <v>3.566809358544637E-2</v>
      </c>
    </row>
    <row r="1245" spans="7:8" x14ac:dyDescent="0.35">
      <c r="G1245" s="215">
        <v>1238</v>
      </c>
      <c r="H1245" s="16">
        <f t="shared" ca="1" si="27"/>
        <v>-3.0982094792969008E-2</v>
      </c>
    </row>
    <row r="1246" spans="7:8" x14ac:dyDescent="0.35">
      <c r="G1246" s="215">
        <v>1239</v>
      </c>
      <c r="H1246" s="16">
        <f t="shared" ca="1" si="27"/>
        <v>-6.7897650350660518E-2</v>
      </c>
    </row>
    <row r="1247" spans="7:8" x14ac:dyDescent="0.35">
      <c r="G1247" s="215">
        <v>1240</v>
      </c>
      <c r="H1247" s="16">
        <f t="shared" ca="1" si="27"/>
        <v>-0.14487248626684257</v>
      </c>
    </row>
    <row r="1248" spans="7:8" x14ac:dyDescent="0.35">
      <c r="G1248" s="215">
        <v>1241</v>
      </c>
      <c r="H1248" s="16">
        <f t="shared" ca="1" si="27"/>
        <v>-9.7237806605583663E-2</v>
      </c>
    </row>
    <row r="1249" spans="7:8" x14ac:dyDescent="0.35">
      <c r="G1249" s="215">
        <v>1242</v>
      </c>
      <c r="H1249" s="16">
        <f t="shared" ca="1" si="27"/>
        <v>-2.6811205029444795E-2</v>
      </c>
    </row>
    <row r="1250" spans="7:8" x14ac:dyDescent="0.35">
      <c r="G1250" s="215">
        <v>1243</v>
      </c>
      <c r="H1250" s="16">
        <f t="shared" ca="1" si="27"/>
        <v>-6.0906579018754778E-2</v>
      </c>
    </row>
    <row r="1251" spans="7:8" x14ac:dyDescent="0.35">
      <c r="G1251" s="215">
        <v>1244</v>
      </c>
      <c r="H1251" s="16">
        <f t="shared" ca="1" si="27"/>
        <v>-1.9278332989084507E-2</v>
      </c>
    </row>
    <row r="1252" spans="7:8" x14ac:dyDescent="0.35">
      <c r="G1252" s="215">
        <v>1245</v>
      </c>
      <c r="H1252" s="16">
        <f t="shared" ca="1" si="27"/>
        <v>2.0045052135866357E-2</v>
      </c>
    </row>
    <row r="1253" spans="7:8" x14ac:dyDescent="0.35">
      <c r="G1253" s="215">
        <v>1246</v>
      </c>
      <c r="H1253" s="16">
        <f t="shared" ca="1" si="27"/>
        <v>-0.13590428507848296</v>
      </c>
    </row>
    <row r="1254" spans="7:8" x14ac:dyDescent="0.35">
      <c r="G1254" s="215">
        <v>1247</v>
      </c>
      <c r="H1254" s="16">
        <f t="shared" ca="1" si="27"/>
        <v>2.7980729350863206E-2</v>
      </c>
    </row>
    <row r="1255" spans="7:8" x14ac:dyDescent="0.35">
      <c r="G1255" s="215">
        <v>1248</v>
      </c>
      <c r="H1255" s="16">
        <f t="shared" ca="1" si="27"/>
        <v>-1.7952366641595042E-2</v>
      </c>
    </row>
    <row r="1256" spans="7:8" x14ac:dyDescent="0.35">
      <c r="G1256" s="215">
        <v>1249</v>
      </c>
      <c r="H1256" s="16">
        <f t="shared" ca="1" si="27"/>
        <v>1.1180630552867275E-2</v>
      </c>
    </row>
    <row r="1257" spans="7:8" x14ac:dyDescent="0.35">
      <c r="G1257" s="215">
        <v>1250</v>
      </c>
      <c r="H1257" s="16">
        <f t="shared" ca="1" si="27"/>
        <v>8.0493462592400741E-2</v>
      </c>
    </row>
    <row r="1258" spans="7:8" x14ac:dyDescent="0.35">
      <c r="G1258" s="215">
        <v>1251</v>
      </c>
      <c r="H1258" s="16">
        <f t="shared" ca="1" si="27"/>
        <v>-6.3981356925090951E-2</v>
      </c>
    </row>
    <row r="1259" spans="7:8" x14ac:dyDescent="0.35">
      <c r="G1259" s="215">
        <v>1252</v>
      </c>
      <c r="H1259" s="16">
        <f t="shared" ca="1" si="27"/>
        <v>2.8926265758821797E-2</v>
      </c>
    </row>
    <row r="1260" spans="7:8" x14ac:dyDescent="0.35">
      <c r="G1260" s="215">
        <v>1253</v>
      </c>
      <c r="H1260" s="16">
        <f t="shared" ca="1" si="27"/>
        <v>2.5251826590309057E-2</v>
      </c>
    </row>
    <row r="1261" spans="7:8" x14ac:dyDescent="0.35">
      <c r="G1261" s="215">
        <v>1254</v>
      </c>
      <c r="H1261" s="16">
        <f t="shared" ca="1" si="27"/>
        <v>-9.257318738433086E-2</v>
      </c>
    </row>
    <row r="1262" spans="7:8" x14ac:dyDescent="0.35">
      <c r="G1262" s="215">
        <v>1255</v>
      </c>
      <c r="H1262" s="16">
        <f t="shared" ca="1" si="27"/>
        <v>-9.2676986625080962E-2</v>
      </c>
    </row>
    <row r="1263" spans="7:8" x14ac:dyDescent="0.35">
      <c r="G1263" s="215">
        <v>1256</v>
      </c>
      <c r="H1263" s="16">
        <f t="shared" ca="1" si="27"/>
        <v>0.1498682784244311</v>
      </c>
    </row>
    <row r="1264" spans="7:8" x14ac:dyDescent="0.35">
      <c r="G1264" s="215">
        <v>1257</v>
      </c>
      <c r="H1264" s="16">
        <f t="shared" ca="1" si="27"/>
        <v>3.8703306199382836E-2</v>
      </c>
    </row>
    <row r="1265" spans="7:8" x14ac:dyDescent="0.35">
      <c r="G1265" s="215">
        <v>1258</v>
      </c>
      <c r="H1265" s="16">
        <f t="shared" ca="1" si="27"/>
        <v>-0.12909226916145197</v>
      </c>
    </row>
    <row r="1266" spans="7:8" x14ac:dyDescent="0.35">
      <c r="G1266" s="215">
        <v>1259</v>
      </c>
      <c r="H1266" s="16">
        <f t="shared" ca="1" si="27"/>
        <v>-4.971226813059719E-3</v>
      </c>
    </row>
    <row r="1267" spans="7:8" x14ac:dyDescent="0.35">
      <c r="G1267" s="215">
        <v>1260</v>
      </c>
      <c r="H1267" s="16">
        <f t="shared" ca="1" si="27"/>
        <v>1.6848712144443837E-2</v>
      </c>
    </row>
    <row r="1268" spans="7:8" x14ac:dyDescent="0.35">
      <c r="G1268" s="215">
        <v>1261</v>
      </c>
      <c r="H1268" s="16">
        <f t="shared" ca="1" si="27"/>
        <v>-8.5973668571029088E-2</v>
      </c>
    </row>
    <row r="1269" spans="7:8" x14ac:dyDescent="0.35">
      <c r="G1269" s="215">
        <v>1262</v>
      </c>
      <c r="H1269" s="16">
        <f t="shared" ca="1" si="27"/>
        <v>4.3630055942856474E-2</v>
      </c>
    </row>
    <row r="1270" spans="7:8" x14ac:dyDescent="0.35">
      <c r="G1270" s="215">
        <v>1263</v>
      </c>
      <c r="H1270" s="16">
        <f t="shared" ca="1" si="27"/>
        <v>7.4438233684352609E-2</v>
      </c>
    </row>
    <row r="1271" spans="7:8" x14ac:dyDescent="0.35">
      <c r="G1271" s="215">
        <v>1264</v>
      </c>
      <c r="H1271" s="16">
        <f t="shared" ca="1" si="27"/>
        <v>-1.8817647321734781E-2</v>
      </c>
    </row>
    <row r="1272" spans="7:8" x14ac:dyDescent="0.35">
      <c r="G1272" s="215">
        <v>1265</v>
      </c>
      <c r="H1272" s="16">
        <f t="shared" ca="1" si="27"/>
        <v>-2.9016910028010792E-2</v>
      </c>
    </row>
    <row r="1273" spans="7:8" x14ac:dyDescent="0.35">
      <c r="G1273" s="215">
        <v>1266</v>
      </c>
      <c r="H1273" s="16">
        <f t="shared" ca="1" si="27"/>
        <v>9.3642287649514114E-2</v>
      </c>
    </row>
    <row r="1274" spans="7:8" x14ac:dyDescent="0.35">
      <c r="G1274" s="215">
        <v>1267</v>
      </c>
      <c r="H1274" s="16">
        <f t="shared" ca="1" si="27"/>
        <v>4.5672533331871698E-2</v>
      </c>
    </row>
    <row r="1275" spans="7:8" x14ac:dyDescent="0.35">
      <c r="G1275" s="215">
        <v>1268</v>
      </c>
      <c r="H1275" s="16">
        <f t="shared" ca="1" si="27"/>
        <v>6.1903371714736199E-2</v>
      </c>
    </row>
    <row r="1276" spans="7:8" x14ac:dyDescent="0.35">
      <c r="G1276" s="215">
        <v>1269</v>
      </c>
      <c r="H1276" s="16">
        <f t="shared" ca="1" si="27"/>
        <v>-0.14732771831761177</v>
      </c>
    </row>
    <row r="1277" spans="7:8" x14ac:dyDescent="0.35">
      <c r="G1277" s="215">
        <v>1270</v>
      </c>
      <c r="H1277" s="16">
        <f t="shared" ca="1" si="27"/>
        <v>4.0392773148409736E-2</v>
      </c>
    </row>
    <row r="1278" spans="7:8" x14ac:dyDescent="0.35">
      <c r="G1278" s="215">
        <v>1271</v>
      </c>
      <c r="H1278" s="16">
        <f t="shared" ca="1" si="27"/>
        <v>-9.1255147144743379E-2</v>
      </c>
    </row>
    <row r="1279" spans="7:8" x14ac:dyDescent="0.35">
      <c r="G1279" s="215">
        <v>1272</v>
      </c>
      <c r="H1279" s="16">
        <f t="shared" ca="1" si="27"/>
        <v>4.5196947086424105E-2</v>
      </c>
    </row>
    <row r="1280" spans="7:8" x14ac:dyDescent="0.35">
      <c r="G1280" s="215">
        <v>1273</v>
      </c>
      <c r="H1280" s="16">
        <f t="shared" ca="1" si="27"/>
        <v>7.2844267688630754E-2</v>
      </c>
    </row>
    <row r="1281" spans="7:8" x14ac:dyDescent="0.35">
      <c r="G1281" s="215">
        <v>1274</v>
      </c>
      <c r="H1281" s="16">
        <f t="shared" ca="1" si="27"/>
        <v>-9.1578439910190712E-2</v>
      </c>
    </row>
    <row r="1282" spans="7:8" x14ac:dyDescent="0.35">
      <c r="G1282" s="215">
        <v>1275</v>
      </c>
      <c r="H1282" s="16">
        <f t="shared" ca="1" si="27"/>
        <v>-5.1929336368251991E-2</v>
      </c>
    </row>
    <row r="1283" spans="7:8" x14ac:dyDescent="0.35">
      <c r="G1283" s="215">
        <v>1276</v>
      </c>
      <c r="H1283" s="16">
        <f t="shared" ca="1" si="27"/>
        <v>2.8484190264241548E-2</v>
      </c>
    </row>
    <row r="1284" spans="7:8" x14ac:dyDescent="0.35">
      <c r="G1284" s="215">
        <v>1277</v>
      </c>
      <c r="H1284" s="16">
        <f t="shared" ca="1" si="27"/>
        <v>1.6634160828161697E-3</v>
      </c>
    </row>
    <row r="1285" spans="7:8" x14ac:dyDescent="0.35">
      <c r="G1285" s="215">
        <v>1278</v>
      </c>
      <c r="H1285" s="16">
        <f t="shared" ca="1" si="27"/>
        <v>-2.1260795771020104E-2</v>
      </c>
    </row>
    <row r="1286" spans="7:8" x14ac:dyDescent="0.35">
      <c r="G1286" s="215">
        <v>1279</v>
      </c>
      <c r="H1286" s="16">
        <f t="shared" ca="1" si="27"/>
        <v>-4.9934614182036319E-2</v>
      </c>
    </row>
    <row r="1287" spans="7:8" x14ac:dyDescent="0.35">
      <c r="G1287" s="215">
        <v>1280</v>
      </c>
      <c r="H1287" s="16">
        <f t="shared" ca="1" si="27"/>
        <v>6.9267849375981405E-2</v>
      </c>
    </row>
    <row r="1288" spans="7:8" x14ac:dyDescent="0.35">
      <c r="G1288" s="215">
        <v>1281</v>
      </c>
      <c r="H1288" s="16">
        <f t="shared" ref="H1288:H1351" ca="1" si="28">_xlfn.NORM.INV(RAND(),M$10,M$11)</f>
        <v>-0.10016798353047694</v>
      </c>
    </row>
    <row r="1289" spans="7:8" x14ac:dyDescent="0.35">
      <c r="G1289" s="215">
        <v>1282</v>
      </c>
      <c r="H1289" s="16">
        <f t="shared" ca="1" si="28"/>
        <v>-4.7891488163681273E-2</v>
      </c>
    </row>
    <row r="1290" spans="7:8" x14ac:dyDescent="0.35">
      <c r="G1290" s="215">
        <v>1283</v>
      </c>
      <c r="H1290" s="16">
        <f t="shared" ca="1" si="28"/>
        <v>0.10682039862433322</v>
      </c>
    </row>
    <row r="1291" spans="7:8" x14ac:dyDescent="0.35">
      <c r="G1291" s="215">
        <v>1284</v>
      </c>
      <c r="H1291" s="16">
        <f t="shared" ca="1" si="28"/>
        <v>0.18509984915304825</v>
      </c>
    </row>
    <row r="1292" spans="7:8" x14ac:dyDescent="0.35">
      <c r="G1292" s="215">
        <v>1285</v>
      </c>
      <c r="H1292" s="16">
        <f t="shared" ca="1" si="28"/>
        <v>3.4803952720066714E-2</v>
      </c>
    </row>
    <row r="1293" spans="7:8" x14ac:dyDescent="0.35">
      <c r="G1293" s="215">
        <v>1286</v>
      </c>
      <c r="H1293" s="16">
        <f t="shared" ca="1" si="28"/>
        <v>0.13687835250013247</v>
      </c>
    </row>
    <row r="1294" spans="7:8" x14ac:dyDescent="0.35">
      <c r="G1294" s="215">
        <v>1287</v>
      </c>
      <c r="H1294" s="16">
        <f t="shared" ca="1" si="28"/>
        <v>4.2534674888203228E-2</v>
      </c>
    </row>
    <row r="1295" spans="7:8" x14ac:dyDescent="0.35">
      <c r="G1295" s="215">
        <v>1288</v>
      </c>
      <c r="H1295" s="16">
        <f t="shared" ca="1" si="28"/>
        <v>1.7514564938684953E-2</v>
      </c>
    </row>
    <row r="1296" spans="7:8" x14ac:dyDescent="0.35">
      <c r="G1296" s="215">
        <v>1289</v>
      </c>
      <c r="H1296" s="16">
        <f t="shared" ca="1" si="28"/>
        <v>-5.796637108337245E-2</v>
      </c>
    </row>
    <row r="1297" spans="7:8" x14ac:dyDescent="0.35">
      <c r="G1297" s="215">
        <v>1290</v>
      </c>
      <c r="H1297" s="16">
        <f t="shared" ca="1" si="28"/>
        <v>5.9912377257822363E-2</v>
      </c>
    </row>
    <row r="1298" spans="7:8" x14ac:dyDescent="0.35">
      <c r="G1298" s="215">
        <v>1291</v>
      </c>
      <c r="H1298" s="16">
        <f t="shared" ca="1" si="28"/>
        <v>-7.7592266027988535E-3</v>
      </c>
    </row>
    <row r="1299" spans="7:8" x14ac:dyDescent="0.35">
      <c r="G1299" s="215">
        <v>1292</v>
      </c>
      <c r="H1299" s="16">
        <f t="shared" ca="1" si="28"/>
        <v>-0.10265067952637551</v>
      </c>
    </row>
    <row r="1300" spans="7:8" x14ac:dyDescent="0.35">
      <c r="G1300" s="215">
        <v>1293</v>
      </c>
      <c r="H1300" s="16">
        <f t="shared" ca="1" si="28"/>
        <v>9.7967658761634727E-2</v>
      </c>
    </row>
    <row r="1301" spans="7:8" x14ac:dyDescent="0.35">
      <c r="G1301" s="215">
        <v>1294</v>
      </c>
      <c r="H1301" s="16">
        <f t="shared" ca="1" si="28"/>
        <v>4.549819489670353E-4</v>
      </c>
    </row>
    <row r="1302" spans="7:8" x14ac:dyDescent="0.35">
      <c r="G1302" s="215">
        <v>1295</v>
      </c>
      <c r="H1302" s="16">
        <f t="shared" ca="1" si="28"/>
        <v>-0.26223974147477208</v>
      </c>
    </row>
    <row r="1303" spans="7:8" x14ac:dyDescent="0.35">
      <c r="G1303" s="215">
        <v>1296</v>
      </c>
      <c r="H1303" s="16">
        <f t="shared" ca="1" si="28"/>
        <v>-8.9097872626087288E-2</v>
      </c>
    </row>
    <row r="1304" spans="7:8" x14ac:dyDescent="0.35">
      <c r="G1304" s="215">
        <v>1297</v>
      </c>
      <c r="H1304" s="16">
        <f t="shared" ca="1" si="28"/>
        <v>-4.6355289709230973E-2</v>
      </c>
    </row>
    <row r="1305" spans="7:8" x14ac:dyDescent="0.35">
      <c r="G1305" s="215">
        <v>1298</v>
      </c>
      <c r="H1305" s="16">
        <f t="shared" ca="1" si="28"/>
        <v>-3.0296878210947207E-2</v>
      </c>
    </row>
    <row r="1306" spans="7:8" x14ac:dyDescent="0.35">
      <c r="G1306" s="215">
        <v>1299</v>
      </c>
      <c r="H1306" s="16">
        <f t="shared" ca="1" si="28"/>
        <v>0.15431029845799094</v>
      </c>
    </row>
    <row r="1307" spans="7:8" x14ac:dyDescent="0.35">
      <c r="G1307" s="215">
        <v>1300</v>
      </c>
      <c r="H1307" s="16">
        <f t="shared" ca="1" si="28"/>
        <v>4.9220931421834452E-2</v>
      </c>
    </row>
    <row r="1308" spans="7:8" x14ac:dyDescent="0.35">
      <c r="G1308" s="215">
        <v>1301</v>
      </c>
      <c r="H1308" s="16">
        <f t="shared" ca="1" si="28"/>
        <v>6.9239138010649723E-2</v>
      </c>
    </row>
    <row r="1309" spans="7:8" x14ac:dyDescent="0.35">
      <c r="G1309" s="215">
        <v>1302</v>
      </c>
      <c r="H1309" s="16">
        <f t="shared" ca="1" si="28"/>
        <v>-9.1690412234165103E-2</v>
      </c>
    </row>
    <row r="1310" spans="7:8" x14ac:dyDescent="0.35">
      <c r="G1310" s="215">
        <v>1303</v>
      </c>
      <c r="H1310" s="16">
        <f t="shared" ca="1" si="28"/>
        <v>-5.8614959163980962E-2</v>
      </c>
    </row>
    <row r="1311" spans="7:8" x14ac:dyDescent="0.35">
      <c r="G1311" s="215">
        <v>1304</v>
      </c>
      <c r="H1311" s="16">
        <f t="shared" ca="1" si="28"/>
        <v>-7.3234144684243031E-3</v>
      </c>
    </row>
    <row r="1312" spans="7:8" x14ac:dyDescent="0.35">
      <c r="G1312" s="215">
        <v>1305</v>
      </c>
      <c r="H1312" s="16">
        <f t="shared" ca="1" si="28"/>
        <v>-1.2066698149958532E-2</v>
      </c>
    </row>
    <row r="1313" spans="7:8" x14ac:dyDescent="0.35">
      <c r="G1313" s="215">
        <v>1306</v>
      </c>
      <c r="H1313" s="16">
        <f t="shared" ca="1" si="28"/>
        <v>-2.5537536117564048E-3</v>
      </c>
    </row>
    <row r="1314" spans="7:8" x14ac:dyDescent="0.35">
      <c r="G1314" s="215">
        <v>1307</v>
      </c>
      <c r="H1314" s="16">
        <f t="shared" ca="1" si="28"/>
        <v>-0.10569115699177051</v>
      </c>
    </row>
    <row r="1315" spans="7:8" x14ac:dyDescent="0.35">
      <c r="G1315" s="215">
        <v>1308</v>
      </c>
      <c r="H1315" s="16">
        <f t="shared" ca="1" si="28"/>
        <v>0.12835105042866626</v>
      </c>
    </row>
    <row r="1316" spans="7:8" x14ac:dyDescent="0.35">
      <c r="G1316" s="215">
        <v>1309</v>
      </c>
      <c r="H1316" s="16">
        <f t="shared" ca="1" si="28"/>
        <v>8.2659221125432322E-2</v>
      </c>
    </row>
    <row r="1317" spans="7:8" x14ac:dyDescent="0.35">
      <c r="G1317" s="215">
        <v>1310</v>
      </c>
      <c r="H1317" s="16">
        <f t="shared" ca="1" si="28"/>
        <v>2.3128518687735182E-2</v>
      </c>
    </row>
    <row r="1318" spans="7:8" x14ac:dyDescent="0.35">
      <c r="G1318" s="215">
        <v>1311</v>
      </c>
      <c r="H1318" s="16">
        <f t="shared" ca="1" si="28"/>
        <v>-6.3713540726784527E-3</v>
      </c>
    </row>
    <row r="1319" spans="7:8" x14ac:dyDescent="0.35">
      <c r="G1319" s="215">
        <v>1312</v>
      </c>
      <c r="H1319" s="16">
        <f t="shared" ca="1" si="28"/>
        <v>8.3708068076840211E-2</v>
      </c>
    </row>
    <row r="1320" spans="7:8" x14ac:dyDescent="0.35">
      <c r="G1320" s="215">
        <v>1313</v>
      </c>
      <c r="H1320" s="16">
        <f t="shared" ca="1" si="28"/>
        <v>5.1886319399305658E-2</v>
      </c>
    </row>
    <row r="1321" spans="7:8" x14ac:dyDescent="0.35">
      <c r="G1321" s="215">
        <v>1314</v>
      </c>
      <c r="H1321" s="16">
        <f t="shared" ca="1" si="28"/>
        <v>5.4323981624392184E-2</v>
      </c>
    </row>
    <row r="1322" spans="7:8" x14ac:dyDescent="0.35">
      <c r="G1322" s="215">
        <v>1315</v>
      </c>
      <c r="H1322" s="16">
        <f t="shared" ca="1" si="28"/>
        <v>4.0491342121355064E-2</v>
      </c>
    </row>
    <row r="1323" spans="7:8" x14ac:dyDescent="0.35">
      <c r="G1323" s="215">
        <v>1316</v>
      </c>
      <c r="H1323" s="16">
        <f t="shared" ca="1" si="28"/>
        <v>-5.2794403676557161E-2</v>
      </c>
    </row>
    <row r="1324" spans="7:8" x14ac:dyDescent="0.35">
      <c r="G1324" s="215">
        <v>1317</v>
      </c>
      <c r="H1324" s="16">
        <f t="shared" ca="1" si="28"/>
        <v>-3.0886575463108558E-3</v>
      </c>
    </row>
    <row r="1325" spans="7:8" x14ac:dyDescent="0.35">
      <c r="G1325" s="215">
        <v>1318</v>
      </c>
      <c r="H1325" s="16">
        <f t="shared" ca="1" si="28"/>
        <v>1.3732865764533335E-2</v>
      </c>
    </row>
    <row r="1326" spans="7:8" x14ac:dyDescent="0.35">
      <c r="G1326" s="215">
        <v>1319</v>
      </c>
      <c r="H1326" s="16">
        <f t="shared" ca="1" si="28"/>
        <v>5.7779884627943437E-2</v>
      </c>
    </row>
    <row r="1327" spans="7:8" x14ac:dyDescent="0.35">
      <c r="G1327" s="215">
        <v>1320</v>
      </c>
      <c r="H1327" s="16">
        <f t="shared" ca="1" si="28"/>
        <v>-1.0250657346807263E-2</v>
      </c>
    </row>
    <row r="1328" spans="7:8" x14ac:dyDescent="0.35">
      <c r="G1328" s="215">
        <v>1321</v>
      </c>
      <c r="H1328" s="16">
        <f t="shared" ca="1" si="28"/>
        <v>-4.0839532529710856E-2</v>
      </c>
    </row>
    <row r="1329" spans="7:8" x14ac:dyDescent="0.35">
      <c r="G1329" s="215">
        <v>1322</v>
      </c>
      <c r="H1329" s="16">
        <f t="shared" ca="1" si="28"/>
        <v>-6.4336632961075196E-2</v>
      </c>
    </row>
    <row r="1330" spans="7:8" x14ac:dyDescent="0.35">
      <c r="G1330" s="215">
        <v>1323</v>
      </c>
      <c r="H1330" s="16">
        <f t="shared" ca="1" si="28"/>
        <v>2.4620017603361664E-2</v>
      </c>
    </row>
    <row r="1331" spans="7:8" x14ac:dyDescent="0.35">
      <c r="G1331" s="215">
        <v>1324</v>
      </c>
      <c r="H1331" s="16">
        <f t="shared" ca="1" si="28"/>
        <v>3.2992308662566847E-2</v>
      </c>
    </row>
    <row r="1332" spans="7:8" x14ac:dyDescent="0.35">
      <c r="G1332" s="215">
        <v>1325</v>
      </c>
      <c r="H1332" s="16">
        <f t="shared" ca="1" si="28"/>
        <v>-6.6541978632807738E-2</v>
      </c>
    </row>
    <row r="1333" spans="7:8" x14ac:dyDescent="0.35">
      <c r="G1333" s="215">
        <v>1326</v>
      </c>
      <c r="H1333" s="16">
        <f t="shared" ca="1" si="28"/>
        <v>4.2012061876159537E-2</v>
      </c>
    </row>
    <row r="1334" spans="7:8" x14ac:dyDescent="0.35">
      <c r="G1334" s="215">
        <v>1327</v>
      </c>
      <c r="H1334" s="16">
        <f t="shared" ca="1" si="28"/>
        <v>-8.022886215284869E-2</v>
      </c>
    </row>
    <row r="1335" spans="7:8" x14ac:dyDescent="0.35">
      <c r="G1335" s="215">
        <v>1328</v>
      </c>
      <c r="H1335" s="16">
        <f t="shared" ca="1" si="28"/>
        <v>9.1093265937656848E-2</v>
      </c>
    </row>
    <row r="1336" spans="7:8" x14ac:dyDescent="0.35">
      <c r="G1336" s="215">
        <v>1329</v>
      </c>
      <c r="H1336" s="16">
        <f t="shared" ca="1" si="28"/>
        <v>-1.3143069993737849E-2</v>
      </c>
    </row>
    <row r="1337" spans="7:8" x14ac:dyDescent="0.35">
      <c r="G1337" s="215">
        <v>1330</v>
      </c>
      <c r="H1337" s="16">
        <f t="shared" ca="1" si="28"/>
        <v>-1.0594402310164203E-2</v>
      </c>
    </row>
    <row r="1338" spans="7:8" x14ac:dyDescent="0.35">
      <c r="G1338" s="215">
        <v>1331</v>
      </c>
      <c r="H1338" s="16">
        <f t="shared" ca="1" si="28"/>
        <v>-5.8802080153673511E-2</v>
      </c>
    </row>
    <row r="1339" spans="7:8" x14ac:dyDescent="0.35">
      <c r="G1339" s="215">
        <v>1332</v>
      </c>
      <c r="H1339" s="16">
        <f t="shared" ca="1" si="28"/>
        <v>2.0099542012154463E-2</v>
      </c>
    </row>
    <row r="1340" spans="7:8" x14ac:dyDescent="0.35">
      <c r="G1340" s="215">
        <v>1333</v>
      </c>
      <c r="H1340" s="16">
        <f t="shared" ca="1" si="28"/>
        <v>3.366237989802413E-3</v>
      </c>
    </row>
    <row r="1341" spans="7:8" x14ac:dyDescent="0.35">
      <c r="G1341" s="215">
        <v>1334</v>
      </c>
      <c r="H1341" s="16">
        <f t="shared" ca="1" si="28"/>
        <v>-0.14194544013921387</v>
      </c>
    </row>
    <row r="1342" spans="7:8" x14ac:dyDescent="0.35">
      <c r="G1342" s="215">
        <v>1335</v>
      </c>
      <c r="H1342" s="16">
        <f t="shared" ca="1" si="28"/>
        <v>-8.5278111621893846E-2</v>
      </c>
    </row>
    <row r="1343" spans="7:8" x14ac:dyDescent="0.35">
      <c r="G1343" s="215">
        <v>1336</v>
      </c>
      <c r="H1343" s="16">
        <f t="shared" ca="1" si="28"/>
        <v>5.2758508206944624E-2</v>
      </c>
    </row>
    <row r="1344" spans="7:8" x14ac:dyDescent="0.35">
      <c r="G1344" s="215">
        <v>1337</v>
      </c>
      <c r="H1344" s="16">
        <f t="shared" ca="1" si="28"/>
        <v>6.7693683685106877E-3</v>
      </c>
    </row>
    <row r="1345" spans="7:8" x14ac:dyDescent="0.35">
      <c r="G1345" s="215">
        <v>1338</v>
      </c>
      <c r="H1345" s="16">
        <f t="shared" ca="1" si="28"/>
        <v>9.0116638135244349E-3</v>
      </c>
    </row>
    <row r="1346" spans="7:8" x14ac:dyDescent="0.35">
      <c r="G1346" s="215">
        <v>1339</v>
      </c>
      <c r="H1346" s="16">
        <f t="shared" ca="1" si="28"/>
        <v>2.1103508935608403E-2</v>
      </c>
    </row>
    <row r="1347" spans="7:8" x14ac:dyDescent="0.35">
      <c r="G1347" s="215">
        <v>1340</v>
      </c>
      <c r="H1347" s="16">
        <f t="shared" ca="1" si="28"/>
        <v>5.4594768600168223E-2</v>
      </c>
    </row>
    <row r="1348" spans="7:8" x14ac:dyDescent="0.35">
      <c r="G1348" s="215">
        <v>1341</v>
      </c>
      <c r="H1348" s="16">
        <f t="shared" ca="1" si="28"/>
        <v>8.8768595025977171E-2</v>
      </c>
    </row>
    <row r="1349" spans="7:8" x14ac:dyDescent="0.35">
      <c r="G1349" s="215">
        <v>1342</v>
      </c>
      <c r="H1349" s="16">
        <f t="shared" ca="1" si="28"/>
        <v>-5.5674292133737036E-2</v>
      </c>
    </row>
    <row r="1350" spans="7:8" x14ac:dyDescent="0.35">
      <c r="G1350" s="215">
        <v>1343</v>
      </c>
      <c r="H1350" s="16">
        <f t="shared" ca="1" si="28"/>
        <v>-2.2805347325702701E-2</v>
      </c>
    </row>
    <row r="1351" spans="7:8" x14ac:dyDescent="0.35">
      <c r="G1351" s="215">
        <v>1344</v>
      </c>
      <c r="H1351" s="16">
        <f t="shared" ca="1" si="28"/>
        <v>0.16428922176137312</v>
      </c>
    </row>
    <row r="1352" spans="7:8" x14ac:dyDescent="0.35">
      <c r="G1352" s="215">
        <v>1345</v>
      </c>
      <c r="H1352" s="16">
        <f t="shared" ref="H1352:H1415" ca="1" si="29">_xlfn.NORM.INV(RAND(),M$10,M$11)</f>
        <v>2.6321754171691882E-2</v>
      </c>
    </row>
    <row r="1353" spans="7:8" x14ac:dyDescent="0.35">
      <c r="G1353" s="215">
        <v>1346</v>
      </c>
      <c r="H1353" s="16">
        <f t="shared" ca="1" si="29"/>
        <v>-2.8840851779670284E-2</v>
      </c>
    </row>
    <row r="1354" spans="7:8" x14ac:dyDescent="0.35">
      <c r="G1354" s="215">
        <v>1347</v>
      </c>
      <c r="H1354" s="16">
        <f t="shared" ca="1" si="29"/>
        <v>-0.11776049417691109</v>
      </c>
    </row>
    <row r="1355" spans="7:8" x14ac:dyDescent="0.35">
      <c r="G1355" s="215">
        <v>1348</v>
      </c>
      <c r="H1355" s="16">
        <f t="shared" ca="1" si="29"/>
        <v>4.1805385401231313E-2</v>
      </c>
    </row>
    <row r="1356" spans="7:8" x14ac:dyDescent="0.35">
      <c r="G1356" s="215">
        <v>1349</v>
      </c>
      <c r="H1356" s="16">
        <f t="shared" ca="1" si="29"/>
        <v>0.15202589076811387</v>
      </c>
    </row>
    <row r="1357" spans="7:8" x14ac:dyDescent="0.35">
      <c r="G1357" s="215">
        <v>1350</v>
      </c>
      <c r="H1357" s="16">
        <f t="shared" ca="1" si="29"/>
        <v>5.4338054838252714E-2</v>
      </c>
    </row>
    <row r="1358" spans="7:8" x14ac:dyDescent="0.35">
      <c r="G1358" s="215">
        <v>1351</v>
      </c>
      <c r="H1358" s="16">
        <f t="shared" ca="1" si="29"/>
        <v>1.3368160097204084E-2</v>
      </c>
    </row>
    <row r="1359" spans="7:8" x14ac:dyDescent="0.35">
      <c r="G1359" s="215">
        <v>1352</v>
      </c>
      <c r="H1359" s="16">
        <f t="shared" ca="1" si="29"/>
        <v>-0.10610389406946336</v>
      </c>
    </row>
    <row r="1360" spans="7:8" x14ac:dyDescent="0.35">
      <c r="G1360" s="215">
        <v>1353</v>
      </c>
      <c r="H1360" s="16">
        <f t="shared" ca="1" si="29"/>
        <v>9.4811927933817833E-2</v>
      </c>
    </row>
    <row r="1361" spans="7:8" x14ac:dyDescent="0.35">
      <c r="G1361" s="215">
        <v>1354</v>
      </c>
      <c r="H1361" s="16">
        <f t="shared" ca="1" si="29"/>
        <v>-2.9081915505746753E-2</v>
      </c>
    </row>
    <row r="1362" spans="7:8" x14ac:dyDescent="0.35">
      <c r="G1362" s="215">
        <v>1355</v>
      </c>
      <c r="H1362" s="16">
        <f t="shared" ca="1" si="29"/>
        <v>2.612313023379554E-2</v>
      </c>
    </row>
    <row r="1363" spans="7:8" x14ac:dyDescent="0.35">
      <c r="G1363" s="215">
        <v>1356</v>
      </c>
      <c r="H1363" s="16">
        <f t="shared" ca="1" si="29"/>
        <v>6.7836122243549457E-2</v>
      </c>
    </row>
    <row r="1364" spans="7:8" x14ac:dyDescent="0.35">
      <c r="G1364" s="215">
        <v>1357</v>
      </c>
      <c r="H1364" s="16">
        <f t="shared" ca="1" si="29"/>
        <v>-3.9710595178585995E-2</v>
      </c>
    </row>
    <row r="1365" spans="7:8" x14ac:dyDescent="0.35">
      <c r="G1365" s="215">
        <v>1358</v>
      </c>
      <c r="H1365" s="16">
        <f t="shared" ca="1" si="29"/>
        <v>-1.5906255413493695E-2</v>
      </c>
    </row>
    <row r="1366" spans="7:8" x14ac:dyDescent="0.35">
      <c r="G1366" s="215">
        <v>1359</v>
      </c>
      <c r="H1366" s="16">
        <f t="shared" ca="1" si="29"/>
        <v>-1.2442162302851115E-2</v>
      </c>
    </row>
    <row r="1367" spans="7:8" x14ac:dyDescent="0.35">
      <c r="G1367" s="215">
        <v>1360</v>
      </c>
      <c r="H1367" s="16">
        <f t="shared" ca="1" si="29"/>
        <v>-9.0246344251721511E-2</v>
      </c>
    </row>
    <row r="1368" spans="7:8" x14ac:dyDescent="0.35">
      <c r="G1368" s="215">
        <v>1361</v>
      </c>
      <c r="H1368" s="16">
        <f t="shared" ca="1" si="29"/>
        <v>1.6096684688357107E-2</v>
      </c>
    </row>
    <row r="1369" spans="7:8" x14ac:dyDescent="0.35">
      <c r="G1369" s="215">
        <v>1362</v>
      </c>
      <c r="H1369" s="16">
        <f t="shared" ca="1" si="29"/>
        <v>1.2989436142490532E-2</v>
      </c>
    </row>
    <row r="1370" spans="7:8" x14ac:dyDescent="0.35">
      <c r="G1370" s="215">
        <v>1363</v>
      </c>
      <c r="H1370" s="16">
        <f t="shared" ca="1" si="29"/>
        <v>0.1401729475339574</v>
      </c>
    </row>
    <row r="1371" spans="7:8" x14ac:dyDescent="0.35">
      <c r="G1371" s="215">
        <v>1364</v>
      </c>
      <c r="H1371" s="16">
        <f t="shared" ca="1" si="29"/>
        <v>2.118039234220373E-2</v>
      </c>
    </row>
    <row r="1372" spans="7:8" x14ac:dyDescent="0.35">
      <c r="G1372" s="215">
        <v>1365</v>
      </c>
      <c r="H1372" s="16">
        <f t="shared" ca="1" si="29"/>
        <v>-1.9424283835969187E-2</v>
      </c>
    </row>
    <row r="1373" spans="7:8" x14ac:dyDescent="0.35">
      <c r="G1373" s="215">
        <v>1366</v>
      </c>
      <c r="H1373" s="16">
        <f t="shared" ca="1" si="29"/>
        <v>-5.3585060708708165E-2</v>
      </c>
    </row>
    <row r="1374" spans="7:8" x14ac:dyDescent="0.35">
      <c r="G1374" s="215">
        <v>1367</v>
      </c>
      <c r="H1374" s="16">
        <f t="shared" ca="1" si="29"/>
        <v>-3.8752252931043327E-2</v>
      </c>
    </row>
    <row r="1375" spans="7:8" x14ac:dyDescent="0.35">
      <c r="G1375" s="215">
        <v>1368</v>
      </c>
      <c r="H1375" s="16">
        <f t="shared" ca="1" si="29"/>
        <v>-1.2185277820712583E-2</v>
      </c>
    </row>
    <row r="1376" spans="7:8" x14ac:dyDescent="0.35">
      <c r="G1376" s="215">
        <v>1369</v>
      </c>
      <c r="H1376" s="16">
        <f t="shared" ca="1" si="29"/>
        <v>6.711539279764997E-2</v>
      </c>
    </row>
    <row r="1377" spans="7:8" x14ac:dyDescent="0.35">
      <c r="G1377" s="215">
        <v>1370</v>
      </c>
      <c r="H1377" s="16">
        <f t="shared" ca="1" si="29"/>
        <v>-1.8141860799229539E-2</v>
      </c>
    </row>
    <row r="1378" spans="7:8" x14ac:dyDescent="0.35">
      <c r="G1378" s="215">
        <v>1371</v>
      </c>
      <c r="H1378" s="16">
        <f t="shared" ca="1" si="29"/>
        <v>3.8205627226577513E-2</v>
      </c>
    </row>
    <row r="1379" spans="7:8" x14ac:dyDescent="0.35">
      <c r="G1379" s="215">
        <v>1372</v>
      </c>
      <c r="H1379" s="16">
        <f t="shared" ca="1" si="29"/>
        <v>3.0479950253382834E-2</v>
      </c>
    </row>
    <row r="1380" spans="7:8" x14ac:dyDescent="0.35">
      <c r="G1380" s="215">
        <v>1373</v>
      </c>
      <c r="H1380" s="16">
        <f t="shared" ca="1" si="29"/>
        <v>6.7298365975564364E-2</v>
      </c>
    </row>
    <row r="1381" spans="7:8" x14ac:dyDescent="0.35">
      <c r="G1381" s="215">
        <v>1374</v>
      </c>
      <c r="H1381" s="16">
        <f t="shared" ca="1" si="29"/>
        <v>2.3944878739820964E-2</v>
      </c>
    </row>
    <row r="1382" spans="7:8" x14ac:dyDescent="0.35">
      <c r="G1382" s="215">
        <v>1375</v>
      </c>
      <c r="H1382" s="16">
        <f t="shared" ca="1" si="29"/>
        <v>3.0130563241930596E-3</v>
      </c>
    </row>
    <row r="1383" spans="7:8" x14ac:dyDescent="0.35">
      <c r="G1383" s="215">
        <v>1376</v>
      </c>
      <c r="H1383" s="16">
        <f t="shared" ca="1" si="29"/>
        <v>-5.524884133618102E-2</v>
      </c>
    </row>
    <row r="1384" spans="7:8" x14ac:dyDescent="0.35">
      <c r="G1384" s="215">
        <v>1377</v>
      </c>
      <c r="H1384" s="16">
        <f t="shared" ca="1" si="29"/>
        <v>5.3312167951839132E-3</v>
      </c>
    </row>
    <row r="1385" spans="7:8" x14ac:dyDescent="0.35">
      <c r="G1385" s="215">
        <v>1378</v>
      </c>
      <c r="H1385" s="16">
        <f t="shared" ca="1" si="29"/>
        <v>1.299234584572786E-2</v>
      </c>
    </row>
    <row r="1386" spans="7:8" x14ac:dyDescent="0.35">
      <c r="G1386" s="215">
        <v>1379</v>
      </c>
      <c r="H1386" s="16">
        <f t="shared" ca="1" si="29"/>
        <v>-3.6919215650271883E-2</v>
      </c>
    </row>
    <row r="1387" spans="7:8" x14ac:dyDescent="0.35">
      <c r="G1387" s="215">
        <v>1380</v>
      </c>
      <c r="H1387" s="16">
        <f t="shared" ca="1" si="29"/>
        <v>3.6873976868589425E-2</v>
      </c>
    </row>
    <row r="1388" spans="7:8" x14ac:dyDescent="0.35">
      <c r="G1388" s="215">
        <v>1381</v>
      </c>
      <c r="H1388" s="16">
        <f t="shared" ca="1" si="29"/>
        <v>0.15446916856775503</v>
      </c>
    </row>
    <row r="1389" spans="7:8" x14ac:dyDescent="0.35">
      <c r="G1389" s="215">
        <v>1382</v>
      </c>
      <c r="H1389" s="16">
        <f t="shared" ca="1" si="29"/>
        <v>-8.0539197769982918E-2</v>
      </c>
    </row>
    <row r="1390" spans="7:8" x14ac:dyDescent="0.35">
      <c r="G1390" s="215">
        <v>1383</v>
      </c>
      <c r="H1390" s="16">
        <f t="shared" ca="1" si="29"/>
        <v>5.9554397174424123E-2</v>
      </c>
    </row>
    <row r="1391" spans="7:8" x14ac:dyDescent="0.35">
      <c r="G1391" s="215">
        <v>1384</v>
      </c>
      <c r="H1391" s="16">
        <f t="shared" ca="1" si="29"/>
        <v>-3.0646217400058098E-2</v>
      </c>
    </row>
    <row r="1392" spans="7:8" x14ac:dyDescent="0.35">
      <c r="G1392" s="215">
        <v>1385</v>
      </c>
      <c r="H1392" s="16">
        <f t="shared" ca="1" si="29"/>
        <v>0.11147920531780403</v>
      </c>
    </row>
    <row r="1393" spans="7:8" x14ac:dyDescent="0.35">
      <c r="G1393" s="215">
        <v>1386</v>
      </c>
      <c r="H1393" s="16">
        <f t="shared" ca="1" si="29"/>
        <v>2.7729776637958427E-2</v>
      </c>
    </row>
    <row r="1394" spans="7:8" x14ac:dyDescent="0.35">
      <c r="G1394" s="215">
        <v>1387</v>
      </c>
      <c r="H1394" s="16">
        <f t="shared" ca="1" si="29"/>
        <v>-7.9270119134288247E-2</v>
      </c>
    </row>
    <row r="1395" spans="7:8" x14ac:dyDescent="0.35">
      <c r="G1395" s="215">
        <v>1388</v>
      </c>
      <c r="H1395" s="16">
        <f t="shared" ca="1" si="29"/>
        <v>4.6081846398046522E-2</v>
      </c>
    </row>
    <row r="1396" spans="7:8" x14ac:dyDescent="0.35">
      <c r="G1396" s="215">
        <v>1389</v>
      </c>
      <c r="H1396" s="16">
        <f t="shared" ca="1" si="29"/>
        <v>5.5640936113189321E-2</v>
      </c>
    </row>
    <row r="1397" spans="7:8" x14ac:dyDescent="0.35">
      <c r="G1397" s="215">
        <v>1390</v>
      </c>
      <c r="H1397" s="16">
        <f t="shared" ca="1" si="29"/>
        <v>-0.10259027509084745</v>
      </c>
    </row>
    <row r="1398" spans="7:8" x14ac:dyDescent="0.35">
      <c r="G1398" s="215">
        <v>1391</v>
      </c>
      <c r="H1398" s="16">
        <f t="shared" ca="1" si="29"/>
        <v>-0.14014575104847651</v>
      </c>
    </row>
    <row r="1399" spans="7:8" x14ac:dyDescent="0.35">
      <c r="G1399" s="215">
        <v>1392</v>
      </c>
      <c r="H1399" s="16">
        <f t="shared" ca="1" si="29"/>
        <v>4.6242709965173975E-2</v>
      </c>
    </row>
    <row r="1400" spans="7:8" x14ac:dyDescent="0.35">
      <c r="G1400" s="215">
        <v>1393</v>
      </c>
      <c r="H1400" s="16">
        <f t="shared" ca="1" si="29"/>
        <v>-1.7151307352806473E-2</v>
      </c>
    </row>
    <row r="1401" spans="7:8" x14ac:dyDescent="0.35">
      <c r="G1401" s="215">
        <v>1394</v>
      </c>
      <c r="H1401" s="16">
        <f t="shared" ca="1" si="29"/>
        <v>4.1884776418101337E-2</v>
      </c>
    </row>
    <row r="1402" spans="7:8" x14ac:dyDescent="0.35">
      <c r="G1402" s="215">
        <v>1395</v>
      </c>
      <c r="H1402" s="16">
        <f t="shared" ca="1" si="29"/>
        <v>-3.9319640638244294E-2</v>
      </c>
    </row>
    <row r="1403" spans="7:8" x14ac:dyDescent="0.35">
      <c r="G1403" s="215">
        <v>1396</v>
      </c>
      <c r="H1403" s="16">
        <f t="shared" ca="1" si="29"/>
        <v>-3.3886632034914668E-3</v>
      </c>
    </row>
    <row r="1404" spans="7:8" x14ac:dyDescent="0.35">
      <c r="G1404" s="215">
        <v>1397</v>
      </c>
      <c r="H1404" s="16">
        <f t="shared" ca="1" si="29"/>
        <v>7.6928521753711746E-2</v>
      </c>
    </row>
    <row r="1405" spans="7:8" x14ac:dyDescent="0.35">
      <c r="G1405" s="215">
        <v>1398</v>
      </c>
      <c r="H1405" s="16">
        <f t="shared" ca="1" si="29"/>
        <v>7.14771995129206E-2</v>
      </c>
    </row>
    <row r="1406" spans="7:8" x14ac:dyDescent="0.35">
      <c r="G1406" s="215">
        <v>1399</v>
      </c>
      <c r="H1406" s="16">
        <f t="shared" ca="1" si="29"/>
        <v>-0.1258535588407102</v>
      </c>
    </row>
    <row r="1407" spans="7:8" x14ac:dyDescent="0.35">
      <c r="G1407" s="215">
        <v>1400</v>
      </c>
      <c r="H1407" s="16">
        <f t="shared" ca="1" si="29"/>
        <v>0.10688271275213235</v>
      </c>
    </row>
    <row r="1408" spans="7:8" x14ac:dyDescent="0.35">
      <c r="G1408" s="215">
        <v>1401</v>
      </c>
      <c r="H1408" s="16">
        <f t="shared" ca="1" si="29"/>
        <v>-5.4622694555047924E-2</v>
      </c>
    </row>
    <row r="1409" spans="7:8" x14ac:dyDescent="0.35">
      <c r="G1409" s="215">
        <v>1402</v>
      </c>
      <c r="H1409" s="16">
        <f t="shared" ca="1" si="29"/>
        <v>2.619612957313517E-2</v>
      </c>
    </row>
    <row r="1410" spans="7:8" x14ac:dyDescent="0.35">
      <c r="G1410" s="215">
        <v>1403</v>
      </c>
      <c r="H1410" s="16">
        <f t="shared" ca="1" si="29"/>
        <v>-0.13253932132856261</v>
      </c>
    </row>
    <row r="1411" spans="7:8" x14ac:dyDescent="0.35">
      <c r="G1411" s="215">
        <v>1404</v>
      </c>
      <c r="H1411" s="16">
        <f t="shared" ca="1" si="29"/>
        <v>0.10134009236285192</v>
      </c>
    </row>
    <row r="1412" spans="7:8" x14ac:dyDescent="0.35">
      <c r="G1412" s="215">
        <v>1405</v>
      </c>
      <c r="H1412" s="16">
        <f t="shared" ca="1" si="29"/>
        <v>8.5253176196127434E-2</v>
      </c>
    </row>
    <row r="1413" spans="7:8" x14ac:dyDescent="0.35">
      <c r="G1413" s="215">
        <v>1406</v>
      </c>
      <c r="H1413" s="16">
        <f t="shared" ca="1" si="29"/>
        <v>-8.9277113815655743E-2</v>
      </c>
    </row>
    <row r="1414" spans="7:8" x14ac:dyDescent="0.35">
      <c r="G1414" s="215">
        <v>1407</v>
      </c>
      <c r="H1414" s="16">
        <f t="shared" ca="1" si="29"/>
        <v>2.3918437573478037E-2</v>
      </c>
    </row>
    <row r="1415" spans="7:8" x14ac:dyDescent="0.35">
      <c r="G1415" s="215">
        <v>1408</v>
      </c>
      <c r="H1415" s="16">
        <f t="shared" ca="1" si="29"/>
        <v>0.15522817362661168</v>
      </c>
    </row>
    <row r="1416" spans="7:8" x14ac:dyDescent="0.35">
      <c r="G1416" s="215">
        <v>1409</v>
      </c>
      <c r="H1416" s="16">
        <f t="shared" ref="H1416:H1479" ca="1" si="30">_xlfn.NORM.INV(RAND(),M$10,M$11)</f>
        <v>1.4242582706167274E-2</v>
      </c>
    </row>
    <row r="1417" spans="7:8" x14ac:dyDescent="0.35">
      <c r="G1417" s="215">
        <v>1410</v>
      </c>
      <c r="H1417" s="16">
        <f t="shared" ca="1" si="30"/>
        <v>-2.8090321870723921E-2</v>
      </c>
    </row>
    <row r="1418" spans="7:8" x14ac:dyDescent="0.35">
      <c r="G1418" s="215">
        <v>1411</v>
      </c>
      <c r="H1418" s="16">
        <f t="shared" ca="1" si="30"/>
        <v>-7.5383428261489444E-2</v>
      </c>
    </row>
    <row r="1419" spans="7:8" x14ac:dyDescent="0.35">
      <c r="G1419" s="215">
        <v>1412</v>
      </c>
      <c r="H1419" s="16">
        <f t="shared" ca="1" si="30"/>
        <v>1.8526165360187932E-2</v>
      </c>
    </row>
    <row r="1420" spans="7:8" x14ac:dyDescent="0.35">
      <c r="G1420" s="215">
        <v>1413</v>
      </c>
      <c r="H1420" s="16">
        <f t="shared" ca="1" si="30"/>
        <v>-2.5305130823075391E-3</v>
      </c>
    </row>
    <row r="1421" spans="7:8" x14ac:dyDescent="0.35">
      <c r="G1421" s="215">
        <v>1414</v>
      </c>
      <c r="H1421" s="16">
        <f t="shared" ca="1" si="30"/>
        <v>-6.2213815977112577E-2</v>
      </c>
    </row>
    <row r="1422" spans="7:8" x14ac:dyDescent="0.35">
      <c r="G1422" s="215">
        <v>1415</v>
      </c>
      <c r="H1422" s="16">
        <f t="shared" ca="1" si="30"/>
        <v>-7.3761307967948157E-3</v>
      </c>
    </row>
    <row r="1423" spans="7:8" x14ac:dyDescent="0.35">
      <c r="G1423" s="215">
        <v>1416</v>
      </c>
      <c r="H1423" s="16">
        <f t="shared" ca="1" si="30"/>
        <v>6.0803077044595158E-2</v>
      </c>
    </row>
    <row r="1424" spans="7:8" x14ac:dyDescent="0.35">
      <c r="G1424" s="215">
        <v>1417</v>
      </c>
      <c r="H1424" s="16">
        <f t="shared" ca="1" si="30"/>
        <v>4.5452766587295648E-2</v>
      </c>
    </row>
    <row r="1425" spans="7:8" x14ac:dyDescent="0.35">
      <c r="G1425" s="215">
        <v>1418</v>
      </c>
      <c r="H1425" s="16">
        <f t="shared" ca="1" si="30"/>
        <v>5.1433912089900669E-2</v>
      </c>
    </row>
    <row r="1426" spans="7:8" x14ac:dyDescent="0.35">
      <c r="G1426" s="215">
        <v>1419</v>
      </c>
      <c r="H1426" s="16">
        <f t="shared" ca="1" si="30"/>
        <v>-7.4527868266714564E-2</v>
      </c>
    </row>
    <row r="1427" spans="7:8" x14ac:dyDescent="0.35">
      <c r="G1427" s="215">
        <v>1420</v>
      </c>
      <c r="H1427" s="16">
        <f t="shared" ca="1" si="30"/>
        <v>-4.020518279697724E-2</v>
      </c>
    </row>
    <row r="1428" spans="7:8" x14ac:dyDescent="0.35">
      <c r="G1428" s="215">
        <v>1421</v>
      </c>
      <c r="H1428" s="16">
        <f t="shared" ca="1" si="30"/>
        <v>-3.2300170678008444E-2</v>
      </c>
    </row>
    <row r="1429" spans="7:8" x14ac:dyDescent="0.35">
      <c r="G1429" s="215">
        <v>1422</v>
      </c>
      <c r="H1429" s="16">
        <f t="shared" ca="1" si="30"/>
        <v>4.3412027776821453E-2</v>
      </c>
    </row>
    <row r="1430" spans="7:8" x14ac:dyDescent="0.35">
      <c r="G1430" s="215">
        <v>1423</v>
      </c>
      <c r="H1430" s="16">
        <f t="shared" ca="1" si="30"/>
        <v>3.2528343581262789E-2</v>
      </c>
    </row>
    <row r="1431" spans="7:8" x14ac:dyDescent="0.35">
      <c r="G1431" s="215">
        <v>1424</v>
      </c>
      <c r="H1431" s="16">
        <f t="shared" ca="1" si="30"/>
        <v>3.5911680781957715E-2</v>
      </c>
    </row>
    <row r="1432" spans="7:8" x14ac:dyDescent="0.35">
      <c r="G1432" s="215">
        <v>1425</v>
      </c>
      <c r="H1432" s="16">
        <f t="shared" ca="1" si="30"/>
        <v>-4.3867426637453438E-2</v>
      </c>
    </row>
    <row r="1433" spans="7:8" x14ac:dyDescent="0.35">
      <c r="G1433" s="215">
        <v>1426</v>
      </c>
      <c r="H1433" s="16">
        <f t="shared" ca="1" si="30"/>
        <v>9.9267516016195059E-2</v>
      </c>
    </row>
    <row r="1434" spans="7:8" x14ac:dyDescent="0.35">
      <c r="G1434" s="215">
        <v>1427</v>
      </c>
      <c r="H1434" s="16">
        <f t="shared" ca="1" si="30"/>
        <v>-0.15386889594196632</v>
      </c>
    </row>
    <row r="1435" spans="7:8" x14ac:dyDescent="0.35">
      <c r="G1435" s="215">
        <v>1428</v>
      </c>
      <c r="H1435" s="16">
        <f t="shared" ca="1" si="30"/>
        <v>-8.7528644899226127E-2</v>
      </c>
    </row>
    <row r="1436" spans="7:8" x14ac:dyDescent="0.35">
      <c r="G1436" s="215">
        <v>1429</v>
      </c>
      <c r="H1436" s="16">
        <f t="shared" ca="1" si="30"/>
        <v>2.5048279158987927E-2</v>
      </c>
    </row>
    <row r="1437" spans="7:8" x14ac:dyDescent="0.35">
      <c r="G1437" s="215">
        <v>1430</v>
      </c>
      <c r="H1437" s="16">
        <f t="shared" ca="1" si="30"/>
        <v>9.9792216358304139E-2</v>
      </c>
    </row>
    <row r="1438" spans="7:8" x14ac:dyDescent="0.35">
      <c r="G1438" s="215">
        <v>1431</v>
      </c>
      <c r="H1438" s="16">
        <f t="shared" ca="1" si="30"/>
        <v>0.10279029459646628</v>
      </c>
    </row>
    <row r="1439" spans="7:8" x14ac:dyDescent="0.35">
      <c r="G1439" s="215">
        <v>1432</v>
      </c>
      <c r="H1439" s="16">
        <f t="shared" ca="1" si="30"/>
        <v>-1.4170557222746519E-2</v>
      </c>
    </row>
    <row r="1440" spans="7:8" x14ac:dyDescent="0.35">
      <c r="G1440" s="215">
        <v>1433</v>
      </c>
      <c r="H1440" s="16">
        <f t="shared" ca="1" si="30"/>
        <v>-2.2185356006186284E-3</v>
      </c>
    </row>
    <row r="1441" spans="7:8" x14ac:dyDescent="0.35">
      <c r="G1441" s="215">
        <v>1434</v>
      </c>
      <c r="H1441" s="16">
        <f t="shared" ca="1" si="30"/>
        <v>4.3746574171918594E-2</v>
      </c>
    </row>
    <row r="1442" spans="7:8" x14ac:dyDescent="0.35">
      <c r="G1442" s="215">
        <v>1435</v>
      </c>
      <c r="H1442" s="16">
        <f t="shared" ca="1" si="30"/>
        <v>-4.7188135722886979E-2</v>
      </c>
    </row>
    <row r="1443" spans="7:8" x14ac:dyDescent="0.35">
      <c r="G1443" s="215">
        <v>1436</v>
      </c>
      <c r="H1443" s="16">
        <f t="shared" ca="1" si="30"/>
        <v>-3.7541738341787881E-2</v>
      </c>
    </row>
    <row r="1444" spans="7:8" x14ac:dyDescent="0.35">
      <c r="G1444" s="215">
        <v>1437</v>
      </c>
      <c r="H1444" s="16">
        <f t="shared" ca="1" si="30"/>
        <v>8.4826769324131246E-2</v>
      </c>
    </row>
    <row r="1445" spans="7:8" x14ac:dyDescent="0.35">
      <c r="G1445" s="215">
        <v>1438</v>
      </c>
      <c r="H1445" s="16">
        <f t="shared" ca="1" si="30"/>
        <v>-2.8099035602020022E-2</v>
      </c>
    </row>
    <row r="1446" spans="7:8" x14ac:dyDescent="0.35">
      <c r="G1446" s="215">
        <v>1439</v>
      </c>
      <c r="H1446" s="16">
        <f t="shared" ca="1" si="30"/>
        <v>-2.4920580396550037E-2</v>
      </c>
    </row>
    <row r="1447" spans="7:8" x14ac:dyDescent="0.35">
      <c r="G1447" s="215">
        <v>1440</v>
      </c>
      <c r="H1447" s="16">
        <f t="shared" ca="1" si="30"/>
        <v>8.701496918368504E-3</v>
      </c>
    </row>
    <row r="1448" spans="7:8" x14ac:dyDescent="0.35">
      <c r="G1448" s="215">
        <v>1441</v>
      </c>
      <c r="H1448" s="16">
        <f t="shared" ca="1" si="30"/>
        <v>-8.6478209129324954E-2</v>
      </c>
    </row>
    <row r="1449" spans="7:8" x14ac:dyDescent="0.35">
      <c r="G1449" s="215">
        <v>1442</v>
      </c>
      <c r="H1449" s="16">
        <f t="shared" ca="1" si="30"/>
        <v>-5.372150756098007E-2</v>
      </c>
    </row>
    <row r="1450" spans="7:8" x14ac:dyDescent="0.35">
      <c r="G1450" s="215">
        <v>1443</v>
      </c>
      <c r="H1450" s="16">
        <f t="shared" ca="1" si="30"/>
        <v>-3.3703704251042826E-2</v>
      </c>
    </row>
    <row r="1451" spans="7:8" x14ac:dyDescent="0.35">
      <c r="G1451" s="215">
        <v>1444</v>
      </c>
      <c r="H1451" s="16">
        <f t="shared" ca="1" si="30"/>
        <v>-0.11390829105569805</v>
      </c>
    </row>
    <row r="1452" spans="7:8" x14ac:dyDescent="0.35">
      <c r="G1452" s="215">
        <v>1445</v>
      </c>
      <c r="H1452" s="16">
        <f t="shared" ca="1" si="30"/>
        <v>-3.1586945983538048E-2</v>
      </c>
    </row>
    <row r="1453" spans="7:8" x14ac:dyDescent="0.35">
      <c r="G1453" s="215">
        <v>1446</v>
      </c>
      <c r="H1453" s="16">
        <f t="shared" ca="1" si="30"/>
        <v>-8.4830032125043128E-2</v>
      </c>
    </row>
    <row r="1454" spans="7:8" x14ac:dyDescent="0.35">
      <c r="G1454" s="215">
        <v>1447</v>
      </c>
      <c r="H1454" s="16">
        <f t="shared" ca="1" si="30"/>
        <v>8.4423444837877365E-2</v>
      </c>
    </row>
    <row r="1455" spans="7:8" x14ac:dyDescent="0.35">
      <c r="G1455" s="215">
        <v>1448</v>
      </c>
      <c r="H1455" s="16">
        <f t="shared" ca="1" si="30"/>
        <v>-5.365738763867825E-2</v>
      </c>
    </row>
    <row r="1456" spans="7:8" x14ac:dyDescent="0.35">
      <c r="G1456" s="215">
        <v>1449</v>
      </c>
      <c r="H1456" s="16">
        <f t="shared" ca="1" si="30"/>
        <v>3.0054833774185968E-2</v>
      </c>
    </row>
    <row r="1457" spans="7:8" x14ac:dyDescent="0.35">
      <c r="G1457" s="215">
        <v>1450</v>
      </c>
      <c r="H1457" s="16">
        <f t="shared" ca="1" si="30"/>
        <v>8.0810007631221675E-2</v>
      </c>
    </row>
    <row r="1458" spans="7:8" x14ac:dyDescent="0.35">
      <c r="G1458" s="215">
        <v>1451</v>
      </c>
      <c r="H1458" s="16">
        <f t="shared" ca="1" si="30"/>
        <v>-2.2024230321054765E-3</v>
      </c>
    </row>
    <row r="1459" spans="7:8" x14ac:dyDescent="0.35">
      <c r="G1459" s="215">
        <v>1452</v>
      </c>
      <c r="H1459" s="16">
        <f t="shared" ca="1" si="30"/>
        <v>5.1248348625715437E-2</v>
      </c>
    </row>
    <row r="1460" spans="7:8" x14ac:dyDescent="0.35">
      <c r="G1460" s="215">
        <v>1453</v>
      </c>
      <c r="H1460" s="16">
        <f t="shared" ca="1" si="30"/>
        <v>3.1807033036667862E-2</v>
      </c>
    </row>
    <row r="1461" spans="7:8" x14ac:dyDescent="0.35">
      <c r="G1461" s="215">
        <v>1454</v>
      </c>
      <c r="H1461" s="16">
        <f t="shared" ca="1" si="30"/>
        <v>5.7968850004586181E-2</v>
      </c>
    </row>
    <row r="1462" spans="7:8" x14ac:dyDescent="0.35">
      <c r="G1462" s="215">
        <v>1455</v>
      </c>
      <c r="H1462" s="16">
        <f t="shared" ca="1" si="30"/>
        <v>4.3194344504019766E-2</v>
      </c>
    </row>
    <row r="1463" spans="7:8" x14ac:dyDescent="0.35">
      <c r="G1463" s="215">
        <v>1456</v>
      </c>
      <c r="H1463" s="16">
        <f t="shared" ca="1" si="30"/>
        <v>-2.3085351333847325E-2</v>
      </c>
    </row>
    <row r="1464" spans="7:8" x14ac:dyDescent="0.35">
      <c r="G1464" s="215">
        <v>1457</v>
      </c>
      <c r="H1464" s="16">
        <f t="shared" ca="1" si="30"/>
        <v>5.4286184380109501E-2</v>
      </c>
    </row>
    <row r="1465" spans="7:8" x14ac:dyDescent="0.35">
      <c r="G1465" s="215">
        <v>1458</v>
      </c>
      <c r="H1465" s="16">
        <f t="shared" ca="1" si="30"/>
        <v>-8.4393202310030016E-2</v>
      </c>
    </row>
    <row r="1466" spans="7:8" x14ac:dyDescent="0.35">
      <c r="G1466" s="215">
        <v>1459</v>
      </c>
      <c r="H1466" s="16">
        <f t="shared" ca="1" si="30"/>
        <v>2.5674148016234792E-2</v>
      </c>
    </row>
    <row r="1467" spans="7:8" x14ac:dyDescent="0.35">
      <c r="G1467" s="215">
        <v>1460</v>
      </c>
      <c r="H1467" s="16">
        <f t="shared" ca="1" si="30"/>
        <v>5.5578976763373186E-2</v>
      </c>
    </row>
    <row r="1468" spans="7:8" x14ac:dyDescent="0.35">
      <c r="G1468" s="215">
        <v>1461</v>
      </c>
      <c r="H1468" s="16">
        <f t="shared" ca="1" si="30"/>
        <v>7.1375032029751415E-2</v>
      </c>
    </row>
    <row r="1469" spans="7:8" x14ac:dyDescent="0.35">
      <c r="G1469" s="215">
        <v>1462</v>
      </c>
      <c r="H1469" s="16">
        <f t="shared" ca="1" si="30"/>
        <v>7.6832855509603643E-2</v>
      </c>
    </row>
    <row r="1470" spans="7:8" x14ac:dyDescent="0.35">
      <c r="G1470" s="215">
        <v>1463</v>
      </c>
      <c r="H1470" s="16">
        <f t="shared" ca="1" si="30"/>
        <v>-6.6488607781578252E-2</v>
      </c>
    </row>
    <row r="1471" spans="7:8" x14ac:dyDescent="0.35">
      <c r="G1471" s="215">
        <v>1464</v>
      </c>
      <c r="H1471" s="16">
        <f t="shared" ca="1" si="30"/>
        <v>-7.2064724185215964E-2</v>
      </c>
    </row>
    <row r="1472" spans="7:8" x14ac:dyDescent="0.35">
      <c r="G1472" s="215">
        <v>1465</v>
      </c>
      <c r="H1472" s="16">
        <f t="shared" ca="1" si="30"/>
        <v>0.13242820269106939</v>
      </c>
    </row>
    <row r="1473" spans="7:8" x14ac:dyDescent="0.35">
      <c r="G1473" s="215">
        <v>1466</v>
      </c>
      <c r="H1473" s="16">
        <f t="shared" ca="1" si="30"/>
        <v>9.2957390070521798E-2</v>
      </c>
    </row>
    <row r="1474" spans="7:8" x14ac:dyDescent="0.35">
      <c r="G1474" s="215">
        <v>1467</v>
      </c>
      <c r="H1474" s="16">
        <f t="shared" ca="1" si="30"/>
        <v>1.8700344246743515E-2</v>
      </c>
    </row>
    <row r="1475" spans="7:8" x14ac:dyDescent="0.35">
      <c r="G1475" s="215">
        <v>1468</v>
      </c>
      <c r="H1475" s="16">
        <f t="shared" ca="1" si="30"/>
        <v>-2.416658655629705E-2</v>
      </c>
    </row>
    <row r="1476" spans="7:8" x14ac:dyDescent="0.35">
      <c r="G1476" s="215">
        <v>1469</v>
      </c>
      <c r="H1476" s="16">
        <f t="shared" ca="1" si="30"/>
        <v>0.11903597851419671</v>
      </c>
    </row>
    <row r="1477" spans="7:8" x14ac:dyDescent="0.35">
      <c r="G1477" s="215">
        <v>1470</v>
      </c>
      <c r="H1477" s="16">
        <f t="shared" ca="1" si="30"/>
        <v>-7.6438278530081005E-2</v>
      </c>
    </row>
    <row r="1478" spans="7:8" x14ac:dyDescent="0.35">
      <c r="G1478" s="215">
        <v>1471</v>
      </c>
      <c r="H1478" s="16">
        <f t="shared" ca="1" si="30"/>
        <v>1.3736540883756013E-2</v>
      </c>
    </row>
    <row r="1479" spans="7:8" x14ac:dyDescent="0.35">
      <c r="G1479" s="215">
        <v>1472</v>
      </c>
      <c r="H1479" s="16">
        <f t="shared" ca="1" si="30"/>
        <v>0.14491187990839002</v>
      </c>
    </row>
    <row r="1480" spans="7:8" x14ac:dyDescent="0.35">
      <c r="G1480" s="215">
        <v>1473</v>
      </c>
      <c r="H1480" s="16">
        <f t="shared" ref="H1480:H1543" ca="1" si="31">_xlfn.NORM.INV(RAND(),M$10,M$11)</f>
        <v>6.4408532056491219E-2</v>
      </c>
    </row>
    <row r="1481" spans="7:8" x14ac:dyDescent="0.35">
      <c r="G1481" s="215">
        <v>1474</v>
      </c>
      <c r="H1481" s="16">
        <f t="shared" ca="1" si="31"/>
        <v>-4.7258214656058131E-2</v>
      </c>
    </row>
    <row r="1482" spans="7:8" x14ac:dyDescent="0.35">
      <c r="G1482" s="215">
        <v>1475</v>
      </c>
      <c r="H1482" s="16">
        <f t="shared" ca="1" si="31"/>
        <v>-7.2248407990817831E-2</v>
      </c>
    </row>
    <row r="1483" spans="7:8" x14ac:dyDescent="0.35">
      <c r="G1483" s="215">
        <v>1476</v>
      </c>
      <c r="H1483" s="16">
        <f t="shared" ca="1" si="31"/>
        <v>-1.1859066210410173E-2</v>
      </c>
    </row>
    <row r="1484" spans="7:8" x14ac:dyDescent="0.35">
      <c r="G1484" s="215">
        <v>1477</v>
      </c>
      <c r="H1484" s="16">
        <f t="shared" ca="1" si="31"/>
        <v>0.12153453034690363</v>
      </c>
    </row>
    <row r="1485" spans="7:8" x14ac:dyDescent="0.35">
      <c r="G1485" s="215">
        <v>1478</v>
      </c>
      <c r="H1485" s="16">
        <f t="shared" ca="1" si="31"/>
        <v>-4.0961475148743182E-2</v>
      </c>
    </row>
    <row r="1486" spans="7:8" x14ac:dyDescent="0.35">
      <c r="G1486" s="215">
        <v>1479</v>
      </c>
      <c r="H1486" s="16">
        <f t="shared" ca="1" si="31"/>
        <v>0.11688168441294604</v>
      </c>
    </row>
    <row r="1487" spans="7:8" x14ac:dyDescent="0.35">
      <c r="G1487" s="215">
        <v>1480</v>
      </c>
      <c r="H1487" s="16">
        <f t="shared" ca="1" si="31"/>
        <v>6.3098408404083706E-2</v>
      </c>
    </row>
    <row r="1488" spans="7:8" x14ac:dyDescent="0.35">
      <c r="G1488" s="215">
        <v>1481</v>
      </c>
      <c r="H1488" s="16">
        <f t="shared" ca="1" si="31"/>
        <v>-8.9985390535391591E-2</v>
      </c>
    </row>
    <row r="1489" spans="7:8" x14ac:dyDescent="0.35">
      <c r="G1489" s="215">
        <v>1482</v>
      </c>
      <c r="H1489" s="16">
        <f t="shared" ca="1" si="31"/>
        <v>-2.3732081636745356E-2</v>
      </c>
    </row>
    <row r="1490" spans="7:8" x14ac:dyDescent="0.35">
      <c r="G1490" s="215">
        <v>1483</v>
      </c>
      <c r="H1490" s="16">
        <f t="shared" ca="1" si="31"/>
        <v>0.14406825278132149</v>
      </c>
    </row>
    <row r="1491" spans="7:8" x14ac:dyDescent="0.35">
      <c r="G1491" s="215">
        <v>1484</v>
      </c>
      <c r="H1491" s="16">
        <f t="shared" ca="1" si="31"/>
        <v>1.8822742877117264E-2</v>
      </c>
    </row>
    <row r="1492" spans="7:8" x14ac:dyDescent="0.35">
      <c r="G1492" s="215">
        <v>1485</v>
      </c>
      <c r="H1492" s="16">
        <f t="shared" ca="1" si="31"/>
        <v>-1.3572149227015582E-3</v>
      </c>
    </row>
    <row r="1493" spans="7:8" x14ac:dyDescent="0.35">
      <c r="G1493" s="215">
        <v>1486</v>
      </c>
      <c r="H1493" s="16">
        <f t="shared" ca="1" si="31"/>
        <v>3.345079155187386E-2</v>
      </c>
    </row>
    <row r="1494" spans="7:8" x14ac:dyDescent="0.35">
      <c r="G1494" s="215">
        <v>1487</v>
      </c>
      <c r="H1494" s="16">
        <f t="shared" ca="1" si="31"/>
        <v>1.7664265076710626E-2</v>
      </c>
    </row>
    <row r="1495" spans="7:8" x14ac:dyDescent="0.35">
      <c r="G1495" s="215">
        <v>1488</v>
      </c>
      <c r="H1495" s="16">
        <f t="shared" ca="1" si="31"/>
        <v>6.6988681902045155E-2</v>
      </c>
    </row>
    <row r="1496" spans="7:8" x14ac:dyDescent="0.35">
      <c r="G1496" s="215">
        <v>1489</v>
      </c>
      <c r="H1496" s="16">
        <f t="shared" ca="1" si="31"/>
        <v>4.8479227451374091E-2</v>
      </c>
    </row>
    <row r="1497" spans="7:8" x14ac:dyDescent="0.35">
      <c r="G1497" s="215">
        <v>1490</v>
      </c>
      <c r="H1497" s="16">
        <f t="shared" ca="1" si="31"/>
        <v>-9.3306449983945119E-2</v>
      </c>
    </row>
    <row r="1498" spans="7:8" x14ac:dyDescent="0.35">
      <c r="G1498" s="215">
        <v>1491</v>
      </c>
      <c r="H1498" s="16">
        <f t="shared" ca="1" si="31"/>
        <v>3.529494464182506E-2</v>
      </c>
    </row>
    <row r="1499" spans="7:8" x14ac:dyDescent="0.35">
      <c r="G1499" s="215">
        <v>1492</v>
      </c>
      <c r="H1499" s="16">
        <f t="shared" ca="1" si="31"/>
        <v>-2.0643250182733053E-3</v>
      </c>
    </row>
    <row r="1500" spans="7:8" x14ac:dyDescent="0.35">
      <c r="G1500" s="215">
        <v>1493</v>
      </c>
      <c r="H1500" s="16">
        <f t="shared" ca="1" si="31"/>
        <v>-4.0422506701084965E-2</v>
      </c>
    </row>
    <row r="1501" spans="7:8" x14ac:dyDescent="0.35">
      <c r="G1501" s="215">
        <v>1494</v>
      </c>
      <c r="H1501" s="16">
        <f t="shared" ca="1" si="31"/>
        <v>0.11228338482382834</v>
      </c>
    </row>
    <row r="1502" spans="7:8" x14ac:dyDescent="0.35">
      <c r="G1502" s="215">
        <v>1495</v>
      </c>
      <c r="H1502" s="16">
        <f t="shared" ca="1" si="31"/>
        <v>0.15601451515367085</v>
      </c>
    </row>
    <row r="1503" spans="7:8" x14ac:dyDescent="0.35">
      <c r="G1503" s="215">
        <v>1496</v>
      </c>
      <c r="H1503" s="16">
        <f t="shared" ca="1" si="31"/>
        <v>-1.2944592221518701E-2</v>
      </c>
    </row>
    <row r="1504" spans="7:8" x14ac:dyDescent="0.35">
      <c r="G1504" s="215">
        <v>1497</v>
      </c>
      <c r="H1504" s="16">
        <f t="shared" ca="1" si="31"/>
        <v>6.5577439219032418E-2</v>
      </c>
    </row>
    <row r="1505" spans="7:8" x14ac:dyDescent="0.35">
      <c r="G1505" s="215">
        <v>1498</v>
      </c>
      <c r="H1505" s="16">
        <f t="shared" ca="1" si="31"/>
        <v>-7.1335158709883856E-3</v>
      </c>
    </row>
    <row r="1506" spans="7:8" x14ac:dyDescent="0.35">
      <c r="G1506" s="215">
        <v>1499</v>
      </c>
      <c r="H1506" s="16">
        <f t="shared" ca="1" si="31"/>
        <v>-4.3727782610549909E-2</v>
      </c>
    </row>
    <row r="1507" spans="7:8" x14ac:dyDescent="0.35">
      <c r="G1507" s="215">
        <v>1500</v>
      </c>
      <c r="H1507" s="16">
        <f t="shared" ca="1" si="31"/>
        <v>-0.10040138421374901</v>
      </c>
    </row>
    <row r="1508" spans="7:8" x14ac:dyDescent="0.35">
      <c r="G1508" s="215">
        <v>1501</v>
      </c>
      <c r="H1508" s="16">
        <f t="shared" ca="1" si="31"/>
        <v>8.4362706209427638E-2</v>
      </c>
    </row>
    <row r="1509" spans="7:8" x14ac:dyDescent="0.35">
      <c r="G1509" s="215">
        <v>1502</v>
      </c>
      <c r="H1509" s="16">
        <f t="shared" ca="1" si="31"/>
        <v>-1.3823236391403641E-2</v>
      </c>
    </row>
    <row r="1510" spans="7:8" x14ac:dyDescent="0.35">
      <c r="G1510" s="215">
        <v>1503</v>
      </c>
      <c r="H1510" s="16">
        <f t="shared" ca="1" si="31"/>
        <v>-1.1723285417041828E-2</v>
      </c>
    </row>
    <row r="1511" spans="7:8" x14ac:dyDescent="0.35">
      <c r="G1511" s="215">
        <v>1504</v>
      </c>
      <c r="H1511" s="16">
        <f t="shared" ca="1" si="31"/>
        <v>-1.5180780012106147E-2</v>
      </c>
    </row>
    <row r="1512" spans="7:8" x14ac:dyDescent="0.35">
      <c r="G1512" s="215">
        <v>1505</v>
      </c>
      <c r="H1512" s="16">
        <f t="shared" ca="1" si="31"/>
        <v>0.10640299664007601</v>
      </c>
    </row>
    <row r="1513" spans="7:8" x14ac:dyDescent="0.35">
      <c r="G1513" s="215">
        <v>1506</v>
      </c>
      <c r="H1513" s="16">
        <f t="shared" ca="1" si="31"/>
        <v>1.4610247418022665E-2</v>
      </c>
    </row>
    <row r="1514" spans="7:8" x14ac:dyDescent="0.35">
      <c r="G1514" s="215">
        <v>1507</v>
      </c>
      <c r="H1514" s="16">
        <f t="shared" ca="1" si="31"/>
        <v>9.9561475106252711E-2</v>
      </c>
    </row>
    <row r="1515" spans="7:8" x14ac:dyDescent="0.35">
      <c r="G1515" s="215">
        <v>1508</v>
      </c>
      <c r="H1515" s="16">
        <f t="shared" ca="1" si="31"/>
        <v>5.0450201755095514E-2</v>
      </c>
    </row>
    <row r="1516" spans="7:8" x14ac:dyDescent="0.35">
      <c r="G1516" s="215">
        <v>1509</v>
      </c>
      <c r="H1516" s="16">
        <f t="shared" ca="1" si="31"/>
        <v>5.4806464651276185E-2</v>
      </c>
    </row>
    <row r="1517" spans="7:8" x14ac:dyDescent="0.35">
      <c r="G1517" s="215">
        <v>1510</v>
      </c>
      <c r="H1517" s="16">
        <f t="shared" ca="1" si="31"/>
        <v>-6.3061214142891342E-2</v>
      </c>
    </row>
    <row r="1518" spans="7:8" x14ac:dyDescent="0.35">
      <c r="G1518" s="215">
        <v>1511</v>
      </c>
      <c r="H1518" s="16">
        <f t="shared" ca="1" si="31"/>
        <v>-1.0777261584355144E-2</v>
      </c>
    </row>
    <row r="1519" spans="7:8" x14ac:dyDescent="0.35">
      <c r="G1519" s="215">
        <v>1512</v>
      </c>
      <c r="H1519" s="16">
        <f t="shared" ca="1" si="31"/>
        <v>4.6924885248802339E-2</v>
      </c>
    </row>
    <row r="1520" spans="7:8" x14ac:dyDescent="0.35">
      <c r="G1520" s="215">
        <v>1513</v>
      </c>
      <c r="H1520" s="16">
        <f t="shared" ca="1" si="31"/>
        <v>0.10259215992577025</v>
      </c>
    </row>
    <row r="1521" spans="7:8" x14ac:dyDescent="0.35">
      <c r="G1521" s="215">
        <v>1514</v>
      </c>
      <c r="H1521" s="16">
        <f t="shared" ca="1" si="31"/>
        <v>-3.7866278960221877E-2</v>
      </c>
    </row>
    <row r="1522" spans="7:8" x14ac:dyDescent="0.35">
      <c r="G1522" s="215">
        <v>1515</v>
      </c>
      <c r="H1522" s="16">
        <f t="shared" ca="1" si="31"/>
        <v>-2.4523006464396011E-2</v>
      </c>
    </row>
    <row r="1523" spans="7:8" x14ac:dyDescent="0.35">
      <c r="G1523" s="215">
        <v>1516</v>
      </c>
      <c r="H1523" s="16">
        <f t="shared" ca="1" si="31"/>
        <v>1.1146939326439464E-3</v>
      </c>
    </row>
    <row r="1524" spans="7:8" x14ac:dyDescent="0.35">
      <c r="G1524" s="215">
        <v>1517</v>
      </c>
      <c r="H1524" s="16">
        <f t="shared" ca="1" si="31"/>
        <v>1.6941292658837641E-2</v>
      </c>
    </row>
    <row r="1525" spans="7:8" x14ac:dyDescent="0.35">
      <c r="G1525" s="215">
        <v>1518</v>
      </c>
      <c r="H1525" s="16">
        <f t="shared" ca="1" si="31"/>
        <v>-1.4758979928564193E-2</v>
      </c>
    </row>
    <row r="1526" spans="7:8" x14ac:dyDescent="0.35">
      <c r="G1526" s="215">
        <v>1519</v>
      </c>
      <c r="H1526" s="16">
        <f t="shared" ca="1" si="31"/>
        <v>3.6635280662636834E-2</v>
      </c>
    </row>
    <row r="1527" spans="7:8" x14ac:dyDescent="0.35">
      <c r="G1527" s="215">
        <v>1520</v>
      </c>
      <c r="H1527" s="16">
        <f t="shared" ca="1" si="31"/>
        <v>9.199867132871116E-2</v>
      </c>
    </row>
    <row r="1528" spans="7:8" x14ac:dyDescent="0.35">
      <c r="G1528" s="215">
        <v>1521</v>
      </c>
      <c r="H1528" s="16">
        <f t="shared" ca="1" si="31"/>
        <v>-0.1153036847104702</v>
      </c>
    </row>
    <row r="1529" spans="7:8" x14ac:dyDescent="0.35">
      <c r="G1529" s="215">
        <v>1522</v>
      </c>
      <c r="H1529" s="16">
        <f t="shared" ca="1" si="31"/>
        <v>0.17245507519234898</v>
      </c>
    </row>
    <row r="1530" spans="7:8" x14ac:dyDescent="0.35">
      <c r="G1530" s="215">
        <v>1523</v>
      </c>
      <c r="H1530" s="16">
        <f t="shared" ca="1" si="31"/>
        <v>-0.15708704051325825</v>
      </c>
    </row>
    <row r="1531" spans="7:8" x14ac:dyDescent="0.35">
      <c r="G1531" s="215">
        <v>1524</v>
      </c>
      <c r="H1531" s="16">
        <f t="shared" ca="1" si="31"/>
        <v>0.21194808346437521</v>
      </c>
    </row>
    <row r="1532" spans="7:8" x14ac:dyDescent="0.35">
      <c r="G1532" s="215">
        <v>1525</v>
      </c>
      <c r="H1532" s="16">
        <f t="shared" ca="1" si="31"/>
        <v>-2.0645369275593822E-4</v>
      </c>
    </row>
    <row r="1533" spans="7:8" x14ac:dyDescent="0.35">
      <c r="G1533" s="215">
        <v>1526</v>
      </c>
      <c r="H1533" s="16">
        <f t="shared" ca="1" si="31"/>
        <v>7.7277299246256481E-2</v>
      </c>
    </row>
    <row r="1534" spans="7:8" x14ac:dyDescent="0.35">
      <c r="G1534" s="215">
        <v>1527</v>
      </c>
      <c r="H1534" s="16">
        <f t="shared" ca="1" si="31"/>
        <v>-8.7298854943079887E-2</v>
      </c>
    </row>
    <row r="1535" spans="7:8" x14ac:dyDescent="0.35">
      <c r="G1535" s="215">
        <v>1528</v>
      </c>
      <c r="H1535" s="16">
        <f t="shared" ca="1" si="31"/>
        <v>0.13447920512273454</v>
      </c>
    </row>
    <row r="1536" spans="7:8" x14ac:dyDescent="0.35">
      <c r="G1536" s="215">
        <v>1529</v>
      </c>
      <c r="H1536" s="16">
        <f t="shared" ca="1" si="31"/>
        <v>-6.6215804561927299E-2</v>
      </c>
    </row>
    <row r="1537" spans="7:8" x14ac:dyDescent="0.35">
      <c r="G1537" s="215">
        <v>1530</v>
      </c>
      <c r="H1537" s="16">
        <f t="shared" ca="1" si="31"/>
        <v>3.020895713947043E-2</v>
      </c>
    </row>
    <row r="1538" spans="7:8" x14ac:dyDescent="0.35">
      <c r="G1538" s="215">
        <v>1531</v>
      </c>
      <c r="H1538" s="16">
        <f t="shared" ca="1" si="31"/>
        <v>-6.9736901168940324E-2</v>
      </c>
    </row>
    <row r="1539" spans="7:8" x14ac:dyDescent="0.35">
      <c r="G1539" s="215">
        <v>1532</v>
      </c>
      <c r="H1539" s="16">
        <f t="shared" ca="1" si="31"/>
        <v>-1.6408221052816144E-2</v>
      </c>
    </row>
    <row r="1540" spans="7:8" x14ac:dyDescent="0.35">
      <c r="G1540" s="215">
        <v>1533</v>
      </c>
      <c r="H1540" s="16">
        <f t="shared" ca="1" si="31"/>
        <v>-0.14289883052586555</v>
      </c>
    </row>
    <row r="1541" spans="7:8" x14ac:dyDescent="0.35">
      <c r="G1541" s="215">
        <v>1534</v>
      </c>
      <c r="H1541" s="16">
        <f t="shared" ca="1" si="31"/>
        <v>-0.1585770695623791</v>
      </c>
    </row>
    <row r="1542" spans="7:8" x14ac:dyDescent="0.35">
      <c r="G1542" s="215">
        <v>1535</v>
      </c>
      <c r="H1542" s="16">
        <f t="shared" ca="1" si="31"/>
        <v>-4.1785654410519887E-2</v>
      </c>
    </row>
    <row r="1543" spans="7:8" x14ac:dyDescent="0.35">
      <c r="G1543" s="215">
        <v>1536</v>
      </c>
      <c r="H1543" s="16">
        <f t="shared" ca="1" si="31"/>
        <v>4.2737697145088363E-2</v>
      </c>
    </row>
    <row r="1544" spans="7:8" x14ac:dyDescent="0.35">
      <c r="G1544" s="215">
        <v>1537</v>
      </c>
      <c r="H1544" s="16">
        <f t="shared" ref="H1544:H1607" ca="1" si="32">_xlfn.NORM.INV(RAND(),M$10,M$11)</f>
        <v>4.1741841509953699E-2</v>
      </c>
    </row>
    <row r="1545" spans="7:8" x14ac:dyDescent="0.35">
      <c r="G1545" s="215">
        <v>1538</v>
      </c>
      <c r="H1545" s="16">
        <f t="shared" ca="1" si="32"/>
        <v>-9.7694915027275439E-2</v>
      </c>
    </row>
    <row r="1546" spans="7:8" x14ac:dyDescent="0.35">
      <c r="G1546" s="215">
        <v>1539</v>
      </c>
      <c r="H1546" s="16">
        <f t="shared" ca="1" si="32"/>
        <v>3.3240554640522765E-2</v>
      </c>
    </row>
    <row r="1547" spans="7:8" x14ac:dyDescent="0.35">
      <c r="G1547" s="215">
        <v>1540</v>
      </c>
      <c r="H1547" s="16">
        <f t="shared" ca="1" si="32"/>
        <v>5.4002744652053951E-4</v>
      </c>
    </row>
    <row r="1548" spans="7:8" x14ac:dyDescent="0.35">
      <c r="G1548" s="215">
        <v>1541</v>
      </c>
      <c r="H1548" s="16">
        <f t="shared" ca="1" si="32"/>
        <v>2.4648261567354769E-3</v>
      </c>
    </row>
    <row r="1549" spans="7:8" x14ac:dyDescent="0.35">
      <c r="G1549" s="215">
        <v>1542</v>
      </c>
      <c r="H1549" s="16">
        <f t="shared" ca="1" si="32"/>
        <v>-4.0503019583524001E-3</v>
      </c>
    </row>
    <row r="1550" spans="7:8" x14ac:dyDescent="0.35">
      <c r="G1550" s="215">
        <v>1543</v>
      </c>
      <c r="H1550" s="16">
        <f t="shared" ca="1" si="32"/>
        <v>-6.1800790431971418E-3</v>
      </c>
    </row>
    <row r="1551" spans="7:8" x14ac:dyDescent="0.35">
      <c r="G1551" s="215">
        <v>1544</v>
      </c>
      <c r="H1551" s="16">
        <f t="shared" ca="1" si="32"/>
        <v>7.1424039714283556E-3</v>
      </c>
    </row>
    <row r="1552" spans="7:8" x14ac:dyDescent="0.35">
      <c r="G1552" s="215">
        <v>1545</v>
      </c>
      <c r="H1552" s="16">
        <f t="shared" ca="1" si="32"/>
        <v>0.14967063260033708</v>
      </c>
    </row>
    <row r="1553" spans="7:8" x14ac:dyDescent="0.35">
      <c r="G1553" s="215">
        <v>1546</v>
      </c>
      <c r="H1553" s="16">
        <f t="shared" ca="1" si="32"/>
        <v>6.8756085224225341E-2</v>
      </c>
    </row>
    <row r="1554" spans="7:8" x14ac:dyDescent="0.35">
      <c r="G1554" s="215">
        <v>1547</v>
      </c>
      <c r="H1554" s="16">
        <f t="shared" ca="1" si="32"/>
        <v>0.1342004667313135</v>
      </c>
    </row>
    <row r="1555" spans="7:8" x14ac:dyDescent="0.35">
      <c r="G1555" s="215">
        <v>1548</v>
      </c>
      <c r="H1555" s="16">
        <f t="shared" ca="1" si="32"/>
        <v>0.17205472565886812</v>
      </c>
    </row>
    <row r="1556" spans="7:8" x14ac:dyDescent="0.35">
      <c r="G1556" s="215">
        <v>1549</v>
      </c>
      <c r="H1556" s="16">
        <f t="shared" ca="1" si="32"/>
        <v>-1.5937113194806785E-2</v>
      </c>
    </row>
    <row r="1557" spans="7:8" x14ac:dyDescent="0.35">
      <c r="G1557" s="215">
        <v>1550</v>
      </c>
      <c r="H1557" s="16">
        <f t="shared" ca="1" si="32"/>
        <v>-3.3228720877650053E-2</v>
      </c>
    </row>
    <row r="1558" spans="7:8" x14ac:dyDescent="0.35">
      <c r="G1558" s="215">
        <v>1551</v>
      </c>
      <c r="H1558" s="16">
        <f t="shared" ca="1" si="32"/>
        <v>6.7207935269193525E-2</v>
      </c>
    </row>
    <row r="1559" spans="7:8" x14ac:dyDescent="0.35">
      <c r="G1559" s="215">
        <v>1552</v>
      </c>
      <c r="H1559" s="16">
        <f t="shared" ca="1" si="32"/>
        <v>-9.6370946416161507E-2</v>
      </c>
    </row>
    <row r="1560" spans="7:8" x14ac:dyDescent="0.35">
      <c r="G1560" s="215">
        <v>1553</v>
      </c>
      <c r="H1560" s="16">
        <f t="shared" ca="1" si="32"/>
        <v>-0.10767992092749246</v>
      </c>
    </row>
    <row r="1561" spans="7:8" x14ac:dyDescent="0.35">
      <c r="G1561" s="215">
        <v>1554</v>
      </c>
      <c r="H1561" s="16">
        <f t="shared" ca="1" si="32"/>
        <v>-3.144186760492957E-3</v>
      </c>
    </row>
    <row r="1562" spans="7:8" x14ac:dyDescent="0.35">
      <c r="G1562" s="215">
        <v>1555</v>
      </c>
      <c r="H1562" s="16">
        <f t="shared" ca="1" si="32"/>
        <v>-0.11862185073385545</v>
      </c>
    </row>
    <row r="1563" spans="7:8" x14ac:dyDescent="0.35">
      <c r="G1563" s="215">
        <v>1556</v>
      </c>
      <c r="H1563" s="16">
        <f t="shared" ca="1" si="32"/>
        <v>0.19308603003218422</v>
      </c>
    </row>
    <row r="1564" spans="7:8" x14ac:dyDescent="0.35">
      <c r="G1564" s="215">
        <v>1557</v>
      </c>
      <c r="H1564" s="16">
        <f t="shared" ca="1" si="32"/>
        <v>7.0671747212738667E-2</v>
      </c>
    </row>
    <row r="1565" spans="7:8" x14ac:dyDescent="0.35">
      <c r="G1565" s="215">
        <v>1558</v>
      </c>
      <c r="H1565" s="16">
        <f t="shared" ca="1" si="32"/>
        <v>-4.1777299736220366E-2</v>
      </c>
    </row>
    <row r="1566" spans="7:8" x14ac:dyDescent="0.35">
      <c r="G1566" s="215">
        <v>1559</v>
      </c>
      <c r="H1566" s="16">
        <f t="shared" ca="1" si="32"/>
        <v>-5.2868440185217316E-2</v>
      </c>
    </row>
    <row r="1567" spans="7:8" x14ac:dyDescent="0.35">
      <c r="G1567" s="215">
        <v>1560</v>
      </c>
      <c r="H1567" s="16">
        <f t="shared" ca="1" si="32"/>
        <v>-2.8556231303447106E-2</v>
      </c>
    </row>
    <row r="1568" spans="7:8" x14ac:dyDescent="0.35">
      <c r="G1568" s="215">
        <v>1561</v>
      </c>
      <c r="H1568" s="16">
        <f t="shared" ca="1" si="32"/>
        <v>-2.5857756452855141E-2</v>
      </c>
    </row>
    <row r="1569" spans="7:8" x14ac:dyDescent="0.35">
      <c r="G1569" s="215">
        <v>1562</v>
      </c>
      <c r="H1569" s="16">
        <f t="shared" ca="1" si="32"/>
        <v>0.17374425384557513</v>
      </c>
    </row>
    <row r="1570" spans="7:8" x14ac:dyDescent="0.35">
      <c r="G1570" s="215">
        <v>1563</v>
      </c>
      <c r="H1570" s="16">
        <f t="shared" ca="1" si="32"/>
        <v>5.1174551016362813E-2</v>
      </c>
    </row>
    <row r="1571" spans="7:8" x14ac:dyDescent="0.35">
      <c r="G1571" s="215">
        <v>1564</v>
      </c>
      <c r="H1571" s="16">
        <f t="shared" ca="1" si="32"/>
        <v>8.8141752705471962E-3</v>
      </c>
    </row>
    <row r="1572" spans="7:8" x14ac:dyDescent="0.35">
      <c r="G1572" s="215">
        <v>1565</v>
      </c>
      <c r="H1572" s="16">
        <f t="shared" ca="1" si="32"/>
        <v>8.2499950795293764E-2</v>
      </c>
    </row>
    <row r="1573" spans="7:8" x14ac:dyDescent="0.35">
      <c r="G1573" s="215">
        <v>1566</v>
      </c>
      <c r="H1573" s="16">
        <f t="shared" ca="1" si="32"/>
        <v>8.0419986650094602E-2</v>
      </c>
    </row>
    <row r="1574" spans="7:8" x14ac:dyDescent="0.35">
      <c r="G1574" s="215">
        <v>1567</v>
      </c>
      <c r="H1574" s="16">
        <f t="shared" ca="1" si="32"/>
        <v>-4.6416200795644416E-2</v>
      </c>
    </row>
    <row r="1575" spans="7:8" x14ac:dyDescent="0.35">
      <c r="G1575" s="215">
        <v>1568</v>
      </c>
      <c r="H1575" s="16">
        <f t="shared" ca="1" si="32"/>
        <v>-1.6813447304505933E-2</v>
      </c>
    </row>
    <row r="1576" spans="7:8" x14ac:dyDescent="0.35">
      <c r="G1576" s="215">
        <v>1569</v>
      </c>
      <c r="H1576" s="16">
        <f t="shared" ca="1" si="32"/>
        <v>5.4007670693768245E-2</v>
      </c>
    </row>
    <row r="1577" spans="7:8" x14ac:dyDescent="0.35">
      <c r="G1577" s="215">
        <v>1570</v>
      </c>
      <c r="H1577" s="16">
        <f t="shared" ca="1" si="32"/>
        <v>8.5488436567563691E-2</v>
      </c>
    </row>
    <row r="1578" spans="7:8" x14ac:dyDescent="0.35">
      <c r="G1578" s="215">
        <v>1571</v>
      </c>
      <c r="H1578" s="16">
        <f t="shared" ca="1" si="32"/>
        <v>1.8865843252219572E-2</v>
      </c>
    </row>
    <row r="1579" spans="7:8" x14ac:dyDescent="0.35">
      <c r="G1579" s="215">
        <v>1572</v>
      </c>
      <c r="H1579" s="16">
        <f t="shared" ca="1" si="32"/>
        <v>-6.0788835030213942E-2</v>
      </c>
    </row>
    <row r="1580" spans="7:8" x14ac:dyDescent="0.35">
      <c r="G1580" s="215">
        <v>1573</v>
      </c>
      <c r="H1580" s="16">
        <f t="shared" ca="1" si="32"/>
        <v>2.7480057818692023E-2</v>
      </c>
    </row>
    <row r="1581" spans="7:8" x14ac:dyDescent="0.35">
      <c r="G1581" s="215">
        <v>1574</v>
      </c>
      <c r="H1581" s="16">
        <f t="shared" ca="1" si="32"/>
        <v>3.4962203990839082E-2</v>
      </c>
    </row>
    <row r="1582" spans="7:8" x14ac:dyDescent="0.35">
      <c r="G1582" s="215">
        <v>1575</v>
      </c>
      <c r="H1582" s="16">
        <f t="shared" ca="1" si="32"/>
        <v>-2.7360798160080673E-2</v>
      </c>
    </row>
    <row r="1583" spans="7:8" x14ac:dyDescent="0.35">
      <c r="G1583" s="215">
        <v>1576</v>
      </c>
      <c r="H1583" s="16">
        <f t="shared" ca="1" si="32"/>
        <v>-5.7318690187752236E-2</v>
      </c>
    </row>
    <row r="1584" spans="7:8" x14ac:dyDescent="0.35">
      <c r="G1584" s="215">
        <v>1577</v>
      </c>
      <c r="H1584" s="16">
        <f t="shared" ca="1" si="32"/>
        <v>3.6784414564226812E-2</v>
      </c>
    </row>
    <row r="1585" spans="7:8" x14ac:dyDescent="0.35">
      <c r="G1585" s="215">
        <v>1578</v>
      </c>
      <c r="H1585" s="16">
        <f t="shared" ca="1" si="32"/>
        <v>-3.8297902745827131E-2</v>
      </c>
    </row>
    <row r="1586" spans="7:8" x14ac:dyDescent="0.35">
      <c r="G1586" s="215">
        <v>1579</v>
      </c>
      <c r="H1586" s="16">
        <f t="shared" ca="1" si="32"/>
        <v>-2.3414414857603694E-2</v>
      </c>
    </row>
    <row r="1587" spans="7:8" x14ac:dyDescent="0.35">
      <c r="G1587" s="215">
        <v>1580</v>
      </c>
      <c r="H1587" s="16">
        <f t="shared" ca="1" si="32"/>
        <v>-7.3350266484229779E-2</v>
      </c>
    </row>
    <row r="1588" spans="7:8" x14ac:dyDescent="0.35">
      <c r="G1588" s="215">
        <v>1581</v>
      </c>
      <c r="H1588" s="16">
        <f t="shared" ca="1" si="32"/>
        <v>4.7383634895922996E-2</v>
      </c>
    </row>
    <row r="1589" spans="7:8" x14ac:dyDescent="0.35">
      <c r="G1589" s="215">
        <v>1582</v>
      </c>
      <c r="H1589" s="16">
        <f t="shared" ca="1" si="32"/>
        <v>-8.826731637999255E-3</v>
      </c>
    </row>
    <row r="1590" spans="7:8" x14ac:dyDescent="0.35">
      <c r="G1590" s="215">
        <v>1583</v>
      </c>
      <c r="H1590" s="16">
        <f t="shared" ca="1" si="32"/>
        <v>-3.1402539505512542E-2</v>
      </c>
    </row>
    <row r="1591" spans="7:8" x14ac:dyDescent="0.35">
      <c r="G1591" s="215">
        <v>1584</v>
      </c>
      <c r="H1591" s="16">
        <f t="shared" ca="1" si="32"/>
        <v>-3.9671749739606549E-2</v>
      </c>
    </row>
    <row r="1592" spans="7:8" x14ac:dyDescent="0.35">
      <c r="G1592" s="215">
        <v>1585</v>
      </c>
      <c r="H1592" s="16">
        <f t="shared" ca="1" si="32"/>
        <v>-4.671876219737528E-2</v>
      </c>
    </row>
    <row r="1593" spans="7:8" x14ac:dyDescent="0.35">
      <c r="G1593" s="215">
        <v>1586</v>
      </c>
      <c r="H1593" s="16">
        <f t="shared" ca="1" si="32"/>
        <v>1.1570013797158291E-2</v>
      </c>
    </row>
    <row r="1594" spans="7:8" x14ac:dyDescent="0.35">
      <c r="G1594" s="215">
        <v>1587</v>
      </c>
      <c r="H1594" s="16">
        <f t="shared" ca="1" si="32"/>
        <v>7.6149981508284142E-2</v>
      </c>
    </row>
    <row r="1595" spans="7:8" x14ac:dyDescent="0.35">
      <c r="G1595" s="215">
        <v>1588</v>
      </c>
      <c r="H1595" s="16">
        <f t="shared" ca="1" si="32"/>
        <v>-8.852257614183321E-3</v>
      </c>
    </row>
    <row r="1596" spans="7:8" x14ac:dyDescent="0.35">
      <c r="G1596" s="215">
        <v>1589</v>
      </c>
      <c r="H1596" s="16">
        <f t="shared" ca="1" si="32"/>
        <v>4.2559885572954047E-3</v>
      </c>
    </row>
    <row r="1597" spans="7:8" x14ac:dyDescent="0.35">
      <c r="G1597" s="215">
        <v>1590</v>
      </c>
      <c r="H1597" s="16">
        <f t="shared" ca="1" si="32"/>
        <v>0.11129130956867542</v>
      </c>
    </row>
    <row r="1598" spans="7:8" x14ac:dyDescent="0.35">
      <c r="G1598" s="215">
        <v>1591</v>
      </c>
      <c r="H1598" s="16">
        <f t="shared" ca="1" si="32"/>
        <v>0.1111304177627091</v>
      </c>
    </row>
    <row r="1599" spans="7:8" x14ac:dyDescent="0.35">
      <c r="G1599" s="215">
        <v>1592</v>
      </c>
      <c r="H1599" s="16">
        <f t="shared" ca="1" si="32"/>
        <v>2.539296780801855E-2</v>
      </c>
    </row>
    <row r="1600" spans="7:8" x14ac:dyDescent="0.35">
      <c r="G1600" s="215">
        <v>1593</v>
      </c>
      <c r="H1600" s="16">
        <f t="shared" ca="1" si="32"/>
        <v>-1.0591912224076828E-2</v>
      </c>
    </row>
    <row r="1601" spans="7:8" x14ac:dyDescent="0.35">
      <c r="G1601" s="215">
        <v>1594</v>
      </c>
      <c r="H1601" s="16">
        <f t="shared" ca="1" si="32"/>
        <v>-7.7086688767202718E-2</v>
      </c>
    </row>
    <row r="1602" spans="7:8" x14ac:dyDescent="0.35">
      <c r="G1602" s="215">
        <v>1595</v>
      </c>
      <c r="H1602" s="16">
        <f t="shared" ca="1" si="32"/>
        <v>-6.3511607211066495E-2</v>
      </c>
    </row>
    <row r="1603" spans="7:8" x14ac:dyDescent="0.35">
      <c r="G1603" s="215">
        <v>1596</v>
      </c>
      <c r="H1603" s="16">
        <f t="shared" ca="1" si="32"/>
        <v>0.10068284575416475</v>
      </c>
    </row>
    <row r="1604" spans="7:8" x14ac:dyDescent="0.35">
      <c r="G1604" s="215">
        <v>1597</v>
      </c>
      <c r="H1604" s="16">
        <f t="shared" ca="1" si="32"/>
        <v>3.0119946735220834E-2</v>
      </c>
    </row>
    <row r="1605" spans="7:8" x14ac:dyDescent="0.35">
      <c r="G1605" s="215">
        <v>1598</v>
      </c>
      <c r="H1605" s="16">
        <f t="shared" ca="1" si="32"/>
        <v>-2.4573380453070257E-2</v>
      </c>
    </row>
    <row r="1606" spans="7:8" x14ac:dyDescent="0.35">
      <c r="G1606" s="215">
        <v>1599</v>
      </c>
      <c r="H1606" s="16">
        <f t="shared" ca="1" si="32"/>
        <v>8.7767887798802222E-2</v>
      </c>
    </row>
    <row r="1607" spans="7:8" x14ac:dyDescent="0.35">
      <c r="G1607" s="215">
        <v>1600</v>
      </c>
      <c r="H1607" s="16">
        <f t="shared" ca="1" si="32"/>
        <v>2.6467329634350407E-3</v>
      </c>
    </row>
    <row r="1608" spans="7:8" x14ac:dyDescent="0.35">
      <c r="G1608" s="215">
        <v>1601</v>
      </c>
      <c r="H1608" s="16">
        <f t="shared" ref="H1608:H1671" ca="1" si="33">_xlfn.NORM.INV(RAND(),M$10,M$11)</f>
        <v>-2.521302116558059E-2</v>
      </c>
    </row>
    <row r="1609" spans="7:8" x14ac:dyDescent="0.35">
      <c r="G1609" s="215">
        <v>1602</v>
      </c>
      <c r="H1609" s="16">
        <f t="shared" ca="1" si="33"/>
        <v>0.11251496524511827</v>
      </c>
    </row>
    <row r="1610" spans="7:8" x14ac:dyDescent="0.35">
      <c r="G1610" s="215">
        <v>1603</v>
      </c>
      <c r="H1610" s="16">
        <f t="shared" ca="1" si="33"/>
        <v>-4.9095884928112718E-2</v>
      </c>
    </row>
    <row r="1611" spans="7:8" x14ac:dyDescent="0.35">
      <c r="G1611" s="215">
        <v>1604</v>
      </c>
      <c r="H1611" s="16">
        <f t="shared" ca="1" si="33"/>
        <v>-6.0372764385897532E-2</v>
      </c>
    </row>
    <row r="1612" spans="7:8" x14ac:dyDescent="0.35">
      <c r="G1612" s="215">
        <v>1605</v>
      </c>
      <c r="H1612" s="16">
        <f t="shared" ca="1" si="33"/>
        <v>0.15587251002184094</v>
      </c>
    </row>
    <row r="1613" spans="7:8" x14ac:dyDescent="0.35">
      <c r="G1613" s="215">
        <v>1606</v>
      </c>
      <c r="H1613" s="16">
        <f t="shared" ca="1" si="33"/>
        <v>0.10856392407569979</v>
      </c>
    </row>
    <row r="1614" spans="7:8" x14ac:dyDescent="0.35">
      <c r="G1614" s="215">
        <v>1607</v>
      </c>
      <c r="H1614" s="16">
        <f t="shared" ca="1" si="33"/>
        <v>5.1358364970419623E-2</v>
      </c>
    </row>
    <row r="1615" spans="7:8" x14ac:dyDescent="0.35">
      <c r="G1615" s="215">
        <v>1608</v>
      </c>
      <c r="H1615" s="16">
        <f t="shared" ca="1" si="33"/>
        <v>4.3493581284192166E-2</v>
      </c>
    </row>
    <row r="1616" spans="7:8" x14ac:dyDescent="0.35">
      <c r="G1616" s="215">
        <v>1609</v>
      </c>
      <c r="H1616" s="16">
        <f t="shared" ca="1" si="33"/>
        <v>-3.872632792182519E-2</v>
      </c>
    </row>
    <row r="1617" spans="7:8" x14ac:dyDescent="0.35">
      <c r="G1617" s="215">
        <v>1610</v>
      </c>
      <c r="H1617" s="16">
        <f t="shared" ca="1" si="33"/>
        <v>2.2846494257340845E-2</v>
      </c>
    </row>
    <row r="1618" spans="7:8" x14ac:dyDescent="0.35">
      <c r="G1618" s="215">
        <v>1611</v>
      </c>
      <c r="H1618" s="16">
        <f t="shared" ca="1" si="33"/>
        <v>-7.5516896900545138E-3</v>
      </c>
    </row>
    <row r="1619" spans="7:8" x14ac:dyDescent="0.35">
      <c r="G1619" s="215">
        <v>1612</v>
      </c>
      <c r="H1619" s="16">
        <f t="shared" ca="1" si="33"/>
        <v>0.13473912510355027</v>
      </c>
    </row>
    <row r="1620" spans="7:8" x14ac:dyDescent="0.35">
      <c r="G1620" s="215">
        <v>1613</v>
      </c>
      <c r="H1620" s="16">
        <f t="shared" ca="1" si="33"/>
        <v>-4.2172461341217632E-2</v>
      </c>
    </row>
    <row r="1621" spans="7:8" x14ac:dyDescent="0.35">
      <c r="G1621" s="215">
        <v>1614</v>
      </c>
      <c r="H1621" s="16">
        <f t="shared" ca="1" si="33"/>
        <v>9.5199474214874277E-2</v>
      </c>
    </row>
    <row r="1622" spans="7:8" x14ac:dyDescent="0.35">
      <c r="G1622" s="215">
        <v>1615</v>
      </c>
      <c r="H1622" s="16">
        <f t="shared" ca="1" si="33"/>
        <v>1.3293183490054395E-2</v>
      </c>
    </row>
    <row r="1623" spans="7:8" x14ac:dyDescent="0.35">
      <c r="G1623" s="215">
        <v>1616</v>
      </c>
      <c r="H1623" s="16">
        <f t="shared" ca="1" si="33"/>
        <v>-1.4236709342072107E-2</v>
      </c>
    </row>
    <row r="1624" spans="7:8" x14ac:dyDescent="0.35">
      <c r="G1624" s="215">
        <v>1617</v>
      </c>
      <c r="H1624" s="16">
        <f t="shared" ca="1" si="33"/>
        <v>7.1001138927872617E-2</v>
      </c>
    </row>
    <row r="1625" spans="7:8" x14ac:dyDescent="0.35">
      <c r="G1625" s="215">
        <v>1618</v>
      </c>
      <c r="H1625" s="16">
        <f t="shared" ca="1" si="33"/>
        <v>1.2779025748857333E-2</v>
      </c>
    </row>
    <row r="1626" spans="7:8" x14ac:dyDescent="0.35">
      <c r="G1626" s="215">
        <v>1619</v>
      </c>
      <c r="H1626" s="16">
        <f t="shared" ca="1" si="33"/>
        <v>-8.8025530364108887E-2</v>
      </c>
    </row>
    <row r="1627" spans="7:8" x14ac:dyDescent="0.35">
      <c r="G1627" s="215">
        <v>1620</v>
      </c>
      <c r="H1627" s="16">
        <f t="shared" ca="1" si="33"/>
        <v>-0.11438129037638409</v>
      </c>
    </row>
    <row r="1628" spans="7:8" x14ac:dyDescent="0.35">
      <c r="G1628" s="215">
        <v>1621</v>
      </c>
      <c r="H1628" s="16">
        <f t="shared" ca="1" si="33"/>
        <v>-5.3034055371310035E-2</v>
      </c>
    </row>
    <row r="1629" spans="7:8" x14ac:dyDescent="0.35">
      <c r="G1629" s="215">
        <v>1622</v>
      </c>
      <c r="H1629" s="16">
        <f t="shared" ca="1" si="33"/>
        <v>-0.12659279674814697</v>
      </c>
    </row>
    <row r="1630" spans="7:8" x14ac:dyDescent="0.35">
      <c r="G1630" s="215">
        <v>1623</v>
      </c>
      <c r="H1630" s="16">
        <f t="shared" ca="1" si="33"/>
        <v>-1.9778595823364865E-3</v>
      </c>
    </row>
    <row r="1631" spans="7:8" x14ac:dyDescent="0.35">
      <c r="G1631" s="215">
        <v>1624</v>
      </c>
      <c r="H1631" s="16">
        <f t="shared" ca="1" si="33"/>
        <v>-0.15690977388233865</v>
      </c>
    </row>
    <row r="1632" spans="7:8" x14ac:dyDescent="0.35">
      <c r="G1632" s="215">
        <v>1625</v>
      </c>
      <c r="H1632" s="16">
        <f t="shared" ca="1" si="33"/>
        <v>2.5004032646563423E-2</v>
      </c>
    </row>
    <row r="1633" spans="7:8" x14ac:dyDescent="0.35">
      <c r="G1633" s="215">
        <v>1626</v>
      </c>
      <c r="H1633" s="16">
        <f t="shared" ca="1" si="33"/>
        <v>-0.20697006693853104</v>
      </c>
    </row>
    <row r="1634" spans="7:8" x14ac:dyDescent="0.35">
      <c r="G1634" s="215">
        <v>1627</v>
      </c>
      <c r="H1634" s="16">
        <f t="shared" ca="1" si="33"/>
        <v>-7.0181306769141583E-2</v>
      </c>
    </row>
    <row r="1635" spans="7:8" x14ac:dyDescent="0.35">
      <c r="G1635" s="215">
        <v>1628</v>
      </c>
      <c r="H1635" s="16">
        <f t="shared" ca="1" si="33"/>
        <v>-4.0022150752764385E-2</v>
      </c>
    </row>
    <row r="1636" spans="7:8" x14ac:dyDescent="0.35">
      <c r="G1636" s="215">
        <v>1629</v>
      </c>
      <c r="H1636" s="16">
        <f t="shared" ca="1" si="33"/>
        <v>7.6530829510646742E-2</v>
      </c>
    </row>
    <row r="1637" spans="7:8" x14ac:dyDescent="0.35">
      <c r="G1637" s="215">
        <v>1630</v>
      </c>
      <c r="H1637" s="16">
        <f t="shared" ca="1" si="33"/>
        <v>-2.3598315946218515E-5</v>
      </c>
    </row>
    <row r="1638" spans="7:8" x14ac:dyDescent="0.35">
      <c r="G1638" s="215">
        <v>1631</v>
      </c>
      <c r="H1638" s="16">
        <f t="shared" ca="1" si="33"/>
        <v>3.6580141428177337E-2</v>
      </c>
    </row>
    <row r="1639" spans="7:8" x14ac:dyDescent="0.35">
      <c r="G1639" s="215">
        <v>1632</v>
      </c>
      <c r="H1639" s="16">
        <f t="shared" ca="1" si="33"/>
        <v>0.12086072447521112</v>
      </c>
    </row>
    <row r="1640" spans="7:8" x14ac:dyDescent="0.35">
      <c r="G1640" s="215">
        <v>1633</v>
      </c>
      <c r="H1640" s="16">
        <f t="shared" ca="1" si="33"/>
        <v>0.10010444789526568</v>
      </c>
    </row>
    <row r="1641" spans="7:8" x14ac:dyDescent="0.35">
      <c r="G1641" s="215">
        <v>1634</v>
      </c>
      <c r="H1641" s="16">
        <f t="shared" ca="1" si="33"/>
        <v>3.820591571898968E-2</v>
      </c>
    </row>
    <row r="1642" spans="7:8" x14ac:dyDescent="0.35">
      <c r="G1642" s="215">
        <v>1635</v>
      </c>
      <c r="H1642" s="16">
        <f t="shared" ca="1" si="33"/>
        <v>2.721369306722678E-2</v>
      </c>
    </row>
    <row r="1643" spans="7:8" x14ac:dyDescent="0.35">
      <c r="G1643" s="215">
        <v>1636</v>
      </c>
      <c r="H1643" s="16">
        <f t="shared" ca="1" si="33"/>
        <v>4.4150642213934208E-2</v>
      </c>
    </row>
    <row r="1644" spans="7:8" x14ac:dyDescent="0.35">
      <c r="G1644" s="215">
        <v>1637</v>
      </c>
      <c r="H1644" s="16">
        <f t="shared" ca="1" si="33"/>
        <v>3.947414418878234E-3</v>
      </c>
    </row>
    <row r="1645" spans="7:8" x14ac:dyDescent="0.35">
      <c r="G1645" s="215">
        <v>1638</v>
      </c>
      <c r="H1645" s="16">
        <f t="shared" ca="1" si="33"/>
        <v>0.16423850718087835</v>
      </c>
    </row>
    <row r="1646" spans="7:8" x14ac:dyDescent="0.35">
      <c r="G1646" s="215">
        <v>1639</v>
      </c>
      <c r="H1646" s="16">
        <f t="shared" ca="1" si="33"/>
        <v>-6.6061772735812679E-2</v>
      </c>
    </row>
    <row r="1647" spans="7:8" x14ac:dyDescent="0.35">
      <c r="G1647" s="215">
        <v>1640</v>
      </c>
      <c r="H1647" s="16">
        <f t="shared" ca="1" si="33"/>
        <v>-1.7166906295114252E-2</v>
      </c>
    </row>
    <row r="1648" spans="7:8" x14ac:dyDescent="0.35">
      <c r="G1648" s="215">
        <v>1641</v>
      </c>
      <c r="H1648" s="16">
        <f t="shared" ca="1" si="33"/>
        <v>2.6497230790445372E-2</v>
      </c>
    </row>
    <row r="1649" spans="7:8" x14ac:dyDescent="0.35">
      <c r="G1649" s="215">
        <v>1642</v>
      </c>
      <c r="H1649" s="16">
        <f t="shared" ca="1" si="33"/>
        <v>-2.1062179902846787E-2</v>
      </c>
    </row>
    <row r="1650" spans="7:8" x14ac:dyDescent="0.35">
      <c r="G1650" s="215">
        <v>1643</v>
      </c>
      <c r="H1650" s="16">
        <f t="shared" ca="1" si="33"/>
        <v>1.9958719677717014E-2</v>
      </c>
    </row>
    <row r="1651" spans="7:8" x14ac:dyDescent="0.35">
      <c r="G1651" s="215">
        <v>1644</v>
      </c>
      <c r="H1651" s="16">
        <f t="shared" ca="1" si="33"/>
        <v>2.9704233773484582E-2</v>
      </c>
    </row>
    <row r="1652" spans="7:8" x14ac:dyDescent="0.35">
      <c r="G1652" s="215">
        <v>1645</v>
      </c>
      <c r="H1652" s="16">
        <f t="shared" ca="1" si="33"/>
        <v>-4.9583506426506968E-2</v>
      </c>
    </row>
    <row r="1653" spans="7:8" x14ac:dyDescent="0.35">
      <c r="G1653" s="215">
        <v>1646</v>
      </c>
      <c r="H1653" s="16">
        <f t="shared" ca="1" si="33"/>
        <v>0.11178270236779035</v>
      </c>
    </row>
    <row r="1654" spans="7:8" x14ac:dyDescent="0.35">
      <c r="G1654" s="215">
        <v>1647</v>
      </c>
      <c r="H1654" s="16">
        <f t="shared" ca="1" si="33"/>
        <v>4.1130167037905611E-2</v>
      </c>
    </row>
    <row r="1655" spans="7:8" x14ac:dyDescent="0.35">
      <c r="G1655" s="215">
        <v>1648</v>
      </c>
      <c r="H1655" s="16">
        <f t="shared" ca="1" si="33"/>
        <v>4.8130385987993143E-2</v>
      </c>
    </row>
    <row r="1656" spans="7:8" x14ac:dyDescent="0.35">
      <c r="G1656" s="215">
        <v>1649</v>
      </c>
      <c r="H1656" s="16">
        <f t="shared" ca="1" si="33"/>
        <v>-1.1466320212158206E-2</v>
      </c>
    </row>
    <row r="1657" spans="7:8" x14ac:dyDescent="0.35">
      <c r="G1657" s="215">
        <v>1650</v>
      </c>
      <c r="H1657" s="16">
        <f t="shared" ca="1" si="33"/>
        <v>0.10743474347185136</v>
      </c>
    </row>
    <row r="1658" spans="7:8" x14ac:dyDescent="0.35">
      <c r="G1658" s="215">
        <v>1651</v>
      </c>
      <c r="H1658" s="16">
        <f t="shared" ca="1" si="33"/>
        <v>6.3185813183191553E-2</v>
      </c>
    </row>
    <row r="1659" spans="7:8" x14ac:dyDescent="0.35">
      <c r="G1659" s="215">
        <v>1652</v>
      </c>
      <c r="H1659" s="16">
        <f t="shared" ca="1" si="33"/>
        <v>5.2435215894756707E-2</v>
      </c>
    </row>
    <row r="1660" spans="7:8" x14ac:dyDescent="0.35">
      <c r="G1660" s="215">
        <v>1653</v>
      </c>
      <c r="H1660" s="16">
        <f t="shared" ca="1" si="33"/>
        <v>1.0068123637884084E-2</v>
      </c>
    </row>
    <row r="1661" spans="7:8" x14ac:dyDescent="0.35">
      <c r="G1661" s="215">
        <v>1654</v>
      </c>
      <c r="H1661" s="16">
        <f t="shared" ca="1" si="33"/>
        <v>7.4564313447192818E-2</v>
      </c>
    </row>
    <row r="1662" spans="7:8" x14ac:dyDescent="0.35">
      <c r="G1662" s="215">
        <v>1655</v>
      </c>
      <c r="H1662" s="16">
        <f t="shared" ca="1" si="33"/>
        <v>0.12915088042143189</v>
      </c>
    </row>
    <row r="1663" spans="7:8" x14ac:dyDescent="0.35">
      <c r="G1663" s="215">
        <v>1656</v>
      </c>
      <c r="H1663" s="16">
        <f t="shared" ca="1" si="33"/>
        <v>4.6253634502298982E-2</v>
      </c>
    </row>
    <row r="1664" spans="7:8" x14ac:dyDescent="0.35">
      <c r="G1664" s="215">
        <v>1657</v>
      </c>
      <c r="H1664" s="16">
        <f t="shared" ca="1" si="33"/>
        <v>0.2179112364946707</v>
      </c>
    </row>
    <row r="1665" spans="7:8" x14ac:dyDescent="0.35">
      <c r="G1665" s="215">
        <v>1658</v>
      </c>
      <c r="H1665" s="16">
        <f t="shared" ca="1" si="33"/>
        <v>-1.0257906223415568E-2</v>
      </c>
    </row>
    <row r="1666" spans="7:8" x14ac:dyDescent="0.35">
      <c r="G1666" s="215">
        <v>1659</v>
      </c>
      <c r="H1666" s="16">
        <f t="shared" ca="1" si="33"/>
        <v>9.356610306108773E-2</v>
      </c>
    </row>
    <row r="1667" spans="7:8" x14ac:dyDescent="0.35">
      <c r="G1667" s="215">
        <v>1660</v>
      </c>
      <c r="H1667" s="16">
        <f t="shared" ca="1" si="33"/>
        <v>-4.7480216112390575E-2</v>
      </c>
    </row>
    <row r="1668" spans="7:8" x14ac:dyDescent="0.35">
      <c r="G1668" s="215">
        <v>1661</v>
      </c>
      <c r="H1668" s="16">
        <f t="shared" ca="1" si="33"/>
        <v>3.653895525267116E-2</v>
      </c>
    </row>
    <row r="1669" spans="7:8" x14ac:dyDescent="0.35">
      <c r="G1669" s="215">
        <v>1662</v>
      </c>
      <c r="H1669" s="16">
        <f t="shared" ca="1" si="33"/>
        <v>4.4296433878289521E-2</v>
      </c>
    </row>
    <row r="1670" spans="7:8" x14ac:dyDescent="0.35">
      <c r="G1670" s="215">
        <v>1663</v>
      </c>
      <c r="H1670" s="16">
        <f t="shared" ca="1" si="33"/>
        <v>2.5922870952072498E-2</v>
      </c>
    </row>
    <row r="1671" spans="7:8" x14ac:dyDescent="0.35">
      <c r="G1671" s="215">
        <v>1664</v>
      </c>
      <c r="H1671" s="16">
        <f t="shared" ca="1" si="33"/>
        <v>-1.5829127185309627E-2</v>
      </c>
    </row>
    <row r="1672" spans="7:8" x14ac:dyDescent="0.35">
      <c r="G1672" s="215">
        <v>1665</v>
      </c>
      <c r="H1672" s="16">
        <f t="shared" ref="H1672:H1735" ca="1" si="34">_xlfn.NORM.INV(RAND(),M$10,M$11)</f>
        <v>-2.5585244173078534E-2</v>
      </c>
    </row>
    <row r="1673" spans="7:8" x14ac:dyDescent="0.35">
      <c r="G1673" s="215">
        <v>1666</v>
      </c>
      <c r="H1673" s="16">
        <f t="shared" ca="1" si="34"/>
        <v>2.4292672204019386E-2</v>
      </c>
    </row>
    <row r="1674" spans="7:8" x14ac:dyDescent="0.35">
      <c r="G1674" s="215">
        <v>1667</v>
      </c>
      <c r="H1674" s="16">
        <f t="shared" ca="1" si="34"/>
        <v>2.3710761004113023E-2</v>
      </c>
    </row>
    <row r="1675" spans="7:8" x14ac:dyDescent="0.35">
      <c r="G1675" s="215">
        <v>1668</v>
      </c>
      <c r="H1675" s="16">
        <f t="shared" ca="1" si="34"/>
        <v>1.235625872910417E-2</v>
      </c>
    </row>
    <row r="1676" spans="7:8" x14ac:dyDescent="0.35">
      <c r="G1676" s="215">
        <v>1669</v>
      </c>
      <c r="H1676" s="16">
        <f t="shared" ca="1" si="34"/>
        <v>-1.9182454283431145E-2</v>
      </c>
    </row>
    <row r="1677" spans="7:8" x14ac:dyDescent="0.35">
      <c r="G1677" s="215">
        <v>1670</v>
      </c>
      <c r="H1677" s="16">
        <f t="shared" ca="1" si="34"/>
        <v>5.027386154714179E-3</v>
      </c>
    </row>
    <row r="1678" spans="7:8" x14ac:dyDescent="0.35">
      <c r="G1678" s="215">
        <v>1671</v>
      </c>
      <c r="H1678" s="16">
        <f t="shared" ca="1" si="34"/>
        <v>-1.6554976780629619E-2</v>
      </c>
    </row>
    <row r="1679" spans="7:8" x14ac:dyDescent="0.35">
      <c r="G1679" s="215">
        <v>1672</v>
      </c>
      <c r="H1679" s="16">
        <f t="shared" ca="1" si="34"/>
        <v>-1.1780529184450498E-2</v>
      </c>
    </row>
    <row r="1680" spans="7:8" x14ac:dyDescent="0.35">
      <c r="G1680" s="215">
        <v>1673</v>
      </c>
      <c r="H1680" s="16">
        <f t="shared" ca="1" si="34"/>
        <v>-6.6809940461353287E-2</v>
      </c>
    </row>
    <row r="1681" spans="7:8" x14ac:dyDescent="0.35">
      <c r="G1681" s="215">
        <v>1674</v>
      </c>
      <c r="H1681" s="16">
        <f t="shared" ca="1" si="34"/>
        <v>2.0312669326790461E-2</v>
      </c>
    </row>
    <row r="1682" spans="7:8" x14ac:dyDescent="0.35">
      <c r="G1682" s="215">
        <v>1675</v>
      </c>
      <c r="H1682" s="16">
        <f t="shared" ca="1" si="34"/>
        <v>0.12957392610300075</v>
      </c>
    </row>
    <row r="1683" spans="7:8" x14ac:dyDescent="0.35">
      <c r="G1683" s="215">
        <v>1676</v>
      </c>
      <c r="H1683" s="16">
        <f t="shared" ca="1" si="34"/>
        <v>1.6331741954587913E-2</v>
      </c>
    </row>
    <row r="1684" spans="7:8" x14ac:dyDescent="0.35">
      <c r="G1684" s="215">
        <v>1677</v>
      </c>
      <c r="H1684" s="16">
        <f t="shared" ca="1" si="34"/>
        <v>-4.8631387200365264E-3</v>
      </c>
    </row>
    <row r="1685" spans="7:8" x14ac:dyDescent="0.35">
      <c r="G1685" s="215">
        <v>1678</v>
      </c>
      <c r="H1685" s="16">
        <f t="shared" ca="1" si="34"/>
        <v>-1.6921211018089639E-2</v>
      </c>
    </row>
    <row r="1686" spans="7:8" x14ac:dyDescent="0.35">
      <c r="G1686" s="215">
        <v>1679</v>
      </c>
      <c r="H1686" s="16">
        <f t="shared" ca="1" si="34"/>
        <v>1.0514411049994676E-3</v>
      </c>
    </row>
    <row r="1687" spans="7:8" x14ac:dyDescent="0.35">
      <c r="G1687" s="215">
        <v>1680</v>
      </c>
      <c r="H1687" s="16">
        <f t="shared" ca="1" si="34"/>
        <v>3.3308975600635296E-3</v>
      </c>
    </row>
    <row r="1688" spans="7:8" x14ac:dyDescent="0.35">
      <c r="G1688" s="215">
        <v>1681</v>
      </c>
      <c r="H1688" s="16">
        <f t="shared" ca="1" si="34"/>
        <v>-4.5419427181995042E-2</v>
      </c>
    </row>
    <row r="1689" spans="7:8" x14ac:dyDescent="0.35">
      <c r="G1689" s="215">
        <v>1682</v>
      </c>
      <c r="H1689" s="16">
        <f t="shared" ca="1" si="34"/>
        <v>-5.4311717865132211E-2</v>
      </c>
    </row>
    <row r="1690" spans="7:8" x14ac:dyDescent="0.35">
      <c r="G1690" s="215">
        <v>1683</v>
      </c>
      <c r="H1690" s="16">
        <f t="shared" ca="1" si="34"/>
        <v>-4.4546057141716236E-2</v>
      </c>
    </row>
    <row r="1691" spans="7:8" x14ac:dyDescent="0.35">
      <c r="G1691" s="215">
        <v>1684</v>
      </c>
      <c r="H1691" s="16">
        <f t="shared" ca="1" si="34"/>
        <v>-8.0860945297926493E-3</v>
      </c>
    </row>
    <row r="1692" spans="7:8" x14ac:dyDescent="0.35">
      <c r="G1692" s="215">
        <v>1685</v>
      </c>
      <c r="H1692" s="16">
        <f t="shared" ca="1" si="34"/>
        <v>-4.2713023362328004E-2</v>
      </c>
    </row>
    <row r="1693" spans="7:8" x14ac:dyDescent="0.35">
      <c r="G1693" s="215">
        <v>1686</v>
      </c>
      <c r="H1693" s="16">
        <f t="shared" ca="1" si="34"/>
        <v>5.5905967651713073E-2</v>
      </c>
    </row>
    <row r="1694" spans="7:8" x14ac:dyDescent="0.35">
      <c r="G1694" s="215">
        <v>1687</v>
      </c>
      <c r="H1694" s="16">
        <f t="shared" ca="1" si="34"/>
        <v>-3.154464482952353E-2</v>
      </c>
    </row>
    <row r="1695" spans="7:8" x14ac:dyDescent="0.35">
      <c r="G1695" s="215">
        <v>1688</v>
      </c>
      <c r="H1695" s="16">
        <f t="shared" ca="1" si="34"/>
        <v>0.11326092629242211</v>
      </c>
    </row>
    <row r="1696" spans="7:8" x14ac:dyDescent="0.35">
      <c r="G1696" s="215">
        <v>1689</v>
      </c>
      <c r="H1696" s="16">
        <f t="shared" ca="1" si="34"/>
        <v>2.0676073845270981E-2</v>
      </c>
    </row>
    <row r="1697" spans="7:8" x14ac:dyDescent="0.35">
      <c r="G1697" s="215">
        <v>1690</v>
      </c>
      <c r="H1697" s="16">
        <f t="shared" ca="1" si="34"/>
        <v>8.354125230484688E-2</v>
      </c>
    </row>
    <row r="1698" spans="7:8" x14ac:dyDescent="0.35">
      <c r="G1698" s="215">
        <v>1691</v>
      </c>
      <c r="H1698" s="16">
        <f t="shared" ca="1" si="34"/>
        <v>-1.6242556204353817E-2</v>
      </c>
    </row>
    <row r="1699" spans="7:8" x14ac:dyDescent="0.35">
      <c r="G1699" s="215">
        <v>1692</v>
      </c>
      <c r="H1699" s="16">
        <f t="shared" ca="1" si="34"/>
        <v>-2.1876537069213938E-2</v>
      </c>
    </row>
    <row r="1700" spans="7:8" x14ac:dyDescent="0.35">
      <c r="G1700" s="215">
        <v>1693</v>
      </c>
      <c r="H1700" s="16">
        <f t="shared" ca="1" si="34"/>
        <v>2.6950864412519898E-2</v>
      </c>
    </row>
    <row r="1701" spans="7:8" x14ac:dyDescent="0.35">
      <c r="G1701" s="215">
        <v>1694</v>
      </c>
      <c r="H1701" s="16">
        <f t="shared" ca="1" si="34"/>
        <v>1.0094506277061209E-2</v>
      </c>
    </row>
    <row r="1702" spans="7:8" x14ac:dyDescent="0.35">
      <c r="G1702" s="215">
        <v>1695</v>
      </c>
      <c r="H1702" s="16">
        <f t="shared" ca="1" si="34"/>
        <v>-0.11452487278640686</v>
      </c>
    </row>
    <row r="1703" spans="7:8" x14ac:dyDescent="0.35">
      <c r="G1703" s="215">
        <v>1696</v>
      </c>
      <c r="H1703" s="16">
        <f t="shared" ca="1" si="34"/>
        <v>5.4772785454649378E-2</v>
      </c>
    </row>
    <row r="1704" spans="7:8" x14ac:dyDescent="0.35">
      <c r="G1704" s="215">
        <v>1697</v>
      </c>
      <c r="H1704" s="16">
        <f t="shared" ca="1" si="34"/>
        <v>-1.1779310264943006E-2</v>
      </c>
    </row>
    <row r="1705" spans="7:8" x14ac:dyDescent="0.35">
      <c r="G1705" s="215">
        <v>1698</v>
      </c>
      <c r="H1705" s="16">
        <f t="shared" ca="1" si="34"/>
        <v>-0.11627904436914327</v>
      </c>
    </row>
    <row r="1706" spans="7:8" x14ac:dyDescent="0.35">
      <c r="G1706" s="215">
        <v>1699</v>
      </c>
      <c r="H1706" s="16">
        <f t="shared" ca="1" si="34"/>
        <v>-2.2707607407162819E-3</v>
      </c>
    </row>
    <row r="1707" spans="7:8" x14ac:dyDescent="0.35">
      <c r="G1707" s="215">
        <v>1700</v>
      </c>
      <c r="H1707" s="16">
        <f t="shared" ca="1" si="34"/>
        <v>2.212249808711517E-2</v>
      </c>
    </row>
    <row r="1708" spans="7:8" x14ac:dyDescent="0.35">
      <c r="G1708" s="215">
        <v>1701</v>
      </c>
      <c r="H1708" s="16">
        <f t="shared" ca="1" si="34"/>
        <v>4.8968061850568241E-3</v>
      </c>
    </row>
    <row r="1709" spans="7:8" x14ac:dyDescent="0.35">
      <c r="G1709" s="215">
        <v>1702</v>
      </c>
      <c r="H1709" s="16">
        <f t="shared" ca="1" si="34"/>
        <v>6.2663547076290585E-2</v>
      </c>
    </row>
    <row r="1710" spans="7:8" x14ac:dyDescent="0.35">
      <c r="G1710" s="215">
        <v>1703</v>
      </c>
      <c r="H1710" s="16">
        <f t="shared" ca="1" si="34"/>
        <v>5.565301672127293E-2</v>
      </c>
    </row>
    <row r="1711" spans="7:8" x14ac:dyDescent="0.35">
      <c r="G1711" s="215">
        <v>1704</v>
      </c>
      <c r="H1711" s="16">
        <f t="shared" ca="1" si="34"/>
        <v>-6.5293536190434709E-2</v>
      </c>
    </row>
    <row r="1712" spans="7:8" x14ac:dyDescent="0.35">
      <c r="G1712" s="215">
        <v>1705</v>
      </c>
      <c r="H1712" s="16">
        <f t="shared" ca="1" si="34"/>
        <v>-7.7656190556236224E-2</v>
      </c>
    </row>
    <row r="1713" spans="7:8" x14ac:dyDescent="0.35">
      <c r="G1713" s="215">
        <v>1706</v>
      </c>
      <c r="H1713" s="16">
        <f t="shared" ca="1" si="34"/>
        <v>8.7660194354281906E-2</v>
      </c>
    </row>
    <row r="1714" spans="7:8" x14ac:dyDescent="0.35">
      <c r="G1714" s="215">
        <v>1707</v>
      </c>
      <c r="H1714" s="16">
        <f t="shared" ca="1" si="34"/>
        <v>3.374014872291645E-3</v>
      </c>
    </row>
    <row r="1715" spans="7:8" x14ac:dyDescent="0.35">
      <c r="G1715" s="215">
        <v>1708</v>
      </c>
      <c r="H1715" s="16">
        <f t="shared" ca="1" si="34"/>
        <v>0.15394531777942971</v>
      </c>
    </row>
    <row r="1716" spans="7:8" x14ac:dyDescent="0.35">
      <c r="G1716" s="215">
        <v>1709</v>
      </c>
      <c r="H1716" s="16">
        <f t="shared" ca="1" si="34"/>
        <v>-1.0608584015749076E-2</v>
      </c>
    </row>
    <row r="1717" spans="7:8" x14ac:dyDescent="0.35">
      <c r="G1717" s="215">
        <v>1710</v>
      </c>
      <c r="H1717" s="16">
        <f t="shared" ca="1" si="34"/>
        <v>3.1448981058264935E-2</v>
      </c>
    </row>
    <row r="1718" spans="7:8" x14ac:dyDescent="0.35">
      <c r="G1718" s="215">
        <v>1711</v>
      </c>
      <c r="H1718" s="16">
        <f t="shared" ca="1" si="34"/>
        <v>-9.340727220993935E-3</v>
      </c>
    </row>
    <row r="1719" spans="7:8" x14ac:dyDescent="0.35">
      <c r="G1719" s="215">
        <v>1712</v>
      </c>
      <c r="H1719" s="16">
        <f t="shared" ca="1" si="34"/>
        <v>1.8317518976596156E-2</v>
      </c>
    </row>
    <row r="1720" spans="7:8" x14ac:dyDescent="0.35">
      <c r="G1720" s="215">
        <v>1713</v>
      </c>
      <c r="H1720" s="16">
        <f t="shared" ca="1" si="34"/>
        <v>-2.2623298070075029E-3</v>
      </c>
    </row>
    <row r="1721" spans="7:8" x14ac:dyDescent="0.35">
      <c r="G1721" s="215">
        <v>1714</v>
      </c>
      <c r="H1721" s="16">
        <f t="shared" ca="1" si="34"/>
        <v>3.151008028477234E-2</v>
      </c>
    </row>
    <row r="1722" spans="7:8" x14ac:dyDescent="0.35">
      <c r="G1722" s="215">
        <v>1715</v>
      </c>
      <c r="H1722" s="16">
        <f t="shared" ca="1" si="34"/>
        <v>-0.12583279690585442</v>
      </c>
    </row>
    <row r="1723" spans="7:8" x14ac:dyDescent="0.35">
      <c r="G1723" s="215">
        <v>1716</v>
      </c>
      <c r="H1723" s="16">
        <f t="shared" ca="1" si="34"/>
        <v>-1.2387904878750737E-2</v>
      </c>
    </row>
    <row r="1724" spans="7:8" x14ac:dyDescent="0.35">
      <c r="G1724" s="215">
        <v>1717</v>
      </c>
      <c r="H1724" s="16">
        <f t="shared" ca="1" si="34"/>
        <v>-2.0037592137066327E-2</v>
      </c>
    </row>
    <row r="1725" spans="7:8" x14ac:dyDescent="0.35">
      <c r="G1725" s="215">
        <v>1718</v>
      </c>
      <c r="H1725" s="16">
        <f t="shared" ca="1" si="34"/>
        <v>-2.551117171498193E-2</v>
      </c>
    </row>
    <row r="1726" spans="7:8" x14ac:dyDescent="0.35">
      <c r="G1726" s="215">
        <v>1719</v>
      </c>
      <c r="H1726" s="16">
        <f t="shared" ca="1" si="34"/>
        <v>5.7392285357282552E-2</v>
      </c>
    </row>
    <row r="1727" spans="7:8" x14ac:dyDescent="0.35">
      <c r="G1727" s="215">
        <v>1720</v>
      </c>
      <c r="H1727" s="16">
        <f t="shared" ca="1" si="34"/>
        <v>-1.9299111429394663E-2</v>
      </c>
    </row>
    <row r="1728" spans="7:8" x14ac:dyDescent="0.35">
      <c r="G1728" s="215">
        <v>1721</v>
      </c>
      <c r="H1728" s="16">
        <f t="shared" ca="1" si="34"/>
        <v>5.8783433164884699E-2</v>
      </c>
    </row>
    <row r="1729" spans="7:8" x14ac:dyDescent="0.35">
      <c r="G1729" s="215">
        <v>1722</v>
      </c>
      <c r="H1729" s="16">
        <f t="shared" ca="1" si="34"/>
        <v>1.8705432743818907E-2</v>
      </c>
    </row>
    <row r="1730" spans="7:8" x14ac:dyDescent="0.35">
      <c r="G1730" s="215">
        <v>1723</v>
      </c>
      <c r="H1730" s="16">
        <f t="shared" ca="1" si="34"/>
        <v>-2.0522297285613427E-2</v>
      </c>
    </row>
    <row r="1731" spans="7:8" x14ac:dyDescent="0.35">
      <c r="G1731" s="215">
        <v>1724</v>
      </c>
      <c r="H1731" s="16">
        <f t="shared" ca="1" si="34"/>
        <v>8.5627115583623598E-2</v>
      </c>
    </row>
    <row r="1732" spans="7:8" x14ac:dyDescent="0.35">
      <c r="G1732" s="215">
        <v>1725</v>
      </c>
      <c r="H1732" s="16">
        <f t="shared" ca="1" si="34"/>
        <v>-2.8835535818706525E-2</v>
      </c>
    </row>
    <row r="1733" spans="7:8" x14ac:dyDescent="0.35">
      <c r="G1733" s="215">
        <v>1726</v>
      </c>
      <c r="H1733" s="16">
        <f t="shared" ca="1" si="34"/>
        <v>8.5645245747018428E-2</v>
      </c>
    </row>
    <row r="1734" spans="7:8" x14ac:dyDescent="0.35">
      <c r="G1734" s="215">
        <v>1727</v>
      </c>
      <c r="H1734" s="16">
        <f t="shared" ca="1" si="34"/>
        <v>6.9480406332346561E-2</v>
      </c>
    </row>
    <row r="1735" spans="7:8" x14ac:dyDescent="0.35">
      <c r="G1735" s="215">
        <v>1728</v>
      </c>
      <c r="H1735" s="16">
        <f t="shared" ca="1" si="34"/>
        <v>3.9509163991619412E-2</v>
      </c>
    </row>
    <row r="1736" spans="7:8" x14ac:dyDescent="0.35">
      <c r="G1736" s="215">
        <v>1729</v>
      </c>
      <c r="H1736" s="16">
        <f t="shared" ref="H1736:H1799" ca="1" si="35">_xlfn.NORM.INV(RAND(),M$10,M$11)</f>
        <v>2.7125902285470099E-2</v>
      </c>
    </row>
    <row r="1737" spans="7:8" x14ac:dyDescent="0.35">
      <c r="G1737" s="215">
        <v>1730</v>
      </c>
      <c r="H1737" s="16">
        <f t="shared" ca="1" si="35"/>
        <v>1.3016449519938285E-2</v>
      </c>
    </row>
    <row r="1738" spans="7:8" x14ac:dyDescent="0.35">
      <c r="G1738" s="215">
        <v>1731</v>
      </c>
      <c r="H1738" s="16">
        <f t="shared" ca="1" si="35"/>
        <v>0.14063545125334473</v>
      </c>
    </row>
    <row r="1739" spans="7:8" x14ac:dyDescent="0.35">
      <c r="G1739" s="215">
        <v>1732</v>
      </c>
      <c r="H1739" s="16">
        <f t="shared" ca="1" si="35"/>
        <v>5.363321127337884E-3</v>
      </c>
    </row>
    <row r="1740" spans="7:8" x14ac:dyDescent="0.35">
      <c r="G1740" s="215">
        <v>1733</v>
      </c>
      <c r="H1740" s="16">
        <f t="shared" ca="1" si="35"/>
        <v>-6.3430870863940017E-2</v>
      </c>
    </row>
    <row r="1741" spans="7:8" x14ac:dyDescent="0.35">
      <c r="G1741" s="215">
        <v>1734</v>
      </c>
      <c r="H1741" s="16">
        <f t="shared" ca="1" si="35"/>
        <v>1.1711493011690138E-2</v>
      </c>
    </row>
    <row r="1742" spans="7:8" x14ac:dyDescent="0.35">
      <c r="G1742" s="215">
        <v>1735</v>
      </c>
      <c r="H1742" s="16">
        <f t="shared" ca="1" si="35"/>
        <v>-9.0848183515907358E-2</v>
      </c>
    </row>
    <row r="1743" spans="7:8" x14ac:dyDescent="0.35">
      <c r="G1743" s="215">
        <v>1736</v>
      </c>
      <c r="H1743" s="16">
        <f t="shared" ca="1" si="35"/>
        <v>6.008765430116475E-2</v>
      </c>
    </row>
    <row r="1744" spans="7:8" x14ac:dyDescent="0.35">
      <c r="G1744" s="215">
        <v>1737</v>
      </c>
      <c r="H1744" s="16">
        <f t="shared" ca="1" si="35"/>
        <v>6.160608356397157E-2</v>
      </c>
    </row>
    <row r="1745" spans="7:8" x14ac:dyDescent="0.35">
      <c r="G1745" s="215">
        <v>1738</v>
      </c>
      <c r="H1745" s="16">
        <f t="shared" ca="1" si="35"/>
        <v>-7.4986376313854838E-2</v>
      </c>
    </row>
    <row r="1746" spans="7:8" x14ac:dyDescent="0.35">
      <c r="G1746" s="215">
        <v>1739</v>
      </c>
      <c r="H1746" s="16">
        <f t="shared" ca="1" si="35"/>
        <v>2.3266968210072566E-2</v>
      </c>
    </row>
    <row r="1747" spans="7:8" x14ac:dyDescent="0.35">
      <c r="G1747" s="215">
        <v>1740</v>
      </c>
      <c r="H1747" s="16">
        <f t="shared" ca="1" si="35"/>
        <v>0.14920960214373824</v>
      </c>
    </row>
    <row r="1748" spans="7:8" x14ac:dyDescent="0.35">
      <c r="G1748" s="215">
        <v>1741</v>
      </c>
      <c r="H1748" s="16">
        <f t="shared" ca="1" si="35"/>
        <v>-0.10464621272514149</v>
      </c>
    </row>
    <row r="1749" spans="7:8" x14ac:dyDescent="0.35">
      <c r="G1749" s="215">
        <v>1742</v>
      </c>
      <c r="H1749" s="16">
        <f t="shared" ca="1" si="35"/>
        <v>0.14882208826730675</v>
      </c>
    </row>
    <row r="1750" spans="7:8" x14ac:dyDescent="0.35">
      <c r="G1750" s="215">
        <v>1743</v>
      </c>
      <c r="H1750" s="16">
        <f t="shared" ca="1" si="35"/>
        <v>0.11229780624511375</v>
      </c>
    </row>
    <row r="1751" spans="7:8" x14ac:dyDescent="0.35">
      <c r="G1751" s="215">
        <v>1744</v>
      </c>
      <c r="H1751" s="16">
        <f t="shared" ca="1" si="35"/>
        <v>3.7540148064949916E-2</v>
      </c>
    </row>
    <row r="1752" spans="7:8" x14ac:dyDescent="0.35">
      <c r="G1752" s="215">
        <v>1745</v>
      </c>
      <c r="H1752" s="16">
        <f t="shared" ca="1" si="35"/>
        <v>0.12628357094666001</v>
      </c>
    </row>
    <row r="1753" spans="7:8" x14ac:dyDescent="0.35">
      <c r="G1753" s="215">
        <v>1746</v>
      </c>
      <c r="H1753" s="16">
        <f t="shared" ca="1" si="35"/>
        <v>-1.6240956304746423E-2</v>
      </c>
    </row>
    <row r="1754" spans="7:8" x14ac:dyDescent="0.35">
      <c r="G1754" s="215">
        <v>1747</v>
      </c>
      <c r="H1754" s="16">
        <f t="shared" ca="1" si="35"/>
        <v>-1.4155723912752938E-3</v>
      </c>
    </row>
    <row r="1755" spans="7:8" x14ac:dyDescent="0.35">
      <c r="G1755" s="215">
        <v>1748</v>
      </c>
      <c r="H1755" s="16">
        <f t="shared" ca="1" si="35"/>
        <v>-0.11906544614204412</v>
      </c>
    </row>
    <row r="1756" spans="7:8" x14ac:dyDescent="0.35">
      <c r="G1756" s="215">
        <v>1749</v>
      </c>
      <c r="H1756" s="16">
        <f t="shared" ca="1" si="35"/>
        <v>-3.2070014448503839E-2</v>
      </c>
    </row>
    <row r="1757" spans="7:8" x14ac:dyDescent="0.35">
      <c r="G1757" s="215">
        <v>1750</v>
      </c>
      <c r="H1757" s="16">
        <f t="shared" ca="1" si="35"/>
        <v>0.11705418387153067</v>
      </c>
    </row>
    <row r="1758" spans="7:8" x14ac:dyDescent="0.35">
      <c r="G1758" s="215">
        <v>1751</v>
      </c>
      <c r="H1758" s="16">
        <f t="shared" ca="1" si="35"/>
        <v>6.8089367840806506E-2</v>
      </c>
    </row>
    <row r="1759" spans="7:8" x14ac:dyDescent="0.35">
      <c r="G1759" s="215">
        <v>1752</v>
      </c>
      <c r="H1759" s="16">
        <f t="shared" ca="1" si="35"/>
        <v>0.20306378690938146</v>
      </c>
    </row>
    <row r="1760" spans="7:8" x14ac:dyDescent="0.35">
      <c r="G1760" s="215">
        <v>1753</v>
      </c>
      <c r="H1760" s="16">
        <f t="shared" ca="1" si="35"/>
        <v>-2.2363701044096931E-2</v>
      </c>
    </row>
    <row r="1761" spans="7:8" x14ac:dyDescent="0.35">
      <c r="G1761" s="215">
        <v>1754</v>
      </c>
      <c r="H1761" s="16">
        <f t="shared" ca="1" si="35"/>
        <v>0.13830407133272396</v>
      </c>
    </row>
    <row r="1762" spans="7:8" x14ac:dyDescent="0.35">
      <c r="G1762" s="215">
        <v>1755</v>
      </c>
      <c r="H1762" s="16">
        <f t="shared" ca="1" si="35"/>
        <v>-6.2311816664622474E-2</v>
      </c>
    </row>
    <row r="1763" spans="7:8" x14ac:dyDescent="0.35">
      <c r="G1763" s="215">
        <v>1756</v>
      </c>
      <c r="H1763" s="16">
        <f t="shared" ca="1" si="35"/>
        <v>2.8408541762500572E-2</v>
      </c>
    </row>
    <row r="1764" spans="7:8" x14ac:dyDescent="0.35">
      <c r="G1764" s="215">
        <v>1757</v>
      </c>
      <c r="H1764" s="16">
        <f t="shared" ca="1" si="35"/>
        <v>4.3066180535850658E-2</v>
      </c>
    </row>
    <row r="1765" spans="7:8" x14ac:dyDescent="0.35">
      <c r="G1765" s="215">
        <v>1758</v>
      </c>
      <c r="H1765" s="16">
        <f t="shared" ca="1" si="35"/>
        <v>-0.16317879252665698</v>
      </c>
    </row>
    <row r="1766" spans="7:8" x14ac:dyDescent="0.35">
      <c r="G1766" s="215">
        <v>1759</v>
      </c>
      <c r="H1766" s="16">
        <f t="shared" ca="1" si="35"/>
        <v>1.8836453953116981E-3</v>
      </c>
    </row>
    <row r="1767" spans="7:8" x14ac:dyDescent="0.35">
      <c r="G1767" s="215">
        <v>1760</v>
      </c>
      <c r="H1767" s="16">
        <f t="shared" ca="1" si="35"/>
        <v>-3.4350408084261541E-2</v>
      </c>
    </row>
    <row r="1768" spans="7:8" x14ac:dyDescent="0.35">
      <c r="G1768" s="215">
        <v>1761</v>
      </c>
      <c r="H1768" s="16">
        <f t="shared" ca="1" si="35"/>
        <v>-2.462812208338629E-2</v>
      </c>
    </row>
    <row r="1769" spans="7:8" x14ac:dyDescent="0.35">
      <c r="G1769" s="215">
        <v>1762</v>
      </c>
      <c r="H1769" s="16">
        <f t="shared" ca="1" si="35"/>
        <v>-6.384652033944764E-2</v>
      </c>
    </row>
    <row r="1770" spans="7:8" x14ac:dyDescent="0.35">
      <c r="G1770" s="215">
        <v>1763</v>
      </c>
      <c r="H1770" s="16">
        <f t="shared" ca="1" si="35"/>
        <v>5.9389668564282905E-2</v>
      </c>
    </row>
    <row r="1771" spans="7:8" x14ac:dyDescent="0.35">
      <c r="G1771" s="215">
        <v>1764</v>
      </c>
      <c r="H1771" s="16">
        <f t="shared" ca="1" si="35"/>
        <v>0.12778591275139894</v>
      </c>
    </row>
    <row r="1772" spans="7:8" x14ac:dyDescent="0.35">
      <c r="G1772" s="215">
        <v>1765</v>
      </c>
      <c r="H1772" s="16">
        <f t="shared" ca="1" si="35"/>
        <v>0.19557671258773285</v>
      </c>
    </row>
    <row r="1773" spans="7:8" x14ac:dyDescent="0.35">
      <c r="G1773" s="215">
        <v>1766</v>
      </c>
      <c r="H1773" s="16">
        <f t="shared" ca="1" si="35"/>
        <v>-1.5866465314281302E-2</v>
      </c>
    </row>
    <row r="1774" spans="7:8" x14ac:dyDescent="0.35">
      <c r="G1774" s="215">
        <v>1767</v>
      </c>
      <c r="H1774" s="16">
        <f t="shared" ca="1" si="35"/>
        <v>6.3499883794987111E-2</v>
      </c>
    </row>
    <row r="1775" spans="7:8" x14ac:dyDescent="0.35">
      <c r="G1775" s="215">
        <v>1768</v>
      </c>
      <c r="H1775" s="16">
        <f t="shared" ca="1" si="35"/>
        <v>-4.3075793587696136E-4</v>
      </c>
    </row>
    <row r="1776" spans="7:8" x14ac:dyDescent="0.35">
      <c r="G1776" s="215">
        <v>1769</v>
      </c>
      <c r="H1776" s="16">
        <f t="shared" ca="1" si="35"/>
        <v>-1.6156486177880763E-2</v>
      </c>
    </row>
    <row r="1777" spans="7:8" x14ac:dyDescent="0.35">
      <c r="G1777" s="215">
        <v>1770</v>
      </c>
      <c r="H1777" s="16">
        <f t="shared" ca="1" si="35"/>
        <v>-6.0584329399045664E-2</v>
      </c>
    </row>
    <row r="1778" spans="7:8" x14ac:dyDescent="0.35">
      <c r="G1778" s="215">
        <v>1771</v>
      </c>
      <c r="H1778" s="16">
        <f t="shared" ca="1" si="35"/>
        <v>2.3079688553115495E-2</v>
      </c>
    </row>
    <row r="1779" spans="7:8" x14ac:dyDescent="0.35">
      <c r="G1779" s="215">
        <v>1772</v>
      </c>
      <c r="H1779" s="16">
        <f t="shared" ca="1" si="35"/>
        <v>6.5641125648482179E-2</v>
      </c>
    </row>
    <row r="1780" spans="7:8" x14ac:dyDescent="0.35">
      <c r="G1780" s="215">
        <v>1773</v>
      </c>
      <c r="H1780" s="16">
        <f t="shared" ca="1" si="35"/>
        <v>6.9537992535927587E-2</v>
      </c>
    </row>
    <row r="1781" spans="7:8" x14ac:dyDescent="0.35">
      <c r="G1781" s="215">
        <v>1774</v>
      </c>
      <c r="H1781" s="16">
        <f t="shared" ca="1" si="35"/>
        <v>3.5361049802932316E-2</v>
      </c>
    </row>
    <row r="1782" spans="7:8" x14ac:dyDescent="0.35">
      <c r="G1782" s="215">
        <v>1775</v>
      </c>
      <c r="H1782" s="16">
        <f t="shared" ca="1" si="35"/>
        <v>7.6817691049564152E-2</v>
      </c>
    </row>
    <row r="1783" spans="7:8" x14ac:dyDescent="0.35">
      <c r="G1783" s="215">
        <v>1776</v>
      </c>
      <c r="H1783" s="16">
        <f t="shared" ca="1" si="35"/>
        <v>-3.3973793579203632E-2</v>
      </c>
    </row>
    <row r="1784" spans="7:8" x14ac:dyDescent="0.35">
      <c r="G1784" s="215">
        <v>1777</v>
      </c>
      <c r="H1784" s="16">
        <f t="shared" ca="1" si="35"/>
        <v>-1.9599970956540955E-2</v>
      </c>
    </row>
    <row r="1785" spans="7:8" x14ac:dyDescent="0.35">
      <c r="G1785" s="215">
        <v>1778</v>
      </c>
      <c r="H1785" s="16">
        <f t="shared" ca="1" si="35"/>
        <v>-0.14855731883571871</v>
      </c>
    </row>
    <row r="1786" spans="7:8" x14ac:dyDescent="0.35">
      <c r="G1786" s="215">
        <v>1779</v>
      </c>
      <c r="H1786" s="16">
        <f t="shared" ca="1" si="35"/>
        <v>-1.4388326384354177E-2</v>
      </c>
    </row>
    <row r="1787" spans="7:8" x14ac:dyDescent="0.35">
      <c r="G1787" s="215">
        <v>1780</v>
      </c>
      <c r="H1787" s="16">
        <f t="shared" ca="1" si="35"/>
        <v>-9.66367007058241E-2</v>
      </c>
    </row>
    <row r="1788" spans="7:8" x14ac:dyDescent="0.35">
      <c r="G1788" s="215">
        <v>1781</v>
      </c>
      <c r="H1788" s="16">
        <f t="shared" ca="1" si="35"/>
        <v>2.0173799684054618E-2</v>
      </c>
    </row>
    <row r="1789" spans="7:8" x14ac:dyDescent="0.35">
      <c r="G1789" s="215">
        <v>1782</v>
      </c>
      <c r="H1789" s="16">
        <f t="shared" ca="1" si="35"/>
        <v>-9.913529905601956E-2</v>
      </c>
    </row>
    <row r="1790" spans="7:8" x14ac:dyDescent="0.35">
      <c r="G1790" s="215">
        <v>1783</v>
      </c>
      <c r="H1790" s="16">
        <f t="shared" ca="1" si="35"/>
        <v>0.10848118202611361</v>
      </c>
    </row>
    <row r="1791" spans="7:8" x14ac:dyDescent="0.35">
      <c r="G1791" s="215">
        <v>1784</v>
      </c>
      <c r="H1791" s="16">
        <f t="shared" ca="1" si="35"/>
        <v>2.270251470621712E-2</v>
      </c>
    </row>
    <row r="1792" spans="7:8" x14ac:dyDescent="0.35">
      <c r="G1792" s="215">
        <v>1785</v>
      </c>
      <c r="H1792" s="16">
        <f t="shared" ca="1" si="35"/>
        <v>5.3735339118258941E-3</v>
      </c>
    </row>
    <row r="1793" spans="7:8" x14ac:dyDescent="0.35">
      <c r="G1793" s="215">
        <v>1786</v>
      </c>
      <c r="H1793" s="16">
        <f t="shared" ca="1" si="35"/>
        <v>2.7945287011452782E-2</v>
      </c>
    </row>
    <row r="1794" spans="7:8" x14ac:dyDescent="0.35">
      <c r="G1794" s="215">
        <v>1787</v>
      </c>
      <c r="H1794" s="16">
        <f t="shared" ca="1" si="35"/>
        <v>-7.3431599259800889E-2</v>
      </c>
    </row>
    <row r="1795" spans="7:8" x14ac:dyDescent="0.35">
      <c r="G1795" s="215">
        <v>1788</v>
      </c>
      <c r="H1795" s="16">
        <f t="shared" ca="1" si="35"/>
        <v>6.2084065664032934E-2</v>
      </c>
    </row>
    <row r="1796" spans="7:8" x14ac:dyDescent="0.35">
      <c r="G1796" s="215">
        <v>1789</v>
      </c>
      <c r="H1796" s="16">
        <f t="shared" ca="1" si="35"/>
        <v>3.0598967740770262E-2</v>
      </c>
    </row>
    <row r="1797" spans="7:8" x14ac:dyDescent="0.35">
      <c r="G1797" s="215">
        <v>1790</v>
      </c>
      <c r="H1797" s="16">
        <f t="shared" ca="1" si="35"/>
        <v>-5.3385435227768258E-2</v>
      </c>
    </row>
    <row r="1798" spans="7:8" x14ac:dyDescent="0.35">
      <c r="G1798" s="215">
        <v>1791</v>
      </c>
      <c r="H1798" s="16">
        <f t="shared" ca="1" si="35"/>
        <v>-5.3877577136619212E-3</v>
      </c>
    </row>
    <row r="1799" spans="7:8" x14ac:dyDescent="0.35">
      <c r="G1799" s="215">
        <v>1792</v>
      </c>
      <c r="H1799" s="16">
        <f t="shared" ca="1" si="35"/>
        <v>0.13288450506677449</v>
      </c>
    </row>
    <row r="1800" spans="7:8" x14ac:dyDescent="0.35">
      <c r="G1800" s="215">
        <v>1793</v>
      </c>
      <c r="H1800" s="16">
        <f t="shared" ref="H1800:H1863" ca="1" si="36">_xlfn.NORM.INV(RAND(),M$10,M$11)</f>
        <v>1.4970662509859961E-2</v>
      </c>
    </row>
    <row r="1801" spans="7:8" x14ac:dyDescent="0.35">
      <c r="G1801" s="215">
        <v>1794</v>
      </c>
      <c r="H1801" s="16">
        <f t="shared" ca="1" si="36"/>
        <v>4.0316004232248279E-2</v>
      </c>
    </row>
    <row r="1802" spans="7:8" x14ac:dyDescent="0.35">
      <c r="G1802" s="215">
        <v>1795</v>
      </c>
      <c r="H1802" s="16">
        <f t="shared" ca="1" si="36"/>
        <v>6.9777773756233036E-2</v>
      </c>
    </row>
    <row r="1803" spans="7:8" x14ac:dyDescent="0.35">
      <c r="G1803" s="215">
        <v>1796</v>
      </c>
      <c r="H1803" s="16">
        <f t="shared" ca="1" si="36"/>
        <v>-7.2120258921433894E-2</v>
      </c>
    </row>
    <row r="1804" spans="7:8" x14ac:dyDescent="0.35">
      <c r="G1804" s="215">
        <v>1797</v>
      </c>
      <c r="H1804" s="16">
        <f t="shared" ca="1" si="36"/>
        <v>4.7086652499601311E-2</v>
      </c>
    </row>
    <row r="1805" spans="7:8" x14ac:dyDescent="0.35">
      <c r="G1805" s="215">
        <v>1798</v>
      </c>
      <c r="H1805" s="16">
        <f t="shared" ca="1" si="36"/>
        <v>9.5547429944742968E-2</v>
      </c>
    </row>
    <row r="1806" spans="7:8" x14ac:dyDescent="0.35">
      <c r="G1806" s="215">
        <v>1799</v>
      </c>
      <c r="H1806" s="16">
        <f t="shared" ca="1" si="36"/>
        <v>0.1408843288364765</v>
      </c>
    </row>
    <row r="1807" spans="7:8" x14ac:dyDescent="0.35">
      <c r="G1807" s="215">
        <v>1800</v>
      </c>
      <c r="H1807" s="16">
        <f t="shared" ca="1" si="36"/>
        <v>-9.8456304098667666E-3</v>
      </c>
    </row>
    <row r="1808" spans="7:8" x14ac:dyDescent="0.35">
      <c r="G1808" s="215">
        <v>1801</v>
      </c>
      <c r="H1808" s="16">
        <f t="shared" ca="1" si="36"/>
        <v>7.8167462006906316E-2</v>
      </c>
    </row>
    <row r="1809" spans="7:8" x14ac:dyDescent="0.35">
      <c r="G1809" s="215">
        <v>1802</v>
      </c>
      <c r="H1809" s="16">
        <f t="shared" ca="1" si="36"/>
        <v>8.6384767246467792E-2</v>
      </c>
    </row>
    <row r="1810" spans="7:8" x14ac:dyDescent="0.35">
      <c r="G1810" s="215">
        <v>1803</v>
      </c>
      <c r="H1810" s="16">
        <f t="shared" ca="1" si="36"/>
        <v>-5.6353204298198178E-2</v>
      </c>
    </row>
    <row r="1811" spans="7:8" x14ac:dyDescent="0.35">
      <c r="G1811" s="215">
        <v>1804</v>
      </c>
      <c r="H1811" s="16">
        <f t="shared" ca="1" si="36"/>
        <v>-6.6796586349620352E-2</v>
      </c>
    </row>
    <row r="1812" spans="7:8" x14ac:dyDescent="0.35">
      <c r="G1812" s="215">
        <v>1805</v>
      </c>
      <c r="H1812" s="16">
        <f t="shared" ca="1" si="36"/>
        <v>0.28245772779645678</v>
      </c>
    </row>
    <row r="1813" spans="7:8" x14ac:dyDescent="0.35">
      <c r="G1813" s="215">
        <v>1806</v>
      </c>
      <c r="H1813" s="16">
        <f t="shared" ca="1" si="36"/>
        <v>7.7133804393528183E-2</v>
      </c>
    </row>
    <row r="1814" spans="7:8" x14ac:dyDescent="0.35">
      <c r="G1814" s="215">
        <v>1807</v>
      </c>
      <c r="H1814" s="16">
        <f t="shared" ca="1" si="36"/>
        <v>2.6147501669689231E-2</v>
      </c>
    </row>
    <row r="1815" spans="7:8" x14ac:dyDescent="0.35">
      <c r="G1815" s="215">
        <v>1808</v>
      </c>
      <c r="H1815" s="16">
        <f t="shared" ca="1" si="36"/>
        <v>-6.2042846785980529E-2</v>
      </c>
    </row>
    <row r="1816" spans="7:8" x14ac:dyDescent="0.35">
      <c r="G1816" s="215">
        <v>1809</v>
      </c>
      <c r="H1816" s="16">
        <f t="shared" ca="1" si="36"/>
        <v>3.8434339341459997E-2</v>
      </c>
    </row>
    <row r="1817" spans="7:8" x14ac:dyDescent="0.35">
      <c r="G1817" s="215">
        <v>1810</v>
      </c>
      <c r="H1817" s="16">
        <f t="shared" ca="1" si="36"/>
        <v>9.2250479803689028E-2</v>
      </c>
    </row>
    <row r="1818" spans="7:8" x14ac:dyDescent="0.35">
      <c r="G1818" s="215">
        <v>1811</v>
      </c>
      <c r="H1818" s="16">
        <f t="shared" ca="1" si="36"/>
        <v>-0.15535058243402103</v>
      </c>
    </row>
    <row r="1819" spans="7:8" x14ac:dyDescent="0.35">
      <c r="G1819" s="215">
        <v>1812</v>
      </c>
      <c r="H1819" s="16">
        <f t="shared" ca="1" si="36"/>
        <v>5.2647097977953694E-2</v>
      </c>
    </row>
    <row r="1820" spans="7:8" x14ac:dyDescent="0.35">
      <c r="G1820" s="215">
        <v>1813</v>
      </c>
      <c r="H1820" s="16">
        <f t="shared" ca="1" si="36"/>
        <v>8.5576862452413333E-2</v>
      </c>
    </row>
    <row r="1821" spans="7:8" x14ac:dyDescent="0.35">
      <c r="G1821" s="215">
        <v>1814</v>
      </c>
      <c r="H1821" s="16">
        <f t="shared" ca="1" si="36"/>
        <v>4.5950054076171216E-3</v>
      </c>
    </row>
    <row r="1822" spans="7:8" x14ac:dyDescent="0.35">
      <c r="G1822" s="215">
        <v>1815</v>
      </c>
      <c r="H1822" s="16">
        <f t="shared" ca="1" si="36"/>
        <v>9.0133208172516969E-3</v>
      </c>
    </row>
    <row r="1823" spans="7:8" x14ac:dyDescent="0.35">
      <c r="G1823" s="215">
        <v>1816</v>
      </c>
      <c r="H1823" s="16">
        <f t="shared" ca="1" si="36"/>
        <v>-3.3991906906332928E-2</v>
      </c>
    </row>
    <row r="1824" spans="7:8" x14ac:dyDescent="0.35">
      <c r="G1824" s="215">
        <v>1817</v>
      </c>
      <c r="H1824" s="16">
        <f t="shared" ca="1" si="36"/>
        <v>8.6665019947258531E-2</v>
      </c>
    </row>
    <row r="1825" spans="7:8" x14ac:dyDescent="0.35">
      <c r="G1825" s="215">
        <v>1818</v>
      </c>
      <c r="H1825" s="16">
        <f t="shared" ca="1" si="36"/>
        <v>5.0411358956890043E-2</v>
      </c>
    </row>
    <row r="1826" spans="7:8" x14ac:dyDescent="0.35">
      <c r="G1826" s="215">
        <v>1819</v>
      </c>
      <c r="H1826" s="16">
        <f t="shared" ca="1" si="36"/>
        <v>3.9807168255802286E-2</v>
      </c>
    </row>
    <row r="1827" spans="7:8" x14ac:dyDescent="0.35">
      <c r="G1827" s="215">
        <v>1820</v>
      </c>
      <c r="H1827" s="16">
        <f t="shared" ca="1" si="36"/>
        <v>-2.5159121406102072E-2</v>
      </c>
    </row>
    <row r="1828" spans="7:8" x14ac:dyDescent="0.35">
      <c r="G1828" s="215">
        <v>1821</v>
      </c>
      <c r="H1828" s="16">
        <f t="shared" ca="1" si="36"/>
        <v>-4.7813100155896182E-2</v>
      </c>
    </row>
    <row r="1829" spans="7:8" x14ac:dyDescent="0.35">
      <c r="G1829" s="215">
        <v>1822</v>
      </c>
      <c r="H1829" s="16">
        <f t="shared" ca="1" si="36"/>
        <v>0.12546559849540162</v>
      </c>
    </row>
    <row r="1830" spans="7:8" x14ac:dyDescent="0.35">
      <c r="G1830" s="215">
        <v>1823</v>
      </c>
      <c r="H1830" s="16">
        <f t="shared" ca="1" si="36"/>
        <v>3.0403324964433657E-2</v>
      </c>
    </row>
    <row r="1831" spans="7:8" x14ac:dyDescent="0.35">
      <c r="G1831" s="215">
        <v>1824</v>
      </c>
      <c r="H1831" s="16">
        <f t="shared" ca="1" si="36"/>
        <v>-1.0535808853083355E-3</v>
      </c>
    </row>
    <row r="1832" spans="7:8" x14ac:dyDescent="0.35">
      <c r="G1832" s="215">
        <v>1825</v>
      </c>
      <c r="H1832" s="16">
        <f t="shared" ca="1" si="36"/>
        <v>-2.5973821677439789E-3</v>
      </c>
    </row>
    <row r="1833" spans="7:8" x14ac:dyDescent="0.35">
      <c r="G1833" s="215">
        <v>1826</v>
      </c>
      <c r="H1833" s="16">
        <f t="shared" ca="1" si="36"/>
        <v>8.4763601381720427E-2</v>
      </c>
    </row>
    <row r="1834" spans="7:8" x14ac:dyDescent="0.35">
      <c r="G1834" s="215">
        <v>1827</v>
      </c>
      <c r="H1834" s="16">
        <f t="shared" ca="1" si="36"/>
        <v>6.1868191280676041E-2</v>
      </c>
    </row>
    <row r="1835" spans="7:8" x14ac:dyDescent="0.35">
      <c r="G1835" s="215">
        <v>1828</v>
      </c>
      <c r="H1835" s="16">
        <f t="shared" ca="1" si="36"/>
        <v>0.11788193094337016</v>
      </c>
    </row>
    <row r="1836" spans="7:8" x14ac:dyDescent="0.35">
      <c r="G1836" s="215">
        <v>1829</v>
      </c>
      <c r="H1836" s="16">
        <f t="shared" ca="1" si="36"/>
        <v>-1.0554415331629034E-3</v>
      </c>
    </row>
    <row r="1837" spans="7:8" x14ac:dyDescent="0.35">
      <c r="G1837" s="215">
        <v>1830</v>
      </c>
      <c r="H1837" s="16">
        <f t="shared" ca="1" si="36"/>
        <v>-0.18771380649199559</v>
      </c>
    </row>
    <row r="1838" spans="7:8" x14ac:dyDescent="0.35">
      <c r="G1838" s="215">
        <v>1831</v>
      </c>
      <c r="H1838" s="16">
        <f t="shared" ca="1" si="36"/>
        <v>4.2110653976380419E-2</v>
      </c>
    </row>
    <row r="1839" spans="7:8" x14ac:dyDescent="0.35">
      <c r="G1839" s="215">
        <v>1832</v>
      </c>
      <c r="H1839" s="16">
        <f t="shared" ca="1" si="36"/>
        <v>-4.3303547585846994E-2</v>
      </c>
    </row>
    <row r="1840" spans="7:8" x14ac:dyDescent="0.35">
      <c r="G1840" s="215">
        <v>1833</v>
      </c>
      <c r="H1840" s="16">
        <f t="shared" ca="1" si="36"/>
        <v>0.13588825004312324</v>
      </c>
    </row>
    <row r="1841" spans="7:8" x14ac:dyDescent="0.35">
      <c r="G1841" s="215">
        <v>1834</v>
      </c>
      <c r="H1841" s="16">
        <f t="shared" ca="1" si="36"/>
        <v>-1.7870098232238112E-2</v>
      </c>
    </row>
    <row r="1842" spans="7:8" x14ac:dyDescent="0.35">
      <c r="G1842" s="215">
        <v>1835</v>
      </c>
      <c r="H1842" s="16">
        <f t="shared" ca="1" si="36"/>
        <v>-5.1147369101946533E-2</v>
      </c>
    </row>
    <row r="1843" spans="7:8" x14ac:dyDescent="0.35">
      <c r="G1843" s="215">
        <v>1836</v>
      </c>
      <c r="H1843" s="16">
        <f t="shared" ca="1" si="36"/>
        <v>-1.4518690632876228E-2</v>
      </c>
    </row>
    <row r="1844" spans="7:8" x14ac:dyDescent="0.35">
      <c r="G1844" s="215">
        <v>1837</v>
      </c>
      <c r="H1844" s="16">
        <f t="shared" ca="1" si="36"/>
        <v>2.8726677633898932E-2</v>
      </c>
    </row>
    <row r="1845" spans="7:8" x14ac:dyDescent="0.35">
      <c r="G1845" s="215">
        <v>1838</v>
      </c>
      <c r="H1845" s="16">
        <f t="shared" ca="1" si="36"/>
        <v>1.5549851715499309E-2</v>
      </c>
    </row>
    <row r="1846" spans="7:8" x14ac:dyDescent="0.35">
      <c r="G1846" s="215">
        <v>1839</v>
      </c>
      <c r="H1846" s="16">
        <f t="shared" ca="1" si="36"/>
        <v>9.141092079108562E-2</v>
      </c>
    </row>
    <row r="1847" spans="7:8" x14ac:dyDescent="0.35">
      <c r="G1847" s="215">
        <v>1840</v>
      </c>
      <c r="H1847" s="16">
        <f t="shared" ca="1" si="36"/>
        <v>-2.082775767452506E-2</v>
      </c>
    </row>
    <row r="1848" spans="7:8" x14ac:dyDescent="0.35">
      <c r="G1848" s="215">
        <v>1841</v>
      </c>
      <c r="H1848" s="16">
        <f t="shared" ca="1" si="36"/>
        <v>-9.7794450668397426E-2</v>
      </c>
    </row>
    <row r="1849" spans="7:8" x14ac:dyDescent="0.35">
      <c r="G1849" s="215">
        <v>1842</v>
      </c>
      <c r="H1849" s="16">
        <f t="shared" ca="1" si="36"/>
        <v>0.14913736988540047</v>
      </c>
    </row>
    <row r="1850" spans="7:8" x14ac:dyDescent="0.35">
      <c r="G1850" s="215">
        <v>1843</v>
      </c>
      <c r="H1850" s="16">
        <f t="shared" ca="1" si="36"/>
        <v>9.3585985477267222E-2</v>
      </c>
    </row>
    <row r="1851" spans="7:8" x14ac:dyDescent="0.35">
      <c r="G1851" s="215">
        <v>1844</v>
      </c>
      <c r="H1851" s="16">
        <f t="shared" ca="1" si="36"/>
        <v>2.5365012412760485E-2</v>
      </c>
    </row>
    <row r="1852" spans="7:8" x14ac:dyDescent="0.35">
      <c r="G1852" s="215">
        <v>1845</v>
      </c>
      <c r="H1852" s="16">
        <f t="shared" ca="1" si="36"/>
        <v>0.1188083996738392</v>
      </c>
    </row>
    <row r="1853" spans="7:8" x14ac:dyDescent="0.35">
      <c r="G1853" s="215">
        <v>1846</v>
      </c>
      <c r="H1853" s="16">
        <f t="shared" ca="1" si="36"/>
        <v>-0.11231208153545405</v>
      </c>
    </row>
    <row r="1854" spans="7:8" x14ac:dyDescent="0.35">
      <c r="G1854" s="215">
        <v>1847</v>
      </c>
      <c r="H1854" s="16">
        <f t="shared" ca="1" si="36"/>
        <v>4.8910481537141115E-2</v>
      </c>
    </row>
    <row r="1855" spans="7:8" x14ac:dyDescent="0.35">
      <c r="G1855" s="215">
        <v>1848</v>
      </c>
      <c r="H1855" s="16">
        <f t="shared" ca="1" si="36"/>
        <v>5.7120176687829885E-2</v>
      </c>
    </row>
    <row r="1856" spans="7:8" x14ac:dyDescent="0.35">
      <c r="G1856" s="215">
        <v>1849</v>
      </c>
      <c r="H1856" s="16">
        <f t="shared" ca="1" si="36"/>
        <v>-1.8228078375366791E-2</v>
      </c>
    </row>
    <row r="1857" spans="7:8" x14ac:dyDescent="0.35">
      <c r="G1857" s="215">
        <v>1850</v>
      </c>
      <c r="H1857" s="16">
        <f t="shared" ca="1" si="36"/>
        <v>3.6628810013968782E-2</v>
      </c>
    </row>
    <row r="1858" spans="7:8" x14ac:dyDescent="0.35">
      <c r="G1858" s="215">
        <v>1851</v>
      </c>
      <c r="H1858" s="16">
        <f t="shared" ca="1" si="36"/>
        <v>3.9205049619351562E-2</v>
      </c>
    </row>
    <row r="1859" spans="7:8" x14ac:dyDescent="0.35">
      <c r="G1859" s="215">
        <v>1852</v>
      </c>
      <c r="H1859" s="16">
        <f t="shared" ca="1" si="36"/>
        <v>0.21228551208577509</v>
      </c>
    </row>
    <row r="1860" spans="7:8" x14ac:dyDescent="0.35">
      <c r="G1860" s="215">
        <v>1853</v>
      </c>
      <c r="H1860" s="16">
        <f t="shared" ca="1" si="36"/>
        <v>-0.10472739458875073</v>
      </c>
    </row>
    <row r="1861" spans="7:8" x14ac:dyDescent="0.35">
      <c r="G1861" s="215">
        <v>1854</v>
      </c>
      <c r="H1861" s="16">
        <f t="shared" ca="1" si="36"/>
        <v>5.6212756051613966E-2</v>
      </c>
    </row>
    <row r="1862" spans="7:8" x14ac:dyDescent="0.35">
      <c r="G1862" s="215">
        <v>1855</v>
      </c>
      <c r="H1862" s="16">
        <f t="shared" ca="1" si="36"/>
        <v>1.0007700135522017E-2</v>
      </c>
    </row>
    <row r="1863" spans="7:8" x14ac:dyDescent="0.35">
      <c r="G1863" s="215">
        <v>1856</v>
      </c>
      <c r="H1863" s="16">
        <f t="shared" ca="1" si="36"/>
        <v>5.6999996600364644E-2</v>
      </c>
    </row>
    <row r="1864" spans="7:8" x14ac:dyDescent="0.35">
      <c r="G1864" s="215">
        <v>1857</v>
      </c>
      <c r="H1864" s="16">
        <f t="shared" ref="H1864:H1927" ca="1" si="37">_xlfn.NORM.INV(RAND(),M$10,M$11)</f>
        <v>7.972125443171163E-2</v>
      </c>
    </row>
    <row r="1865" spans="7:8" x14ac:dyDescent="0.35">
      <c r="G1865" s="215">
        <v>1858</v>
      </c>
      <c r="H1865" s="16">
        <f t="shared" ca="1" si="37"/>
        <v>0.1837971502462746</v>
      </c>
    </row>
    <row r="1866" spans="7:8" x14ac:dyDescent="0.35">
      <c r="G1866" s="215">
        <v>1859</v>
      </c>
      <c r="H1866" s="16">
        <f t="shared" ca="1" si="37"/>
        <v>0.19916495374344964</v>
      </c>
    </row>
    <row r="1867" spans="7:8" x14ac:dyDescent="0.35">
      <c r="G1867" s="215">
        <v>1860</v>
      </c>
      <c r="H1867" s="16">
        <f t="shared" ca="1" si="37"/>
        <v>0.15126593238273825</v>
      </c>
    </row>
    <row r="1868" spans="7:8" x14ac:dyDescent="0.35">
      <c r="G1868" s="215">
        <v>1861</v>
      </c>
      <c r="H1868" s="16">
        <f t="shared" ca="1" si="37"/>
        <v>-4.7706195050133932E-2</v>
      </c>
    </row>
    <row r="1869" spans="7:8" x14ac:dyDescent="0.35">
      <c r="G1869" s="215">
        <v>1862</v>
      </c>
      <c r="H1869" s="16">
        <f t="shared" ca="1" si="37"/>
        <v>3.7486822693759698E-2</v>
      </c>
    </row>
    <row r="1870" spans="7:8" x14ac:dyDescent="0.35">
      <c r="G1870" s="215">
        <v>1863</v>
      </c>
      <c r="H1870" s="16">
        <f t="shared" ca="1" si="37"/>
        <v>-2.1776613848198356E-2</v>
      </c>
    </row>
    <row r="1871" spans="7:8" x14ac:dyDescent="0.35">
      <c r="G1871" s="215">
        <v>1864</v>
      </c>
      <c r="H1871" s="16">
        <f t="shared" ca="1" si="37"/>
        <v>-2.0884159404309207E-2</v>
      </c>
    </row>
    <row r="1872" spans="7:8" x14ac:dyDescent="0.35">
      <c r="G1872" s="215">
        <v>1865</v>
      </c>
      <c r="H1872" s="16">
        <f t="shared" ca="1" si="37"/>
        <v>3.8675076905584204E-3</v>
      </c>
    </row>
    <row r="1873" spans="7:8" x14ac:dyDescent="0.35">
      <c r="G1873" s="215">
        <v>1866</v>
      </c>
      <c r="H1873" s="16">
        <f t="shared" ca="1" si="37"/>
        <v>7.15835171001383E-2</v>
      </c>
    </row>
    <row r="1874" spans="7:8" x14ac:dyDescent="0.35">
      <c r="G1874" s="215">
        <v>1867</v>
      </c>
      <c r="H1874" s="16">
        <f t="shared" ca="1" si="37"/>
        <v>7.9573032310663885E-2</v>
      </c>
    </row>
    <row r="1875" spans="7:8" x14ac:dyDescent="0.35">
      <c r="G1875" s="215">
        <v>1868</v>
      </c>
      <c r="H1875" s="16">
        <f t="shared" ca="1" si="37"/>
        <v>-2.4559733464130217E-2</v>
      </c>
    </row>
    <row r="1876" spans="7:8" x14ac:dyDescent="0.35">
      <c r="G1876" s="215">
        <v>1869</v>
      </c>
      <c r="H1876" s="16">
        <f t="shared" ca="1" si="37"/>
        <v>6.0373200201247562E-2</v>
      </c>
    </row>
    <row r="1877" spans="7:8" x14ac:dyDescent="0.35">
      <c r="G1877" s="215">
        <v>1870</v>
      </c>
      <c r="H1877" s="16">
        <f t="shared" ca="1" si="37"/>
        <v>-0.11462470568613359</v>
      </c>
    </row>
    <row r="1878" spans="7:8" x14ac:dyDescent="0.35">
      <c r="G1878" s="215">
        <v>1871</v>
      </c>
      <c r="H1878" s="16">
        <f t="shared" ca="1" si="37"/>
        <v>-4.435666580931745E-2</v>
      </c>
    </row>
    <row r="1879" spans="7:8" x14ac:dyDescent="0.35">
      <c r="G1879" s="215">
        <v>1872</v>
      </c>
      <c r="H1879" s="16">
        <f t="shared" ca="1" si="37"/>
        <v>-4.9104372531163634E-2</v>
      </c>
    </row>
    <row r="1880" spans="7:8" x14ac:dyDescent="0.35">
      <c r="G1880" s="215">
        <v>1873</v>
      </c>
      <c r="H1880" s="16">
        <f t="shared" ca="1" si="37"/>
        <v>1.9983494661023993E-2</v>
      </c>
    </row>
    <row r="1881" spans="7:8" x14ac:dyDescent="0.35">
      <c r="G1881" s="215">
        <v>1874</v>
      </c>
      <c r="H1881" s="16">
        <f t="shared" ca="1" si="37"/>
        <v>1.9044024885216386E-2</v>
      </c>
    </row>
    <row r="1882" spans="7:8" x14ac:dyDescent="0.35">
      <c r="G1882" s="215">
        <v>1875</v>
      </c>
      <c r="H1882" s="16">
        <f t="shared" ca="1" si="37"/>
        <v>6.6973911901216264E-3</v>
      </c>
    </row>
    <row r="1883" spans="7:8" x14ac:dyDescent="0.35">
      <c r="G1883" s="215">
        <v>1876</v>
      </c>
      <c r="H1883" s="16">
        <f t="shared" ca="1" si="37"/>
        <v>-0.16866005391649749</v>
      </c>
    </row>
    <row r="1884" spans="7:8" x14ac:dyDescent="0.35">
      <c r="G1884" s="215">
        <v>1877</v>
      </c>
      <c r="H1884" s="16">
        <f t="shared" ca="1" si="37"/>
        <v>-6.8118200775979187E-2</v>
      </c>
    </row>
    <row r="1885" spans="7:8" x14ac:dyDescent="0.35">
      <c r="G1885" s="215">
        <v>1878</v>
      </c>
      <c r="H1885" s="16">
        <f t="shared" ca="1" si="37"/>
        <v>-3.4813273709780448E-2</v>
      </c>
    </row>
    <row r="1886" spans="7:8" x14ac:dyDescent="0.35">
      <c r="G1886" s="215">
        <v>1879</v>
      </c>
      <c r="H1886" s="16">
        <f t="shared" ca="1" si="37"/>
        <v>5.4778925239037856E-3</v>
      </c>
    </row>
    <row r="1887" spans="7:8" x14ac:dyDescent="0.35">
      <c r="G1887" s="215">
        <v>1880</v>
      </c>
      <c r="H1887" s="16">
        <f t="shared" ca="1" si="37"/>
        <v>2.2620778722671944E-2</v>
      </c>
    </row>
    <row r="1888" spans="7:8" x14ac:dyDescent="0.35">
      <c r="G1888" s="215">
        <v>1881</v>
      </c>
      <c r="H1888" s="16">
        <f t="shared" ca="1" si="37"/>
        <v>-2.768408066641501E-2</v>
      </c>
    </row>
    <row r="1889" spans="7:8" x14ac:dyDescent="0.35">
      <c r="G1889" s="215">
        <v>1882</v>
      </c>
      <c r="H1889" s="16">
        <f t="shared" ca="1" si="37"/>
        <v>3.9956424755904097E-3</v>
      </c>
    </row>
    <row r="1890" spans="7:8" x14ac:dyDescent="0.35">
      <c r="G1890" s="215">
        <v>1883</v>
      </c>
      <c r="H1890" s="16">
        <f t="shared" ca="1" si="37"/>
        <v>-7.7874599372155989E-2</v>
      </c>
    </row>
    <row r="1891" spans="7:8" x14ac:dyDescent="0.35">
      <c r="G1891" s="215">
        <v>1884</v>
      </c>
      <c r="H1891" s="16">
        <f t="shared" ca="1" si="37"/>
        <v>-5.4736213501718436E-2</v>
      </c>
    </row>
    <row r="1892" spans="7:8" x14ac:dyDescent="0.35">
      <c r="G1892" s="215">
        <v>1885</v>
      </c>
      <c r="H1892" s="16">
        <f t="shared" ca="1" si="37"/>
        <v>-3.2233234844189468E-2</v>
      </c>
    </row>
    <row r="1893" spans="7:8" x14ac:dyDescent="0.35">
      <c r="G1893" s="215">
        <v>1886</v>
      </c>
      <c r="H1893" s="16">
        <f t="shared" ca="1" si="37"/>
        <v>-2.6851467008692748E-2</v>
      </c>
    </row>
    <row r="1894" spans="7:8" x14ac:dyDescent="0.35">
      <c r="G1894" s="215">
        <v>1887</v>
      </c>
      <c r="H1894" s="16">
        <f t="shared" ca="1" si="37"/>
        <v>5.7595711469623931E-2</v>
      </c>
    </row>
    <row r="1895" spans="7:8" x14ac:dyDescent="0.35">
      <c r="G1895" s="215">
        <v>1888</v>
      </c>
      <c r="H1895" s="16">
        <f t="shared" ca="1" si="37"/>
        <v>2.0291333774441082E-2</v>
      </c>
    </row>
    <row r="1896" spans="7:8" x14ac:dyDescent="0.35">
      <c r="G1896" s="215">
        <v>1889</v>
      </c>
      <c r="H1896" s="16">
        <f t="shared" ca="1" si="37"/>
        <v>3.7839544594167523E-2</v>
      </c>
    </row>
    <row r="1897" spans="7:8" x14ac:dyDescent="0.35">
      <c r="G1897" s="215">
        <v>1890</v>
      </c>
      <c r="H1897" s="16">
        <f t="shared" ca="1" si="37"/>
        <v>0.14731940305482949</v>
      </c>
    </row>
    <row r="1898" spans="7:8" x14ac:dyDescent="0.35">
      <c r="G1898" s="215">
        <v>1891</v>
      </c>
      <c r="H1898" s="16">
        <f t="shared" ca="1" si="37"/>
        <v>1.1478565753029054E-2</v>
      </c>
    </row>
    <row r="1899" spans="7:8" x14ac:dyDescent="0.35">
      <c r="G1899" s="215">
        <v>1892</v>
      </c>
      <c r="H1899" s="16">
        <f t="shared" ca="1" si="37"/>
        <v>6.0104229340407989E-2</v>
      </c>
    </row>
    <row r="1900" spans="7:8" x14ac:dyDescent="0.35">
      <c r="G1900" s="215">
        <v>1893</v>
      </c>
      <c r="H1900" s="16">
        <f t="shared" ca="1" si="37"/>
        <v>2.1542685603437278E-2</v>
      </c>
    </row>
    <row r="1901" spans="7:8" x14ac:dyDescent="0.35">
      <c r="G1901" s="215">
        <v>1894</v>
      </c>
      <c r="H1901" s="16">
        <f t="shared" ca="1" si="37"/>
        <v>0.17479959578560511</v>
      </c>
    </row>
    <row r="1902" spans="7:8" x14ac:dyDescent="0.35">
      <c r="G1902" s="215">
        <v>1895</v>
      </c>
      <c r="H1902" s="16">
        <f t="shared" ca="1" si="37"/>
        <v>-4.0885682286260661E-2</v>
      </c>
    </row>
    <row r="1903" spans="7:8" x14ac:dyDescent="0.35">
      <c r="G1903" s="215">
        <v>1896</v>
      </c>
      <c r="H1903" s="16">
        <f t="shared" ca="1" si="37"/>
        <v>9.0285598075826798E-2</v>
      </c>
    </row>
    <row r="1904" spans="7:8" x14ac:dyDescent="0.35">
      <c r="G1904" s="215">
        <v>1897</v>
      </c>
      <c r="H1904" s="16">
        <f t="shared" ca="1" si="37"/>
        <v>5.3838673652185004E-2</v>
      </c>
    </row>
    <row r="1905" spans="7:8" x14ac:dyDescent="0.35">
      <c r="G1905" s="215">
        <v>1898</v>
      </c>
      <c r="H1905" s="16">
        <f t="shared" ca="1" si="37"/>
        <v>-8.3512648652201482E-2</v>
      </c>
    </row>
    <row r="1906" spans="7:8" x14ac:dyDescent="0.35">
      <c r="G1906" s="215">
        <v>1899</v>
      </c>
      <c r="H1906" s="16">
        <f t="shared" ca="1" si="37"/>
        <v>-6.8110842409330671E-2</v>
      </c>
    </row>
    <row r="1907" spans="7:8" x14ac:dyDescent="0.35">
      <c r="G1907" s="215">
        <v>1900</v>
      </c>
      <c r="H1907" s="16">
        <f t="shared" ca="1" si="37"/>
        <v>-0.10699000684862195</v>
      </c>
    </row>
    <row r="1908" spans="7:8" x14ac:dyDescent="0.35">
      <c r="G1908" s="215">
        <v>1901</v>
      </c>
      <c r="H1908" s="16">
        <f t="shared" ca="1" si="37"/>
        <v>-0.12326578209392824</v>
      </c>
    </row>
    <row r="1909" spans="7:8" x14ac:dyDescent="0.35">
      <c r="G1909" s="215">
        <v>1902</v>
      </c>
      <c r="H1909" s="16">
        <f t="shared" ca="1" si="37"/>
        <v>9.0623351670215319E-2</v>
      </c>
    </row>
    <row r="1910" spans="7:8" x14ac:dyDescent="0.35">
      <c r="G1910" s="215">
        <v>1903</v>
      </c>
      <c r="H1910" s="16">
        <f t="shared" ca="1" si="37"/>
        <v>-2.9621487647017723E-2</v>
      </c>
    </row>
    <row r="1911" spans="7:8" x14ac:dyDescent="0.35">
      <c r="G1911" s="215">
        <v>1904</v>
      </c>
      <c r="H1911" s="16">
        <f t="shared" ca="1" si="37"/>
        <v>-8.8500528971654835E-2</v>
      </c>
    </row>
    <row r="1912" spans="7:8" x14ac:dyDescent="0.35">
      <c r="G1912" s="215">
        <v>1905</v>
      </c>
      <c r="H1912" s="16">
        <f t="shared" ca="1" si="37"/>
        <v>0.15834191174206075</v>
      </c>
    </row>
    <row r="1913" spans="7:8" x14ac:dyDescent="0.35">
      <c r="G1913" s="215">
        <v>1906</v>
      </c>
      <c r="H1913" s="16">
        <f t="shared" ca="1" si="37"/>
        <v>-6.0859758311098792E-3</v>
      </c>
    </row>
    <row r="1914" spans="7:8" x14ac:dyDescent="0.35">
      <c r="G1914" s="215">
        <v>1907</v>
      </c>
      <c r="H1914" s="16">
        <f t="shared" ca="1" si="37"/>
        <v>-1.6667866324257548E-2</v>
      </c>
    </row>
    <row r="1915" spans="7:8" x14ac:dyDescent="0.35">
      <c r="G1915" s="215">
        <v>1908</v>
      </c>
      <c r="H1915" s="16">
        <f t="shared" ca="1" si="37"/>
        <v>1.1285936141352077E-2</v>
      </c>
    </row>
    <row r="1916" spans="7:8" x14ac:dyDescent="0.35">
      <c r="G1916" s="215">
        <v>1909</v>
      </c>
      <c r="H1916" s="16">
        <f t="shared" ca="1" si="37"/>
        <v>7.7391944713928532E-2</v>
      </c>
    </row>
    <row r="1917" spans="7:8" x14ac:dyDescent="0.35">
      <c r="G1917" s="215">
        <v>1910</v>
      </c>
      <c r="H1917" s="16">
        <f t="shared" ca="1" si="37"/>
        <v>8.0000537685329942E-2</v>
      </c>
    </row>
    <row r="1918" spans="7:8" x14ac:dyDescent="0.35">
      <c r="G1918" s="215">
        <v>1911</v>
      </c>
      <c r="H1918" s="16">
        <f t="shared" ca="1" si="37"/>
        <v>-0.12756941905058852</v>
      </c>
    </row>
    <row r="1919" spans="7:8" x14ac:dyDescent="0.35">
      <c r="G1919" s="215">
        <v>1912</v>
      </c>
      <c r="H1919" s="16">
        <f t="shared" ca="1" si="37"/>
        <v>-8.372609325822726E-3</v>
      </c>
    </row>
    <row r="1920" spans="7:8" x14ac:dyDescent="0.35">
      <c r="G1920" s="215">
        <v>1913</v>
      </c>
      <c r="H1920" s="16">
        <f t="shared" ca="1" si="37"/>
        <v>-3.6706849738745648E-2</v>
      </c>
    </row>
    <row r="1921" spans="7:8" x14ac:dyDescent="0.35">
      <c r="G1921" s="215">
        <v>1914</v>
      </c>
      <c r="H1921" s="16">
        <f t="shared" ca="1" si="37"/>
        <v>6.0640848112885545E-2</v>
      </c>
    </row>
    <row r="1922" spans="7:8" x14ac:dyDescent="0.35">
      <c r="G1922" s="215">
        <v>1915</v>
      </c>
      <c r="H1922" s="16">
        <f t="shared" ca="1" si="37"/>
        <v>7.0538851145996131E-2</v>
      </c>
    </row>
    <row r="1923" spans="7:8" x14ac:dyDescent="0.35">
      <c r="G1923" s="215">
        <v>1916</v>
      </c>
      <c r="H1923" s="16">
        <f t="shared" ca="1" si="37"/>
        <v>0.14784057393825084</v>
      </c>
    </row>
    <row r="1924" spans="7:8" x14ac:dyDescent="0.35">
      <c r="G1924" s="215">
        <v>1917</v>
      </c>
      <c r="H1924" s="16">
        <f t="shared" ca="1" si="37"/>
        <v>8.4759998122484193E-2</v>
      </c>
    </row>
    <row r="1925" spans="7:8" x14ac:dyDescent="0.35">
      <c r="G1925" s="215">
        <v>1918</v>
      </c>
      <c r="H1925" s="16">
        <f t="shared" ca="1" si="37"/>
        <v>-0.15333103314264965</v>
      </c>
    </row>
    <row r="1926" spans="7:8" x14ac:dyDescent="0.35">
      <c r="G1926" s="215">
        <v>1919</v>
      </c>
      <c r="H1926" s="16">
        <f t="shared" ca="1" si="37"/>
        <v>3.5106018584828758E-2</v>
      </c>
    </row>
    <row r="1927" spans="7:8" x14ac:dyDescent="0.35">
      <c r="G1927" s="215">
        <v>1920</v>
      </c>
      <c r="H1927" s="16">
        <f t="shared" ca="1" si="37"/>
        <v>-0.10538022647547028</v>
      </c>
    </row>
    <row r="1928" spans="7:8" x14ac:dyDescent="0.35">
      <c r="G1928" s="215">
        <v>1921</v>
      </c>
      <c r="H1928" s="16">
        <f t="shared" ref="H1928:H1991" ca="1" si="38">_xlfn.NORM.INV(RAND(),M$10,M$11)</f>
        <v>8.2184956213364552E-2</v>
      </c>
    </row>
    <row r="1929" spans="7:8" x14ac:dyDescent="0.35">
      <c r="G1929" s="215">
        <v>1922</v>
      </c>
      <c r="H1929" s="16">
        <f t="shared" ca="1" si="38"/>
        <v>-3.8258128672430475E-2</v>
      </c>
    </row>
    <row r="1930" spans="7:8" x14ac:dyDescent="0.35">
      <c r="G1930" s="215">
        <v>1923</v>
      </c>
      <c r="H1930" s="16">
        <f t="shared" ca="1" si="38"/>
        <v>5.626187090490853E-3</v>
      </c>
    </row>
    <row r="1931" spans="7:8" x14ac:dyDescent="0.35">
      <c r="G1931" s="215">
        <v>1924</v>
      </c>
      <c r="H1931" s="16">
        <f t="shared" ca="1" si="38"/>
        <v>3.5451720016982144E-2</v>
      </c>
    </row>
    <row r="1932" spans="7:8" x14ac:dyDescent="0.35">
      <c r="G1932" s="215">
        <v>1925</v>
      </c>
      <c r="H1932" s="16">
        <f t="shared" ca="1" si="38"/>
        <v>1.6153864749574597E-2</v>
      </c>
    </row>
    <row r="1933" spans="7:8" x14ac:dyDescent="0.35">
      <c r="G1933" s="215">
        <v>1926</v>
      </c>
      <c r="H1933" s="16">
        <f t="shared" ca="1" si="38"/>
        <v>-8.0947881444531605E-2</v>
      </c>
    </row>
    <row r="1934" spans="7:8" x14ac:dyDescent="0.35">
      <c r="G1934" s="215">
        <v>1927</v>
      </c>
      <c r="H1934" s="16">
        <f t="shared" ca="1" si="38"/>
        <v>0.11035664096360309</v>
      </c>
    </row>
    <row r="1935" spans="7:8" x14ac:dyDescent="0.35">
      <c r="G1935" s="215">
        <v>1928</v>
      </c>
      <c r="H1935" s="16">
        <f t="shared" ca="1" si="38"/>
        <v>-9.0912520872865818E-2</v>
      </c>
    </row>
    <row r="1936" spans="7:8" x14ac:dyDescent="0.35">
      <c r="G1936" s="215">
        <v>1929</v>
      </c>
      <c r="H1936" s="16">
        <f t="shared" ca="1" si="38"/>
        <v>0.10064763393938407</v>
      </c>
    </row>
    <row r="1937" spans="7:8" x14ac:dyDescent="0.35">
      <c r="G1937" s="215">
        <v>1930</v>
      </c>
      <c r="H1937" s="16">
        <f t="shared" ca="1" si="38"/>
        <v>0.21422465989051243</v>
      </c>
    </row>
    <row r="1938" spans="7:8" x14ac:dyDescent="0.35">
      <c r="G1938" s="215">
        <v>1931</v>
      </c>
      <c r="H1938" s="16">
        <f t="shared" ca="1" si="38"/>
        <v>3.3372209151436016E-4</v>
      </c>
    </row>
    <row r="1939" spans="7:8" x14ac:dyDescent="0.35">
      <c r="G1939" s="215">
        <v>1932</v>
      </c>
      <c r="H1939" s="16">
        <f t="shared" ca="1" si="38"/>
        <v>-7.7701797310793325E-2</v>
      </c>
    </row>
    <row r="1940" spans="7:8" x14ac:dyDescent="0.35">
      <c r="G1940" s="215">
        <v>1933</v>
      </c>
      <c r="H1940" s="16">
        <f t="shared" ca="1" si="38"/>
        <v>-4.2121921687152536E-2</v>
      </c>
    </row>
    <row r="1941" spans="7:8" x14ac:dyDescent="0.35">
      <c r="G1941" s="215">
        <v>1934</v>
      </c>
      <c r="H1941" s="16">
        <f t="shared" ca="1" si="38"/>
        <v>-0.15589735534648735</v>
      </c>
    </row>
    <row r="1942" spans="7:8" x14ac:dyDescent="0.35">
      <c r="G1942" s="215">
        <v>1935</v>
      </c>
      <c r="H1942" s="16">
        <f t="shared" ca="1" si="38"/>
        <v>8.9731738269699188E-3</v>
      </c>
    </row>
    <row r="1943" spans="7:8" x14ac:dyDescent="0.35">
      <c r="G1943" s="215">
        <v>1936</v>
      </c>
      <c r="H1943" s="16">
        <f t="shared" ca="1" si="38"/>
        <v>-5.3707864165428165E-3</v>
      </c>
    </row>
    <row r="1944" spans="7:8" x14ac:dyDescent="0.35">
      <c r="G1944" s="215">
        <v>1937</v>
      </c>
      <c r="H1944" s="16">
        <f t="shared" ca="1" si="38"/>
        <v>0.15786254554871884</v>
      </c>
    </row>
    <row r="1945" spans="7:8" x14ac:dyDescent="0.35">
      <c r="G1945" s="215">
        <v>1938</v>
      </c>
      <c r="H1945" s="16">
        <f t="shared" ca="1" si="38"/>
        <v>0.11761908984332535</v>
      </c>
    </row>
    <row r="1946" spans="7:8" x14ac:dyDescent="0.35">
      <c r="G1946" s="215">
        <v>1939</v>
      </c>
      <c r="H1946" s="16">
        <f t="shared" ca="1" si="38"/>
        <v>-3.11480522384768E-2</v>
      </c>
    </row>
    <row r="1947" spans="7:8" x14ac:dyDescent="0.35">
      <c r="G1947" s="215">
        <v>1940</v>
      </c>
      <c r="H1947" s="16">
        <f t="shared" ca="1" si="38"/>
        <v>2.9745062285416971E-2</v>
      </c>
    </row>
    <row r="1948" spans="7:8" x14ac:dyDescent="0.35">
      <c r="G1948" s="215">
        <v>1941</v>
      </c>
      <c r="H1948" s="16">
        <f t="shared" ca="1" si="38"/>
        <v>-3.1414833767110545E-2</v>
      </c>
    </row>
    <row r="1949" spans="7:8" x14ac:dyDescent="0.35">
      <c r="G1949" s="215">
        <v>1942</v>
      </c>
      <c r="H1949" s="16">
        <f t="shared" ca="1" si="38"/>
        <v>-5.6032959599600363E-2</v>
      </c>
    </row>
    <row r="1950" spans="7:8" x14ac:dyDescent="0.35">
      <c r="G1950" s="215">
        <v>1943</v>
      </c>
      <c r="H1950" s="16">
        <f t="shared" ca="1" si="38"/>
        <v>5.9108476405242333E-2</v>
      </c>
    </row>
    <row r="1951" spans="7:8" x14ac:dyDescent="0.35">
      <c r="G1951" s="215">
        <v>1944</v>
      </c>
      <c r="H1951" s="16">
        <f t="shared" ca="1" si="38"/>
        <v>3.1046921743210821E-2</v>
      </c>
    </row>
    <row r="1952" spans="7:8" x14ac:dyDescent="0.35">
      <c r="G1952" s="215">
        <v>1945</v>
      </c>
      <c r="H1952" s="16">
        <f t="shared" ca="1" si="38"/>
        <v>0.10384580179627954</v>
      </c>
    </row>
    <row r="1953" spans="7:8" x14ac:dyDescent="0.35">
      <c r="G1953" s="215">
        <v>1946</v>
      </c>
      <c r="H1953" s="16">
        <f t="shared" ca="1" si="38"/>
        <v>-8.2110289202137116E-2</v>
      </c>
    </row>
    <row r="1954" spans="7:8" x14ac:dyDescent="0.35">
      <c r="G1954" s="215">
        <v>1947</v>
      </c>
      <c r="H1954" s="16">
        <f t="shared" ca="1" si="38"/>
        <v>-0.1259481844922106</v>
      </c>
    </row>
    <row r="1955" spans="7:8" x14ac:dyDescent="0.35">
      <c r="G1955" s="215">
        <v>1948</v>
      </c>
      <c r="H1955" s="16">
        <f t="shared" ca="1" si="38"/>
        <v>1.7023218741756545E-2</v>
      </c>
    </row>
    <row r="1956" spans="7:8" x14ac:dyDescent="0.35">
      <c r="G1956" s="215">
        <v>1949</v>
      </c>
      <c r="H1956" s="16">
        <f t="shared" ca="1" si="38"/>
        <v>0.13249826439008824</v>
      </c>
    </row>
    <row r="1957" spans="7:8" x14ac:dyDescent="0.35">
      <c r="G1957" s="215">
        <v>1950</v>
      </c>
      <c r="H1957" s="16">
        <f t="shared" ca="1" si="38"/>
        <v>3.2663997815818024E-2</v>
      </c>
    </row>
    <row r="1958" spans="7:8" x14ac:dyDescent="0.35">
      <c r="G1958" s="215">
        <v>1951</v>
      </c>
      <c r="H1958" s="16">
        <f t="shared" ca="1" si="38"/>
        <v>0.17455289256470413</v>
      </c>
    </row>
    <row r="1959" spans="7:8" x14ac:dyDescent="0.35">
      <c r="G1959" s="215">
        <v>1952</v>
      </c>
      <c r="H1959" s="16">
        <f t="shared" ca="1" si="38"/>
        <v>-3.5120695689350709E-2</v>
      </c>
    </row>
    <row r="1960" spans="7:8" x14ac:dyDescent="0.35">
      <c r="G1960" s="215">
        <v>1953</v>
      </c>
      <c r="H1960" s="16">
        <f t="shared" ca="1" si="38"/>
        <v>7.2467418940900752E-2</v>
      </c>
    </row>
    <row r="1961" spans="7:8" x14ac:dyDescent="0.35">
      <c r="G1961" s="215">
        <v>1954</v>
      </c>
      <c r="H1961" s="16">
        <f t="shared" ca="1" si="38"/>
        <v>1.4833709517844716E-2</v>
      </c>
    </row>
    <row r="1962" spans="7:8" x14ac:dyDescent="0.35">
      <c r="G1962" s="215">
        <v>1955</v>
      </c>
      <c r="H1962" s="16">
        <f t="shared" ca="1" si="38"/>
        <v>5.1032471036680752E-2</v>
      </c>
    </row>
    <row r="1963" spans="7:8" x14ac:dyDescent="0.35">
      <c r="G1963" s="215">
        <v>1956</v>
      </c>
      <c r="H1963" s="16">
        <f t="shared" ca="1" si="38"/>
        <v>8.3681953223762456E-2</v>
      </c>
    </row>
    <row r="1964" spans="7:8" x14ac:dyDescent="0.35">
      <c r="G1964" s="215">
        <v>1957</v>
      </c>
      <c r="H1964" s="16">
        <f t="shared" ca="1" si="38"/>
        <v>-1.7748479946953548E-2</v>
      </c>
    </row>
    <row r="1965" spans="7:8" x14ac:dyDescent="0.35">
      <c r="G1965" s="215">
        <v>1958</v>
      </c>
      <c r="H1965" s="16">
        <f t="shared" ca="1" si="38"/>
        <v>7.8831249557318149E-3</v>
      </c>
    </row>
    <row r="1966" spans="7:8" x14ac:dyDescent="0.35">
      <c r="G1966" s="215">
        <v>1959</v>
      </c>
      <c r="H1966" s="16">
        <f t="shared" ca="1" si="38"/>
        <v>-3.7253166904124613E-2</v>
      </c>
    </row>
    <row r="1967" spans="7:8" x14ac:dyDescent="0.35">
      <c r="G1967" s="215">
        <v>1960</v>
      </c>
      <c r="H1967" s="16">
        <f t="shared" ca="1" si="38"/>
        <v>-1.9053461687897805E-2</v>
      </c>
    </row>
    <row r="1968" spans="7:8" x14ac:dyDescent="0.35">
      <c r="G1968" s="215">
        <v>1961</v>
      </c>
      <c r="H1968" s="16">
        <f t="shared" ca="1" si="38"/>
        <v>-6.4103384954533243E-2</v>
      </c>
    </row>
    <row r="1969" spans="7:8" x14ac:dyDescent="0.35">
      <c r="G1969" s="215">
        <v>1962</v>
      </c>
      <c r="H1969" s="16">
        <f t="shared" ca="1" si="38"/>
        <v>-4.7793816786041124E-2</v>
      </c>
    </row>
    <row r="1970" spans="7:8" x14ac:dyDescent="0.35">
      <c r="G1970" s="215">
        <v>1963</v>
      </c>
      <c r="H1970" s="16">
        <f t="shared" ca="1" si="38"/>
        <v>6.5312278870000382E-3</v>
      </c>
    </row>
    <row r="1971" spans="7:8" x14ac:dyDescent="0.35">
      <c r="G1971" s="215">
        <v>1964</v>
      </c>
      <c r="H1971" s="16">
        <f t="shared" ca="1" si="38"/>
        <v>-5.9213637131317234E-2</v>
      </c>
    </row>
    <row r="1972" spans="7:8" x14ac:dyDescent="0.35">
      <c r="G1972" s="215">
        <v>1965</v>
      </c>
      <c r="H1972" s="16">
        <f t="shared" ca="1" si="38"/>
        <v>2.0179404696750412E-3</v>
      </c>
    </row>
    <row r="1973" spans="7:8" x14ac:dyDescent="0.35">
      <c r="G1973" s="215">
        <v>1966</v>
      </c>
      <c r="H1973" s="16">
        <f t="shared" ca="1" si="38"/>
        <v>6.4779505314508795E-2</v>
      </c>
    </row>
    <row r="1974" spans="7:8" x14ac:dyDescent="0.35">
      <c r="G1974" s="215">
        <v>1967</v>
      </c>
      <c r="H1974" s="16">
        <f t="shared" ca="1" si="38"/>
        <v>-1.9940165379267693E-2</v>
      </c>
    </row>
    <row r="1975" spans="7:8" x14ac:dyDescent="0.35">
      <c r="G1975" s="215">
        <v>1968</v>
      </c>
      <c r="H1975" s="16">
        <f t="shared" ca="1" si="38"/>
        <v>5.2240685440483395E-2</v>
      </c>
    </row>
    <row r="1976" spans="7:8" x14ac:dyDescent="0.35">
      <c r="G1976" s="215">
        <v>1969</v>
      </c>
      <c r="H1976" s="16">
        <f t="shared" ca="1" si="38"/>
        <v>5.4884542804985829E-3</v>
      </c>
    </row>
    <row r="1977" spans="7:8" x14ac:dyDescent="0.35">
      <c r="G1977" s="215">
        <v>1970</v>
      </c>
      <c r="H1977" s="16">
        <f t="shared" ca="1" si="38"/>
        <v>3.7866296592330803E-2</v>
      </c>
    </row>
    <row r="1978" spans="7:8" x14ac:dyDescent="0.35">
      <c r="G1978" s="215">
        <v>1971</v>
      </c>
      <c r="H1978" s="16">
        <f t="shared" ca="1" si="38"/>
        <v>2.4180585563741922E-2</v>
      </c>
    </row>
    <row r="1979" spans="7:8" x14ac:dyDescent="0.35">
      <c r="G1979" s="215">
        <v>1972</v>
      </c>
      <c r="H1979" s="16">
        <f t="shared" ca="1" si="38"/>
        <v>-8.4766648265953565E-2</v>
      </c>
    </row>
    <row r="1980" spans="7:8" x14ac:dyDescent="0.35">
      <c r="G1980" s="215">
        <v>1973</v>
      </c>
      <c r="H1980" s="16">
        <f t="shared" ca="1" si="38"/>
        <v>-3.6311193234070727E-2</v>
      </c>
    </row>
    <row r="1981" spans="7:8" x14ac:dyDescent="0.35">
      <c r="G1981" s="215">
        <v>1974</v>
      </c>
      <c r="H1981" s="16">
        <f t="shared" ca="1" si="38"/>
        <v>-7.9530952576171834E-2</v>
      </c>
    </row>
    <row r="1982" spans="7:8" x14ac:dyDescent="0.35">
      <c r="G1982" s="215">
        <v>1975</v>
      </c>
      <c r="H1982" s="16">
        <f t="shared" ca="1" si="38"/>
        <v>-0.16580043019796578</v>
      </c>
    </row>
    <row r="1983" spans="7:8" x14ac:dyDescent="0.35">
      <c r="G1983" s="215">
        <v>1976</v>
      </c>
      <c r="H1983" s="16">
        <f t="shared" ca="1" si="38"/>
        <v>-2.4953595128214195E-2</v>
      </c>
    </row>
    <row r="1984" spans="7:8" x14ac:dyDescent="0.35">
      <c r="G1984" s="215">
        <v>1977</v>
      </c>
      <c r="H1984" s="16">
        <f t="shared" ca="1" si="38"/>
        <v>-3.4795443112631386E-2</v>
      </c>
    </row>
    <row r="1985" spans="7:8" x14ac:dyDescent="0.35">
      <c r="G1985" s="215">
        <v>1978</v>
      </c>
      <c r="H1985" s="16">
        <f t="shared" ca="1" si="38"/>
        <v>7.7693736940603206E-2</v>
      </c>
    </row>
    <row r="1986" spans="7:8" x14ac:dyDescent="0.35">
      <c r="G1986" s="215">
        <v>1979</v>
      </c>
      <c r="H1986" s="16">
        <f t="shared" ca="1" si="38"/>
        <v>0.13214869908540292</v>
      </c>
    </row>
    <row r="1987" spans="7:8" x14ac:dyDescent="0.35">
      <c r="G1987" s="215">
        <v>1980</v>
      </c>
      <c r="H1987" s="16">
        <f t="shared" ca="1" si="38"/>
        <v>3.6581642824800281E-2</v>
      </c>
    </row>
    <row r="1988" spans="7:8" x14ac:dyDescent="0.35">
      <c r="G1988" s="215">
        <v>1981</v>
      </c>
      <c r="H1988" s="16">
        <f t="shared" ca="1" si="38"/>
        <v>7.8249849878007621E-2</v>
      </c>
    </row>
    <row r="1989" spans="7:8" x14ac:dyDescent="0.35">
      <c r="G1989" s="215">
        <v>1982</v>
      </c>
      <c r="H1989" s="16">
        <f t="shared" ca="1" si="38"/>
        <v>-4.4843580151830389E-2</v>
      </c>
    </row>
    <row r="1990" spans="7:8" x14ac:dyDescent="0.35">
      <c r="G1990" s="215">
        <v>1983</v>
      </c>
      <c r="H1990" s="16">
        <f t="shared" ca="1" si="38"/>
        <v>-8.9703510643084489E-3</v>
      </c>
    </row>
    <row r="1991" spans="7:8" x14ac:dyDescent="0.35">
      <c r="G1991" s="215">
        <v>1984</v>
      </c>
      <c r="H1991" s="16">
        <f t="shared" ca="1" si="38"/>
        <v>0.10996642966606822</v>
      </c>
    </row>
    <row r="1992" spans="7:8" x14ac:dyDescent="0.35">
      <c r="G1992" s="215">
        <v>1985</v>
      </c>
      <c r="H1992" s="16">
        <f t="shared" ref="H1992:H2055" ca="1" si="39">_xlfn.NORM.INV(RAND(),M$10,M$11)</f>
        <v>2.4092610663128657E-2</v>
      </c>
    </row>
    <row r="1993" spans="7:8" x14ac:dyDescent="0.35">
      <c r="G1993" s="215">
        <v>1986</v>
      </c>
      <c r="H1993" s="16">
        <f t="shared" ca="1" si="39"/>
        <v>3.0882000742187252E-2</v>
      </c>
    </row>
    <row r="1994" spans="7:8" x14ac:dyDescent="0.35">
      <c r="G1994" s="215">
        <v>1987</v>
      </c>
      <c r="H1994" s="16">
        <f t="shared" ca="1" si="39"/>
        <v>2.1291458092599691E-2</v>
      </c>
    </row>
    <row r="1995" spans="7:8" x14ac:dyDescent="0.35">
      <c r="G1995" s="215">
        <v>1988</v>
      </c>
      <c r="H1995" s="16">
        <f t="shared" ca="1" si="39"/>
        <v>1.271624070384645E-3</v>
      </c>
    </row>
    <row r="1996" spans="7:8" x14ac:dyDescent="0.35">
      <c r="G1996" s="215">
        <v>1989</v>
      </c>
      <c r="H1996" s="16">
        <f t="shared" ca="1" si="39"/>
        <v>6.1106786896619553E-2</v>
      </c>
    </row>
    <row r="1997" spans="7:8" x14ac:dyDescent="0.35">
      <c r="G1997" s="215">
        <v>1990</v>
      </c>
      <c r="H1997" s="16">
        <f t="shared" ca="1" si="39"/>
        <v>4.8189340484357621E-2</v>
      </c>
    </row>
    <row r="1998" spans="7:8" x14ac:dyDescent="0.35">
      <c r="G1998" s="215">
        <v>1991</v>
      </c>
      <c r="H1998" s="16">
        <f t="shared" ca="1" si="39"/>
        <v>6.4842123185843573E-3</v>
      </c>
    </row>
    <row r="1999" spans="7:8" x14ac:dyDescent="0.35">
      <c r="G1999" s="215">
        <v>1992</v>
      </c>
      <c r="H1999" s="16">
        <f t="shared" ca="1" si="39"/>
        <v>0.15453461235814056</v>
      </c>
    </row>
    <row r="2000" spans="7:8" x14ac:dyDescent="0.35">
      <c r="G2000" s="215">
        <v>1993</v>
      </c>
      <c r="H2000" s="16">
        <f t="shared" ca="1" si="39"/>
        <v>-9.3238826121839619E-2</v>
      </c>
    </row>
    <row r="2001" spans="7:8" x14ac:dyDescent="0.35">
      <c r="G2001" s="215">
        <v>1994</v>
      </c>
      <c r="H2001" s="16">
        <f t="shared" ca="1" si="39"/>
        <v>-3.0391741249964892E-2</v>
      </c>
    </row>
    <row r="2002" spans="7:8" x14ac:dyDescent="0.35">
      <c r="G2002" s="215">
        <v>1995</v>
      </c>
      <c r="H2002" s="16">
        <f t="shared" ca="1" si="39"/>
        <v>7.0145292559037403E-3</v>
      </c>
    </row>
    <row r="2003" spans="7:8" x14ac:dyDescent="0.35">
      <c r="G2003" s="215">
        <v>1996</v>
      </c>
      <c r="H2003" s="16">
        <f t="shared" ca="1" si="39"/>
        <v>-2.9629419487914675E-2</v>
      </c>
    </row>
    <row r="2004" spans="7:8" x14ac:dyDescent="0.35">
      <c r="G2004" s="215">
        <v>1997</v>
      </c>
      <c r="H2004" s="16">
        <f t="shared" ca="1" si="39"/>
        <v>1.9531822162481751E-2</v>
      </c>
    </row>
    <row r="2005" spans="7:8" x14ac:dyDescent="0.35">
      <c r="G2005" s="215">
        <v>1998</v>
      </c>
      <c r="H2005" s="16">
        <f t="shared" ca="1" si="39"/>
        <v>1.2910705476867554E-3</v>
      </c>
    </row>
    <row r="2006" spans="7:8" x14ac:dyDescent="0.35">
      <c r="G2006" s="215">
        <v>1999</v>
      </c>
      <c r="H2006" s="16">
        <f t="shared" ca="1" si="39"/>
        <v>3.5780590818594513E-2</v>
      </c>
    </row>
    <row r="2007" spans="7:8" x14ac:dyDescent="0.35">
      <c r="G2007" s="215">
        <v>2000</v>
      </c>
      <c r="H2007" s="16">
        <f t="shared" ca="1" si="39"/>
        <v>7.6670569392004867E-2</v>
      </c>
    </row>
    <row r="2008" spans="7:8" x14ac:dyDescent="0.35">
      <c r="G2008" s="215">
        <v>2001</v>
      </c>
      <c r="H2008" s="16">
        <f t="shared" ca="1" si="39"/>
        <v>-2.0916034855065213E-3</v>
      </c>
    </row>
    <row r="2009" spans="7:8" x14ac:dyDescent="0.35">
      <c r="G2009" s="215">
        <v>2002</v>
      </c>
      <c r="H2009" s="16">
        <f t="shared" ca="1" si="39"/>
        <v>4.7988854781581186E-2</v>
      </c>
    </row>
    <row r="2010" spans="7:8" x14ac:dyDescent="0.35">
      <c r="G2010" s="215">
        <v>2003</v>
      </c>
      <c r="H2010" s="16">
        <f t="shared" ca="1" si="39"/>
        <v>0.10784292561104572</v>
      </c>
    </row>
    <row r="2011" spans="7:8" x14ac:dyDescent="0.35">
      <c r="G2011" s="215">
        <v>2004</v>
      </c>
      <c r="H2011" s="16">
        <f t="shared" ca="1" si="39"/>
        <v>1.8702261843955278E-2</v>
      </c>
    </row>
    <row r="2012" spans="7:8" x14ac:dyDescent="0.35">
      <c r="G2012" s="215">
        <v>2005</v>
      </c>
      <c r="H2012" s="16">
        <f t="shared" ca="1" si="39"/>
        <v>-1.9123929001765797E-2</v>
      </c>
    </row>
    <row r="2013" spans="7:8" x14ac:dyDescent="0.35">
      <c r="G2013" s="215">
        <v>2006</v>
      </c>
      <c r="H2013" s="16">
        <f t="shared" ca="1" si="39"/>
        <v>4.0199259664368131E-3</v>
      </c>
    </row>
    <row r="2014" spans="7:8" x14ac:dyDescent="0.35">
      <c r="G2014" s="215">
        <v>2007</v>
      </c>
      <c r="H2014" s="16">
        <f t="shared" ca="1" si="39"/>
        <v>0.12756458807253426</v>
      </c>
    </row>
    <row r="2015" spans="7:8" x14ac:dyDescent="0.35">
      <c r="G2015" s="215">
        <v>2008</v>
      </c>
      <c r="H2015" s="16">
        <f t="shared" ca="1" si="39"/>
        <v>1.7666544484987057E-2</v>
      </c>
    </row>
    <row r="2016" spans="7:8" x14ac:dyDescent="0.35">
      <c r="G2016" s="215">
        <v>2009</v>
      </c>
      <c r="H2016" s="16">
        <f t="shared" ca="1" si="39"/>
        <v>1.740388757230963E-2</v>
      </c>
    </row>
    <row r="2017" spans="7:8" x14ac:dyDescent="0.35">
      <c r="G2017" s="215">
        <v>2010</v>
      </c>
      <c r="H2017" s="16">
        <f t="shared" ca="1" si="39"/>
        <v>2.1901493035389644E-2</v>
      </c>
    </row>
    <row r="2018" spans="7:8" x14ac:dyDescent="0.35">
      <c r="G2018" s="215">
        <v>2011</v>
      </c>
      <c r="H2018" s="16">
        <f t="shared" ca="1" si="39"/>
        <v>7.1306377440782276E-2</v>
      </c>
    </row>
    <row r="2019" spans="7:8" x14ac:dyDescent="0.35">
      <c r="G2019" s="215">
        <v>2012</v>
      </c>
      <c r="H2019" s="16">
        <f t="shared" ca="1" si="39"/>
        <v>8.6929406055086672E-3</v>
      </c>
    </row>
    <row r="2020" spans="7:8" x14ac:dyDescent="0.35">
      <c r="G2020" s="215">
        <v>2013</v>
      </c>
      <c r="H2020" s="16">
        <f t="shared" ca="1" si="39"/>
        <v>2.7754234803358459E-2</v>
      </c>
    </row>
    <row r="2021" spans="7:8" x14ac:dyDescent="0.35">
      <c r="G2021" s="215">
        <v>2014</v>
      </c>
      <c r="H2021" s="16">
        <f t="shared" ca="1" si="39"/>
        <v>-7.6177751297463611E-2</v>
      </c>
    </row>
    <row r="2022" spans="7:8" x14ac:dyDescent="0.35">
      <c r="G2022" s="215">
        <v>2015</v>
      </c>
      <c r="H2022" s="16">
        <f t="shared" ca="1" si="39"/>
        <v>-2.8981344261911391E-2</v>
      </c>
    </row>
    <row r="2023" spans="7:8" x14ac:dyDescent="0.35">
      <c r="G2023" s="215">
        <v>2016</v>
      </c>
      <c r="H2023" s="16">
        <f t="shared" ca="1" si="39"/>
        <v>-0.10357325029915161</v>
      </c>
    </row>
    <row r="2024" spans="7:8" x14ac:dyDescent="0.35">
      <c r="G2024" s="215">
        <v>2017</v>
      </c>
      <c r="H2024" s="16">
        <f t="shared" ca="1" si="39"/>
        <v>-6.2671401943876118E-2</v>
      </c>
    </row>
    <row r="2025" spans="7:8" x14ac:dyDescent="0.35">
      <c r="G2025" s="215">
        <v>2018</v>
      </c>
      <c r="H2025" s="16">
        <f t="shared" ca="1" si="39"/>
        <v>1.9068900373309331E-3</v>
      </c>
    </row>
    <row r="2026" spans="7:8" x14ac:dyDescent="0.35">
      <c r="G2026" s="215">
        <v>2019</v>
      </c>
      <c r="H2026" s="16">
        <f t="shared" ca="1" si="39"/>
        <v>4.3462161349807307E-2</v>
      </c>
    </row>
    <row r="2027" spans="7:8" x14ac:dyDescent="0.35">
      <c r="G2027" s="215">
        <v>2020</v>
      </c>
      <c r="H2027" s="16">
        <f t="shared" ca="1" si="39"/>
        <v>-2.9618120157332315E-2</v>
      </c>
    </row>
    <row r="2028" spans="7:8" x14ac:dyDescent="0.35">
      <c r="G2028" s="215">
        <v>2021</v>
      </c>
      <c r="H2028" s="16">
        <f t="shared" ca="1" si="39"/>
        <v>5.6372127273019546E-2</v>
      </c>
    </row>
    <row r="2029" spans="7:8" x14ac:dyDescent="0.35">
      <c r="G2029" s="215">
        <v>2022</v>
      </c>
      <c r="H2029" s="16">
        <f t="shared" ca="1" si="39"/>
        <v>-1.3503293361896592E-2</v>
      </c>
    </row>
    <row r="2030" spans="7:8" x14ac:dyDescent="0.35">
      <c r="G2030" s="215">
        <v>2023</v>
      </c>
      <c r="H2030" s="16">
        <f t="shared" ca="1" si="39"/>
        <v>-3.9316558025787457E-2</v>
      </c>
    </row>
    <row r="2031" spans="7:8" x14ac:dyDescent="0.35">
      <c r="G2031" s="215">
        <v>2024</v>
      </c>
      <c r="H2031" s="16">
        <f t="shared" ca="1" si="39"/>
        <v>-9.4730262221241514E-3</v>
      </c>
    </row>
    <row r="2032" spans="7:8" x14ac:dyDescent="0.35">
      <c r="G2032" s="215">
        <v>2025</v>
      </c>
      <c r="H2032" s="16">
        <f t="shared" ca="1" si="39"/>
        <v>2.4659702305841712E-3</v>
      </c>
    </row>
    <row r="2033" spans="7:8" x14ac:dyDescent="0.35">
      <c r="G2033" s="215">
        <v>2026</v>
      </c>
      <c r="H2033" s="16">
        <f t="shared" ca="1" si="39"/>
        <v>0.20096802589055035</v>
      </c>
    </row>
    <row r="2034" spans="7:8" x14ac:dyDescent="0.35">
      <c r="G2034" s="215">
        <v>2027</v>
      </c>
      <c r="H2034" s="16">
        <f t="shared" ca="1" si="39"/>
        <v>0.10162659228324607</v>
      </c>
    </row>
    <row r="2035" spans="7:8" x14ac:dyDescent="0.35">
      <c r="G2035" s="215">
        <v>2028</v>
      </c>
      <c r="H2035" s="16">
        <f t="shared" ca="1" si="39"/>
        <v>2.1663428893069089E-2</v>
      </c>
    </row>
    <row r="2036" spans="7:8" x14ac:dyDescent="0.35">
      <c r="G2036" s="215">
        <v>2029</v>
      </c>
      <c r="H2036" s="16">
        <f t="shared" ca="1" si="39"/>
        <v>-6.911690370044829E-2</v>
      </c>
    </row>
    <row r="2037" spans="7:8" x14ac:dyDescent="0.35">
      <c r="G2037" s="215">
        <v>2030</v>
      </c>
      <c r="H2037" s="16">
        <f t="shared" ca="1" si="39"/>
        <v>0.15682154380911317</v>
      </c>
    </row>
    <row r="2038" spans="7:8" x14ac:dyDescent="0.35">
      <c r="G2038" s="215">
        <v>2031</v>
      </c>
      <c r="H2038" s="16">
        <f t="shared" ca="1" si="39"/>
        <v>7.5612144946904228E-2</v>
      </c>
    </row>
    <row r="2039" spans="7:8" x14ac:dyDescent="0.35">
      <c r="G2039" s="215">
        <v>2032</v>
      </c>
      <c r="H2039" s="16">
        <f t="shared" ca="1" si="39"/>
        <v>-7.2998880900283752E-2</v>
      </c>
    </row>
    <row r="2040" spans="7:8" x14ac:dyDescent="0.35">
      <c r="G2040" s="215">
        <v>2033</v>
      </c>
      <c r="H2040" s="16">
        <f t="shared" ca="1" si="39"/>
        <v>8.2930198165493671E-2</v>
      </c>
    </row>
    <row r="2041" spans="7:8" x14ac:dyDescent="0.35">
      <c r="G2041" s="215">
        <v>2034</v>
      </c>
      <c r="H2041" s="16">
        <f t="shared" ca="1" si="39"/>
        <v>3.7425114308400259E-2</v>
      </c>
    </row>
    <row r="2042" spans="7:8" x14ac:dyDescent="0.35">
      <c r="G2042" s="215">
        <v>2035</v>
      </c>
      <c r="H2042" s="16">
        <f t="shared" ca="1" si="39"/>
        <v>2.3045075607304066E-2</v>
      </c>
    </row>
    <row r="2043" spans="7:8" x14ac:dyDescent="0.35">
      <c r="G2043" s="215">
        <v>2036</v>
      </c>
      <c r="H2043" s="16">
        <f t="shared" ca="1" si="39"/>
        <v>-6.2290791042359572E-2</v>
      </c>
    </row>
    <row r="2044" spans="7:8" x14ac:dyDescent="0.35">
      <c r="G2044" s="215">
        <v>2037</v>
      </c>
      <c r="H2044" s="16">
        <f t="shared" ca="1" si="39"/>
        <v>-4.1394249451964724E-2</v>
      </c>
    </row>
    <row r="2045" spans="7:8" x14ac:dyDescent="0.35">
      <c r="G2045" s="215">
        <v>2038</v>
      </c>
      <c r="H2045" s="16">
        <f t="shared" ca="1" si="39"/>
        <v>-8.3357763869829654E-2</v>
      </c>
    </row>
    <row r="2046" spans="7:8" x14ac:dyDescent="0.35">
      <c r="G2046" s="215">
        <v>2039</v>
      </c>
      <c r="H2046" s="16">
        <f t="shared" ca="1" si="39"/>
        <v>0.11511508623075632</v>
      </c>
    </row>
    <row r="2047" spans="7:8" x14ac:dyDescent="0.35">
      <c r="G2047" s="215">
        <v>2040</v>
      </c>
      <c r="H2047" s="16">
        <f t="shared" ca="1" si="39"/>
        <v>-0.10833927293791483</v>
      </c>
    </row>
    <row r="2048" spans="7:8" x14ac:dyDescent="0.35">
      <c r="G2048" s="215">
        <v>2041</v>
      </c>
      <c r="H2048" s="16">
        <f t="shared" ca="1" si="39"/>
        <v>0.1567362765461735</v>
      </c>
    </row>
    <row r="2049" spans="7:8" x14ac:dyDescent="0.35">
      <c r="G2049" s="215">
        <v>2042</v>
      </c>
      <c r="H2049" s="16">
        <f t="shared" ca="1" si="39"/>
        <v>0.1048913347726739</v>
      </c>
    </row>
    <row r="2050" spans="7:8" x14ac:dyDescent="0.35">
      <c r="G2050" s="215">
        <v>2043</v>
      </c>
      <c r="H2050" s="16">
        <f t="shared" ca="1" si="39"/>
        <v>-0.1003504969190127</v>
      </c>
    </row>
    <row r="2051" spans="7:8" x14ac:dyDescent="0.35">
      <c r="G2051" s="215">
        <v>2044</v>
      </c>
      <c r="H2051" s="16">
        <f t="shared" ca="1" si="39"/>
        <v>-0.19517997355546729</v>
      </c>
    </row>
    <row r="2052" spans="7:8" x14ac:dyDescent="0.35">
      <c r="G2052" s="215">
        <v>2045</v>
      </c>
      <c r="H2052" s="16">
        <f t="shared" ca="1" si="39"/>
        <v>1.386166876352333E-2</v>
      </c>
    </row>
    <row r="2053" spans="7:8" x14ac:dyDescent="0.35">
      <c r="G2053" s="215">
        <v>2046</v>
      </c>
      <c r="H2053" s="16">
        <f t="shared" ca="1" si="39"/>
        <v>-0.10493209520006352</v>
      </c>
    </row>
    <row r="2054" spans="7:8" x14ac:dyDescent="0.35">
      <c r="G2054" s="215">
        <v>2047</v>
      </c>
      <c r="H2054" s="16">
        <f t="shared" ca="1" si="39"/>
        <v>-8.6132932605539544E-2</v>
      </c>
    </row>
    <row r="2055" spans="7:8" x14ac:dyDescent="0.35">
      <c r="G2055" s="215">
        <v>2048</v>
      </c>
      <c r="H2055" s="16">
        <f t="shared" ca="1" si="39"/>
        <v>-0.15509133317306725</v>
      </c>
    </row>
    <row r="2056" spans="7:8" x14ac:dyDescent="0.35">
      <c r="G2056" s="215">
        <v>2049</v>
      </c>
      <c r="H2056" s="16">
        <f t="shared" ref="H2056:H2119" ca="1" si="40">_xlfn.NORM.INV(RAND(),M$10,M$11)</f>
        <v>4.7438099038345727E-2</v>
      </c>
    </row>
    <row r="2057" spans="7:8" x14ac:dyDescent="0.35">
      <c r="G2057" s="215">
        <v>2050</v>
      </c>
      <c r="H2057" s="16">
        <f t="shared" ca="1" si="40"/>
        <v>3.6043843289170319E-2</v>
      </c>
    </row>
    <row r="2058" spans="7:8" x14ac:dyDescent="0.35">
      <c r="G2058" s="215">
        <v>2051</v>
      </c>
      <c r="H2058" s="16">
        <f t="shared" ca="1" si="40"/>
        <v>-0.18733013178767682</v>
      </c>
    </row>
    <row r="2059" spans="7:8" x14ac:dyDescent="0.35">
      <c r="G2059" s="215">
        <v>2052</v>
      </c>
      <c r="H2059" s="16">
        <f t="shared" ca="1" si="40"/>
        <v>-2.034644709023568E-2</v>
      </c>
    </row>
    <row r="2060" spans="7:8" x14ac:dyDescent="0.35">
      <c r="G2060" s="215">
        <v>2053</v>
      </c>
      <c r="H2060" s="16">
        <f t="shared" ca="1" si="40"/>
        <v>-5.7466728797430602E-2</v>
      </c>
    </row>
    <row r="2061" spans="7:8" x14ac:dyDescent="0.35">
      <c r="G2061" s="215">
        <v>2054</v>
      </c>
      <c r="H2061" s="16">
        <f t="shared" ca="1" si="40"/>
        <v>-0.11582142110924545</v>
      </c>
    </row>
    <row r="2062" spans="7:8" x14ac:dyDescent="0.35">
      <c r="G2062" s="215">
        <v>2055</v>
      </c>
      <c r="H2062" s="16">
        <f t="shared" ca="1" si="40"/>
        <v>8.7971921846480824E-2</v>
      </c>
    </row>
    <row r="2063" spans="7:8" x14ac:dyDescent="0.35">
      <c r="G2063" s="215">
        <v>2056</v>
      </c>
      <c r="H2063" s="16">
        <f t="shared" ca="1" si="40"/>
        <v>3.5887989539446261E-2</v>
      </c>
    </row>
    <row r="2064" spans="7:8" x14ac:dyDescent="0.35">
      <c r="G2064" s="215">
        <v>2057</v>
      </c>
      <c r="H2064" s="16">
        <f t="shared" ca="1" si="40"/>
        <v>-2.4098631489023786E-2</v>
      </c>
    </row>
    <row r="2065" spans="7:8" x14ac:dyDescent="0.35">
      <c r="G2065" s="215">
        <v>2058</v>
      </c>
      <c r="H2065" s="16">
        <f t="shared" ca="1" si="40"/>
        <v>0.210361053837511</v>
      </c>
    </row>
    <row r="2066" spans="7:8" x14ac:dyDescent="0.35">
      <c r="G2066" s="215">
        <v>2059</v>
      </c>
      <c r="H2066" s="16">
        <f t="shared" ca="1" si="40"/>
        <v>-0.13856604250648719</v>
      </c>
    </row>
    <row r="2067" spans="7:8" x14ac:dyDescent="0.35">
      <c r="G2067" s="215">
        <v>2060</v>
      </c>
      <c r="H2067" s="16">
        <f t="shared" ca="1" si="40"/>
        <v>-6.9179517726700737E-2</v>
      </c>
    </row>
    <row r="2068" spans="7:8" x14ac:dyDescent="0.35">
      <c r="G2068" s="215">
        <v>2061</v>
      </c>
      <c r="H2068" s="16">
        <f t="shared" ca="1" si="40"/>
        <v>3.8532189206857144E-2</v>
      </c>
    </row>
    <row r="2069" spans="7:8" x14ac:dyDescent="0.35">
      <c r="G2069" s="215">
        <v>2062</v>
      </c>
      <c r="H2069" s="16">
        <f t="shared" ca="1" si="40"/>
        <v>-0.14037086931126383</v>
      </c>
    </row>
    <row r="2070" spans="7:8" x14ac:dyDescent="0.35">
      <c r="G2070" s="215">
        <v>2063</v>
      </c>
      <c r="H2070" s="16">
        <f t="shared" ca="1" si="40"/>
        <v>2.6965883685806224E-3</v>
      </c>
    </row>
    <row r="2071" spans="7:8" x14ac:dyDescent="0.35">
      <c r="G2071" s="215">
        <v>2064</v>
      </c>
      <c r="H2071" s="16">
        <f t="shared" ca="1" si="40"/>
        <v>-0.10718567493748123</v>
      </c>
    </row>
    <row r="2072" spans="7:8" x14ac:dyDescent="0.35">
      <c r="G2072" s="215">
        <v>2065</v>
      </c>
      <c r="H2072" s="16">
        <f t="shared" ca="1" si="40"/>
        <v>0.11738826555610295</v>
      </c>
    </row>
    <row r="2073" spans="7:8" x14ac:dyDescent="0.35">
      <c r="G2073" s="215">
        <v>2066</v>
      </c>
      <c r="H2073" s="16">
        <f t="shared" ca="1" si="40"/>
        <v>5.8019278103376218E-2</v>
      </c>
    </row>
    <row r="2074" spans="7:8" x14ac:dyDescent="0.35">
      <c r="G2074" s="215">
        <v>2067</v>
      </c>
      <c r="H2074" s="16">
        <f t="shared" ca="1" si="40"/>
        <v>-4.8507824596924404E-2</v>
      </c>
    </row>
    <row r="2075" spans="7:8" x14ac:dyDescent="0.35">
      <c r="G2075" s="215">
        <v>2068</v>
      </c>
      <c r="H2075" s="16">
        <f t="shared" ca="1" si="40"/>
        <v>-5.3488860368418059E-2</v>
      </c>
    </row>
    <row r="2076" spans="7:8" x14ac:dyDescent="0.35">
      <c r="G2076" s="215">
        <v>2069</v>
      </c>
      <c r="H2076" s="16">
        <f t="shared" ca="1" si="40"/>
        <v>1.8726520392265619E-2</v>
      </c>
    </row>
    <row r="2077" spans="7:8" x14ac:dyDescent="0.35">
      <c r="G2077" s="215">
        <v>2070</v>
      </c>
      <c r="H2077" s="16">
        <f t="shared" ca="1" si="40"/>
        <v>8.3684442878391788E-4</v>
      </c>
    </row>
    <row r="2078" spans="7:8" x14ac:dyDescent="0.35">
      <c r="G2078" s="215">
        <v>2071</v>
      </c>
      <c r="H2078" s="16">
        <f t="shared" ca="1" si="40"/>
        <v>3.7192361492667914E-2</v>
      </c>
    </row>
    <row r="2079" spans="7:8" x14ac:dyDescent="0.35">
      <c r="G2079" s="215">
        <v>2072</v>
      </c>
      <c r="H2079" s="16">
        <f t="shared" ca="1" si="40"/>
        <v>0.10819344180357945</v>
      </c>
    </row>
    <row r="2080" spans="7:8" x14ac:dyDescent="0.35">
      <c r="G2080" s="215">
        <v>2073</v>
      </c>
      <c r="H2080" s="16">
        <f t="shared" ca="1" si="40"/>
        <v>5.4790263905953679E-2</v>
      </c>
    </row>
    <row r="2081" spans="7:8" x14ac:dyDescent="0.35">
      <c r="G2081" s="215">
        <v>2074</v>
      </c>
      <c r="H2081" s="16">
        <f t="shared" ca="1" si="40"/>
        <v>-4.8925929218549047E-2</v>
      </c>
    </row>
    <row r="2082" spans="7:8" x14ac:dyDescent="0.35">
      <c r="G2082" s="215">
        <v>2075</v>
      </c>
      <c r="H2082" s="16">
        <f t="shared" ca="1" si="40"/>
        <v>-2.4576702471032563E-2</v>
      </c>
    </row>
    <row r="2083" spans="7:8" x14ac:dyDescent="0.35">
      <c r="G2083" s="215">
        <v>2076</v>
      </c>
      <c r="H2083" s="16">
        <f t="shared" ca="1" si="40"/>
        <v>2.8611743909969008E-3</v>
      </c>
    </row>
    <row r="2084" spans="7:8" x14ac:dyDescent="0.35">
      <c r="G2084" s="215">
        <v>2077</v>
      </c>
      <c r="H2084" s="16">
        <f t="shared" ca="1" si="40"/>
        <v>-4.6831266269741503E-2</v>
      </c>
    </row>
    <row r="2085" spans="7:8" x14ac:dyDescent="0.35">
      <c r="G2085" s="215">
        <v>2078</v>
      </c>
      <c r="H2085" s="16">
        <f t="shared" ca="1" si="40"/>
        <v>6.2897613098449713E-3</v>
      </c>
    </row>
    <row r="2086" spans="7:8" x14ac:dyDescent="0.35">
      <c r="G2086" s="215">
        <v>2079</v>
      </c>
      <c r="H2086" s="16">
        <f t="shared" ca="1" si="40"/>
        <v>7.3578641514994575E-2</v>
      </c>
    </row>
    <row r="2087" spans="7:8" x14ac:dyDescent="0.35">
      <c r="G2087" s="215">
        <v>2080</v>
      </c>
      <c r="H2087" s="16">
        <f t="shared" ca="1" si="40"/>
        <v>8.0797698203889962E-2</v>
      </c>
    </row>
    <row r="2088" spans="7:8" x14ac:dyDescent="0.35">
      <c r="G2088" s="215">
        <v>2081</v>
      </c>
      <c r="H2088" s="16">
        <f t="shared" ca="1" si="40"/>
        <v>-4.4338116851407663E-2</v>
      </c>
    </row>
    <row r="2089" spans="7:8" x14ac:dyDescent="0.35">
      <c r="G2089" s="215">
        <v>2082</v>
      </c>
      <c r="H2089" s="16">
        <f t="shared" ca="1" si="40"/>
        <v>2.0080302612538389E-2</v>
      </c>
    </row>
    <row r="2090" spans="7:8" x14ac:dyDescent="0.35">
      <c r="G2090" s="215">
        <v>2083</v>
      </c>
      <c r="H2090" s="16">
        <f t="shared" ca="1" si="40"/>
        <v>-3.8293652564853439E-2</v>
      </c>
    </row>
    <row r="2091" spans="7:8" x14ac:dyDescent="0.35">
      <c r="G2091" s="215">
        <v>2084</v>
      </c>
      <c r="H2091" s="16">
        <f t="shared" ca="1" si="40"/>
        <v>-3.0985927794071517E-2</v>
      </c>
    </row>
    <row r="2092" spans="7:8" x14ac:dyDescent="0.35">
      <c r="G2092" s="215">
        <v>2085</v>
      </c>
      <c r="H2092" s="16">
        <f t="shared" ca="1" si="40"/>
        <v>0.10769513755308091</v>
      </c>
    </row>
    <row r="2093" spans="7:8" x14ac:dyDescent="0.35">
      <c r="G2093" s="215">
        <v>2086</v>
      </c>
      <c r="H2093" s="16">
        <f t="shared" ca="1" si="40"/>
        <v>-2.2640947755805049E-2</v>
      </c>
    </row>
    <row r="2094" spans="7:8" x14ac:dyDescent="0.35">
      <c r="G2094" s="215">
        <v>2087</v>
      </c>
      <c r="H2094" s="16">
        <f t="shared" ca="1" si="40"/>
        <v>5.1647375771230047E-3</v>
      </c>
    </row>
    <row r="2095" spans="7:8" x14ac:dyDescent="0.35">
      <c r="G2095" s="215">
        <v>2088</v>
      </c>
      <c r="H2095" s="16">
        <f t="shared" ca="1" si="40"/>
        <v>-3.6448825073036886E-2</v>
      </c>
    </row>
    <row r="2096" spans="7:8" x14ac:dyDescent="0.35">
      <c r="G2096" s="215">
        <v>2089</v>
      </c>
      <c r="H2096" s="16">
        <f t="shared" ca="1" si="40"/>
        <v>3.0273902274442242E-2</v>
      </c>
    </row>
    <row r="2097" spans="7:8" x14ac:dyDescent="0.35">
      <c r="G2097" s="215">
        <v>2090</v>
      </c>
      <c r="H2097" s="16">
        <f t="shared" ca="1" si="40"/>
        <v>5.4073065299989802E-3</v>
      </c>
    </row>
    <row r="2098" spans="7:8" x14ac:dyDescent="0.35">
      <c r="G2098" s="215">
        <v>2091</v>
      </c>
      <c r="H2098" s="16">
        <f t="shared" ca="1" si="40"/>
        <v>8.4563454806135308E-2</v>
      </c>
    </row>
    <row r="2099" spans="7:8" x14ac:dyDescent="0.35">
      <c r="G2099" s="215">
        <v>2092</v>
      </c>
      <c r="H2099" s="16">
        <f t="shared" ca="1" si="40"/>
        <v>3.4549747731988989E-2</v>
      </c>
    </row>
    <row r="2100" spans="7:8" x14ac:dyDescent="0.35">
      <c r="G2100" s="215">
        <v>2093</v>
      </c>
      <c r="H2100" s="16">
        <f t="shared" ca="1" si="40"/>
        <v>9.6285541974235264E-3</v>
      </c>
    </row>
    <row r="2101" spans="7:8" x14ac:dyDescent="0.35">
      <c r="G2101" s="215">
        <v>2094</v>
      </c>
      <c r="H2101" s="16">
        <f t="shared" ca="1" si="40"/>
        <v>-5.4524842454606301E-2</v>
      </c>
    </row>
    <row r="2102" spans="7:8" x14ac:dyDescent="0.35">
      <c r="G2102" s="215">
        <v>2095</v>
      </c>
      <c r="H2102" s="16">
        <f t="shared" ca="1" si="40"/>
        <v>-5.8469262043477466E-2</v>
      </c>
    </row>
    <row r="2103" spans="7:8" x14ac:dyDescent="0.35">
      <c r="G2103" s="215">
        <v>2096</v>
      </c>
      <c r="H2103" s="16">
        <f t="shared" ca="1" si="40"/>
        <v>7.9985559539102483E-2</v>
      </c>
    </row>
    <row r="2104" spans="7:8" x14ac:dyDescent="0.35">
      <c r="G2104" s="215">
        <v>2097</v>
      </c>
      <c r="H2104" s="16">
        <f t="shared" ca="1" si="40"/>
        <v>-5.3209890039807667E-2</v>
      </c>
    </row>
    <row r="2105" spans="7:8" x14ac:dyDescent="0.35">
      <c r="G2105" s="215">
        <v>2098</v>
      </c>
      <c r="H2105" s="16">
        <f t="shared" ca="1" si="40"/>
        <v>-4.5445437600654517E-2</v>
      </c>
    </row>
    <row r="2106" spans="7:8" x14ac:dyDescent="0.35">
      <c r="G2106" s="215">
        <v>2099</v>
      </c>
      <c r="H2106" s="16">
        <f t="shared" ca="1" si="40"/>
        <v>4.0360118959249625E-2</v>
      </c>
    </row>
    <row r="2107" spans="7:8" x14ac:dyDescent="0.35">
      <c r="G2107" s="215">
        <v>2100</v>
      </c>
      <c r="H2107" s="16">
        <f t="shared" ca="1" si="40"/>
        <v>-5.5722325887517049E-2</v>
      </c>
    </row>
    <row r="2108" spans="7:8" x14ac:dyDescent="0.35">
      <c r="G2108" s="215">
        <v>2101</v>
      </c>
      <c r="H2108" s="16">
        <f t="shared" ca="1" si="40"/>
        <v>1.0882318362962409E-2</v>
      </c>
    </row>
    <row r="2109" spans="7:8" x14ac:dyDescent="0.35">
      <c r="G2109" s="215">
        <v>2102</v>
      </c>
      <c r="H2109" s="16">
        <f t="shared" ca="1" si="40"/>
        <v>0.11444064344335318</v>
      </c>
    </row>
    <row r="2110" spans="7:8" x14ac:dyDescent="0.35">
      <c r="G2110" s="215">
        <v>2103</v>
      </c>
      <c r="H2110" s="16">
        <f t="shared" ca="1" si="40"/>
        <v>6.7880899702198183E-2</v>
      </c>
    </row>
    <row r="2111" spans="7:8" x14ac:dyDescent="0.35">
      <c r="G2111" s="215">
        <v>2104</v>
      </c>
      <c r="H2111" s="16">
        <f t="shared" ca="1" si="40"/>
        <v>2.3551436364263604E-2</v>
      </c>
    </row>
    <row r="2112" spans="7:8" x14ac:dyDescent="0.35">
      <c r="G2112" s="215">
        <v>2105</v>
      </c>
      <c r="H2112" s="16">
        <f t="shared" ca="1" si="40"/>
        <v>-0.10315415322269174</v>
      </c>
    </row>
    <row r="2113" spans="7:8" x14ac:dyDescent="0.35">
      <c r="G2113" s="215">
        <v>2106</v>
      </c>
      <c r="H2113" s="16">
        <f t="shared" ca="1" si="40"/>
        <v>7.5027146959400687E-2</v>
      </c>
    </row>
    <row r="2114" spans="7:8" x14ac:dyDescent="0.35">
      <c r="G2114" s="215">
        <v>2107</v>
      </c>
      <c r="H2114" s="16">
        <f t="shared" ca="1" si="40"/>
        <v>5.9686241018905462E-2</v>
      </c>
    </row>
    <row r="2115" spans="7:8" x14ac:dyDescent="0.35">
      <c r="G2115" s="215">
        <v>2108</v>
      </c>
      <c r="H2115" s="16">
        <f t="shared" ca="1" si="40"/>
        <v>-4.1974346109963159E-3</v>
      </c>
    </row>
    <row r="2116" spans="7:8" x14ac:dyDescent="0.35">
      <c r="G2116" s="215">
        <v>2109</v>
      </c>
      <c r="H2116" s="16">
        <f t="shared" ca="1" si="40"/>
        <v>-3.1086128401670039E-2</v>
      </c>
    </row>
    <row r="2117" spans="7:8" x14ac:dyDescent="0.35">
      <c r="G2117" s="215">
        <v>2110</v>
      </c>
      <c r="H2117" s="16">
        <f t="shared" ca="1" si="40"/>
        <v>4.6732840178971558E-2</v>
      </c>
    </row>
    <row r="2118" spans="7:8" x14ac:dyDescent="0.35">
      <c r="G2118" s="215">
        <v>2111</v>
      </c>
      <c r="H2118" s="16">
        <f t="shared" ca="1" si="40"/>
        <v>-0.13179156601809366</v>
      </c>
    </row>
    <row r="2119" spans="7:8" x14ac:dyDescent="0.35">
      <c r="G2119" s="215">
        <v>2112</v>
      </c>
      <c r="H2119" s="16">
        <f t="shared" ca="1" si="40"/>
        <v>5.228601694653523E-2</v>
      </c>
    </row>
    <row r="2120" spans="7:8" x14ac:dyDescent="0.35">
      <c r="G2120" s="215">
        <v>2113</v>
      </c>
      <c r="H2120" s="16">
        <f t="shared" ref="H2120:H2183" ca="1" si="41">_xlfn.NORM.INV(RAND(),M$10,M$11)</f>
        <v>3.6483031314629877E-2</v>
      </c>
    </row>
    <row r="2121" spans="7:8" x14ac:dyDescent="0.35">
      <c r="G2121" s="215">
        <v>2114</v>
      </c>
      <c r="H2121" s="16">
        <f t="shared" ca="1" si="41"/>
        <v>7.4432754899613443E-2</v>
      </c>
    </row>
    <row r="2122" spans="7:8" x14ac:dyDescent="0.35">
      <c r="G2122" s="215">
        <v>2115</v>
      </c>
      <c r="H2122" s="16">
        <f t="shared" ca="1" si="41"/>
        <v>-5.4943629677642228E-2</v>
      </c>
    </row>
    <row r="2123" spans="7:8" x14ac:dyDescent="0.35">
      <c r="G2123" s="215">
        <v>2116</v>
      </c>
      <c r="H2123" s="16">
        <f t="shared" ca="1" si="41"/>
        <v>-8.1049408835233025E-2</v>
      </c>
    </row>
    <row r="2124" spans="7:8" x14ac:dyDescent="0.35">
      <c r="G2124" s="215">
        <v>2117</v>
      </c>
      <c r="H2124" s="16">
        <f t="shared" ca="1" si="41"/>
        <v>4.9360779043048655E-2</v>
      </c>
    </row>
    <row r="2125" spans="7:8" x14ac:dyDescent="0.35">
      <c r="G2125" s="215">
        <v>2118</v>
      </c>
      <c r="H2125" s="16">
        <f t="shared" ca="1" si="41"/>
        <v>0.10096809342184593</v>
      </c>
    </row>
    <row r="2126" spans="7:8" x14ac:dyDescent="0.35">
      <c r="G2126" s="215">
        <v>2119</v>
      </c>
      <c r="H2126" s="16">
        <f t="shared" ca="1" si="41"/>
        <v>3.7206750855327569E-2</v>
      </c>
    </row>
    <row r="2127" spans="7:8" x14ac:dyDescent="0.35">
      <c r="G2127" s="215">
        <v>2120</v>
      </c>
      <c r="H2127" s="16">
        <f t="shared" ca="1" si="41"/>
        <v>-1.8834955930385925E-2</v>
      </c>
    </row>
    <row r="2128" spans="7:8" x14ac:dyDescent="0.35">
      <c r="G2128" s="215">
        <v>2121</v>
      </c>
      <c r="H2128" s="16">
        <f t="shared" ca="1" si="41"/>
        <v>-7.7281870241934197E-2</v>
      </c>
    </row>
    <row r="2129" spans="7:8" x14ac:dyDescent="0.35">
      <c r="G2129" s="215">
        <v>2122</v>
      </c>
      <c r="H2129" s="16">
        <f t="shared" ca="1" si="41"/>
        <v>1.1895131804993395E-2</v>
      </c>
    </row>
    <row r="2130" spans="7:8" x14ac:dyDescent="0.35">
      <c r="G2130" s="215">
        <v>2123</v>
      </c>
      <c r="H2130" s="16">
        <f t="shared" ca="1" si="41"/>
        <v>6.2291506951639361E-2</v>
      </c>
    </row>
    <row r="2131" spans="7:8" x14ac:dyDescent="0.35">
      <c r="G2131" s="215">
        <v>2124</v>
      </c>
      <c r="H2131" s="16">
        <f t="shared" ca="1" si="41"/>
        <v>-1.9035715888629023E-2</v>
      </c>
    </row>
    <row r="2132" spans="7:8" x14ac:dyDescent="0.35">
      <c r="G2132" s="215">
        <v>2125</v>
      </c>
      <c r="H2132" s="16">
        <f t="shared" ca="1" si="41"/>
        <v>4.516336213689319E-2</v>
      </c>
    </row>
    <row r="2133" spans="7:8" x14ac:dyDescent="0.35">
      <c r="G2133" s="215">
        <v>2126</v>
      </c>
      <c r="H2133" s="16">
        <f t="shared" ca="1" si="41"/>
        <v>-2.4789756685703792E-2</v>
      </c>
    </row>
    <row r="2134" spans="7:8" x14ac:dyDescent="0.35">
      <c r="G2134" s="215">
        <v>2127</v>
      </c>
      <c r="H2134" s="16">
        <f t="shared" ca="1" si="41"/>
        <v>7.4850720903692602E-2</v>
      </c>
    </row>
    <row r="2135" spans="7:8" x14ac:dyDescent="0.35">
      <c r="G2135" s="215">
        <v>2128</v>
      </c>
      <c r="H2135" s="16">
        <f t="shared" ca="1" si="41"/>
        <v>-7.1483211603459634E-2</v>
      </c>
    </row>
    <row r="2136" spans="7:8" x14ac:dyDescent="0.35">
      <c r="G2136" s="215">
        <v>2129</v>
      </c>
      <c r="H2136" s="16">
        <f t="shared" ca="1" si="41"/>
        <v>6.962484489134764E-2</v>
      </c>
    </row>
    <row r="2137" spans="7:8" x14ac:dyDescent="0.35">
      <c r="G2137" s="215">
        <v>2130</v>
      </c>
      <c r="H2137" s="16">
        <f t="shared" ca="1" si="41"/>
        <v>1.7740567407361008E-2</v>
      </c>
    </row>
    <row r="2138" spans="7:8" x14ac:dyDescent="0.35">
      <c r="G2138" s="215">
        <v>2131</v>
      </c>
      <c r="H2138" s="16">
        <f t="shared" ca="1" si="41"/>
        <v>-3.0417019744377657E-2</v>
      </c>
    </row>
    <row r="2139" spans="7:8" x14ac:dyDescent="0.35">
      <c r="G2139" s="215">
        <v>2132</v>
      </c>
      <c r="H2139" s="16">
        <f t="shared" ca="1" si="41"/>
        <v>2.9071028183251576E-3</v>
      </c>
    </row>
    <row r="2140" spans="7:8" x14ac:dyDescent="0.35">
      <c r="G2140" s="215">
        <v>2133</v>
      </c>
      <c r="H2140" s="16">
        <f t="shared" ca="1" si="41"/>
        <v>-2.8420488327939759E-3</v>
      </c>
    </row>
    <row r="2141" spans="7:8" x14ac:dyDescent="0.35">
      <c r="G2141" s="215">
        <v>2134</v>
      </c>
      <c r="H2141" s="16">
        <f t="shared" ca="1" si="41"/>
        <v>-2.1645812727769647E-2</v>
      </c>
    </row>
    <row r="2142" spans="7:8" x14ac:dyDescent="0.35">
      <c r="G2142" s="215">
        <v>2135</v>
      </c>
      <c r="H2142" s="16">
        <f t="shared" ca="1" si="41"/>
        <v>1.3813506309787071E-2</v>
      </c>
    </row>
    <row r="2143" spans="7:8" x14ac:dyDescent="0.35">
      <c r="G2143" s="215">
        <v>2136</v>
      </c>
      <c r="H2143" s="16">
        <f t="shared" ca="1" si="41"/>
        <v>-3.1494567722096231E-2</v>
      </c>
    </row>
    <row r="2144" spans="7:8" x14ac:dyDescent="0.35">
      <c r="G2144" s="215">
        <v>2137</v>
      </c>
      <c r="H2144" s="16">
        <f t="shared" ca="1" si="41"/>
        <v>6.2418103637622901E-2</v>
      </c>
    </row>
    <row r="2145" spans="7:8" x14ac:dyDescent="0.35">
      <c r="G2145" s="215">
        <v>2138</v>
      </c>
      <c r="H2145" s="16">
        <f t="shared" ca="1" si="41"/>
        <v>-4.55735485647112E-2</v>
      </c>
    </row>
    <row r="2146" spans="7:8" x14ac:dyDescent="0.35">
      <c r="G2146" s="215">
        <v>2139</v>
      </c>
      <c r="H2146" s="16">
        <f t="shared" ca="1" si="41"/>
        <v>-5.7982089514622678E-2</v>
      </c>
    </row>
    <row r="2147" spans="7:8" x14ac:dyDescent="0.35">
      <c r="G2147" s="215">
        <v>2140</v>
      </c>
      <c r="H2147" s="16">
        <f t="shared" ca="1" si="41"/>
        <v>-3.9955351920368934E-2</v>
      </c>
    </row>
    <row r="2148" spans="7:8" x14ac:dyDescent="0.35">
      <c r="G2148" s="215">
        <v>2141</v>
      </c>
      <c r="H2148" s="16">
        <f t="shared" ca="1" si="41"/>
        <v>-0.1127693381679814</v>
      </c>
    </row>
    <row r="2149" spans="7:8" x14ac:dyDescent="0.35">
      <c r="G2149" s="215">
        <v>2142</v>
      </c>
      <c r="H2149" s="16">
        <f t="shared" ca="1" si="41"/>
        <v>-9.2494753027058924E-2</v>
      </c>
    </row>
    <row r="2150" spans="7:8" x14ac:dyDescent="0.35">
      <c r="G2150" s="215">
        <v>2143</v>
      </c>
      <c r="H2150" s="16">
        <f t="shared" ca="1" si="41"/>
        <v>2.2469519631106327E-2</v>
      </c>
    </row>
    <row r="2151" spans="7:8" x14ac:dyDescent="0.35">
      <c r="G2151" s="215">
        <v>2144</v>
      </c>
      <c r="H2151" s="16">
        <f t="shared" ca="1" si="41"/>
        <v>1.828101918942425E-2</v>
      </c>
    </row>
    <row r="2152" spans="7:8" x14ac:dyDescent="0.35">
      <c r="G2152" s="215">
        <v>2145</v>
      </c>
      <c r="H2152" s="16">
        <f t="shared" ca="1" si="41"/>
        <v>-3.4075184049033203E-2</v>
      </c>
    </row>
    <row r="2153" spans="7:8" x14ac:dyDescent="0.35">
      <c r="G2153" s="215">
        <v>2146</v>
      </c>
      <c r="H2153" s="16">
        <f t="shared" ca="1" si="41"/>
        <v>1.7408671638531551E-2</v>
      </c>
    </row>
    <row r="2154" spans="7:8" x14ac:dyDescent="0.35">
      <c r="G2154" s="215">
        <v>2147</v>
      </c>
      <c r="H2154" s="16">
        <f t="shared" ca="1" si="41"/>
        <v>-3.7730625093274198E-2</v>
      </c>
    </row>
    <row r="2155" spans="7:8" x14ac:dyDescent="0.35">
      <c r="G2155" s="215">
        <v>2148</v>
      </c>
      <c r="H2155" s="16">
        <f t="shared" ca="1" si="41"/>
        <v>-0.18437767613619396</v>
      </c>
    </row>
    <row r="2156" spans="7:8" x14ac:dyDescent="0.35">
      <c r="G2156" s="215">
        <v>2149</v>
      </c>
      <c r="H2156" s="16">
        <f t="shared" ca="1" si="41"/>
        <v>-1.5343588359785932E-3</v>
      </c>
    </row>
    <row r="2157" spans="7:8" x14ac:dyDescent="0.35">
      <c r="G2157" s="215">
        <v>2150</v>
      </c>
      <c r="H2157" s="16">
        <f t="shared" ca="1" si="41"/>
        <v>5.8493698032937511E-2</v>
      </c>
    </row>
    <row r="2158" spans="7:8" x14ac:dyDescent="0.35">
      <c r="G2158" s="215">
        <v>2151</v>
      </c>
      <c r="H2158" s="16">
        <f t="shared" ca="1" si="41"/>
        <v>0.10985322238375672</v>
      </c>
    </row>
    <row r="2159" spans="7:8" x14ac:dyDescent="0.35">
      <c r="G2159" s="215">
        <v>2152</v>
      </c>
      <c r="H2159" s="16">
        <f t="shared" ca="1" si="41"/>
        <v>-8.8972786768307346E-2</v>
      </c>
    </row>
    <row r="2160" spans="7:8" x14ac:dyDescent="0.35">
      <c r="G2160" s="215">
        <v>2153</v>
      </c>
      <c r="H2160" s="16">
        <f t="shared" ca="1" si="41"/>
        <v>3.6792027296632543E-2</v>
      </c>
    </row>
    <row r="2161" spans="7:8" x14ac:dyDescent="0.35">
      <c r="G2161" s="215">
        <v>2154</v>
      </c>
      <c r="H2161" s="16">
        <f t="shared" ca="1" si="41"/>
        <v>-0.1231662913530894</v>
      </c>
    </row>
    <row r="2162" spans="7:8" x14ac:dyDescent="0.35">
      <c r="G2162" s="215">
        <v>2155</v>
      </c>
      <c r="H2162" s="16">
        <f t="shared" ca="1" si="41"/>
        <v>2.5614859482630682E-2</v>
      </c>
    </row>
    <row r="2163" spans="7:8" x14ac:dyDescent="0.35">
      <c r="G2163" s="215">
        <v>2156</v>
      </c>
      <c r="H2163" s="16">
        <f t="shared" ca="1" si="41"/>
        <v>-4.5664152913341555E-2</v>
      </c>
    </row>
    <row r="2164" spans="7:8" x14ac:dyDescent="0.35">
      <c r="G2164" s="215">
        <v>2157</v>
      </c>
      <c r="H2164" s="16">
        <f t="shared" ca="1" si="41"/>
        <v>-0.11900682963775083</v>
      </c>
    </row>
    <row r="2165" spans="7:8" x14ac:dyDescent="0.35">
      <c r="G2165" s="215">
        <v>2158</v>
      </c>
      <c r="H2165" s="16">
        <f t="shared" ca="1" si="41"/>
        <v>-3.2182863873875353E-2</v>
      </c>
    </row>
    <row r="2166" spans="7:8" x14ac:dyDescent="0.35">
      <c r="G2166" s="215">
        <v>2159</v>
      </c>
      <c r="H2166" s="16">
        <f t="shared" ca="1" si="41"/>
        <v>0.15252463135501618</v>
      </c>
    </row>
    <row r="2167" spans="7:8" x14ac:dyDescent="0.35">
      <c r="G2167" s="215">
        <v>2160</v>
      </c>
      <c r="H2167" s="16">
        <f t="shared" ca="1" si="41"/>
        <v>7.6060531023184039E-2</v>
      </c>
    </row>
    <row r="2168" spans="7:8" x14ac:dyDescent="0.35">
      <c r="G2168" s="215">
        <v>2161</v>
      </c>
      <c r="H2168" s="16">
        <f t="shared" ca="1" si="41"/>
        <v>-4.2342472608282306E-2</v>
      </c>
    </row>
    <row r="2169" spans="7:8" x14ac:dyDescent="0.35">
      <c r="G2169" s="215">
        <v>2162</v>
      </c>
      <c r="H2169" s="16">
        <f t="shared" ca="1" si="41"/>
        <v>6.8558361464299375E-2</v>
      </c>
    </row>
    <row r="2170" spans="7:8" x14ac:dyDescent="0.35">
      <c r="G2170" s="215">
        <v>2163</v>
      </c>
      <c r="H2170" s="16">
        <f t="shared" ca="1" si="41"/>
        <v>-0.11368334420650636</v>
      </c>
    </row>
    <row r="2171" spans="7:8" x14ac:dyDescent="0.35">
      <c r="G2171" s="215">
        <v>2164</v>
      </c>
      <c r="H2171" s="16">
        <f t="shared" ca="1" si="41"/>
        <v>7.1553157520008468E-3</v>
      </c>
    </row>
    <row r="2172" spans="7:8" x14ac:dyDescent="0.35">
      <c r="G2172" s="215">
        <v>2165</v>
      </c>
      <c r="H2172" s="16">
        <f t="shared" ca="1" si="41"/>
        <v>0.13656595769497129</v>
      </c>
    </row>
    <row r="2173" spans="7:8" x14ac:dyDescent="0.35">
      <c r="G2173" s="215">
        <v>2166</v>
      </c>
      <c r="H2173" s="16">
        <f t="shared" ca="1" si="41"/>
        <v>-6.0112650962465958E-2</v>
      </c>
    </row>
    <row r="2174" spans="7:8" x14ac:dyDescent="0.35">
      <c r="G2174" s="215">
        <v>2167</v>
      </c>
      <c r="H2174" s="16">
        <f t="shared" ca="1" si="41"/>
        <v>1.1414970754980533E-2</v>
      </c>
    </row>
    <row r="2175" spans="7:8" x14ac:dyDescent="0.35">
      <c r="G2175" s="215">
        <v>2168</v>
      </c>
      <c r="H2175" s="16">
        <f t="shared" ca="1" si="41"/>
        <v>0.13236172544880462</v>
      </c>
    </row>
    <row r="2176" spans="7:8" x14ac:dyDescent="0.35">
      <c r="G2176" s="215">
        <v>2169</v>
      </c>
      <c r="H2176" s="16">
        <f t="shared" ca="1" si="41"/>
        <v>8.8129828013494213E-2</v>
      </c>
    </row>
    <row r="2177" spans="7:8" x14ac:dyDescent="0.35">
      <c r="G2177" s="215">
        <v>2170</v>
      </c>
      <c r="H2177" s="16">
        <f t="shared" ca="1" si="41"/>
        <v>-8.0643395808326121E-2</v>
      </c>
    </row>
    <row r="2178" spans="7:8" x14ac:dyDescent="0.35">
      <c r="G2178" s="215">
        <v>2171</v>
      </c>
      <c r="H2178" s="16">
        <f t="shared" ca="1" si="41"/>
        <v>-3.410979730708201E-2</v>
      </c>
    </row>
    <row r="2179" spans="7:8" x14ac:dyDescent="0.35">
      <c r="G2179" s="215">
        <v>2172</v>
      </c>
      <c r="H2179" s="16">
        <f t="shared" ca="1" si="41"/>
        <v>0.10744295325303813</v>
      </c>
    </row>
    <row r="2180" spans="7:8" x14ac:dyDescent="0.35">
      <c r="G2180" s="215">
        <v>2173</v>
      </c>
      <c r="H2180" s="16">
        <f t="shared" ca="1" si="41"/>
        <v>4.3889463938880283E-2</v>
      </c>
    </row>
    <row r="2181" spans="7:8" x14ac:dyDescent="0.35">
      <c r="G2181" s="215">
        <v>2174</v>
      </c>
      <c r="H2181" s="16">
        <f t="shared" ca="1" si="41"/>
        <v>-3.8344189081042368E-4</v>
      </c>
    </row>
    <row r="2182" spans="7:8" x14ac:dyDescent="0.35">
      <c r="G2182" s="215">
        <v>2175</v>
      </c>
      <c r="H2182" s="16">
        <f t="shared" ca="1" si="41"/>
        <v>3.8537249164069892E-2</v>
      </c>
    </row>
    <row r="2183" spans="7:8" x14ac:dyDescent="0.35">
      <c r="G2183" s="215">
        <v>2176</v>
      </c>
      <c r="H2183" s="16">
        <f t="shared" ca="1" si="41"/>
        <v>9.5439788875059869E-2</v>
      </c>
    </row>
    <row r="2184" spans="7:8" x14ac:dyDescent="0.35">
      <c r="G2184" s="215">
        <v>2177</v>
      </c>
      <c r="H2184" s="16">
        <f t="shared" ref="H2184:H2247" ca="1" si="42">_xlfn.NORM.INV(RAND(),M$10,M$11)</f>
        <v>1.8462628417366449E-2</v>
      </c>
    </row>
    <row r="2185" spans="7:8" x14ac:dyDescent="0.35">
      <c r="G2185" s="215">
        <v>2178</v>
      </c>
      <c r="H2185" s="16">
        <f t="shared" ca="1" si="42"/>
        <v>-6.8440129342548534E-2</v>
      </c>
    </row>
    <row r="2186" spans="7:8" x14ac:dyDescent="0.35">
      <c r="G2186" s="215">
        <v>2179</v>
      </c>
      <c r="H2186" s="16">
        <f t="shared" ca="1" si="42"/>
        <v>-9.7295724790199184E-2</v>
      </c>
    </row>
    <row r="2187" spans="7:8" x14ac:dyDescent="0.35">
      <c r="G2187" s="215">
        <v>2180</v>
      </c>
      <c r="H2187" s="16">
        <f t="shared" ca="1" si="42"/>
        <v>8.8597146817190553E-2</v>
      </c>
    </row>
    <row r="2188" spans="7:8" x14ac:dyDescent="0.35">
      <c r="G2188" s="215">
        <v>2181</v>
      </c>
      <c r="H2188" s="16">
        <f t="shared" ca="1" si="42"/>
        <v>-3.2252092380950143E-2</v>
      </c>
    </row>
    <row r="2189" spans="7:8" x14ac:dyDescent="0.35">
      <c r="G2189" s="215">
        <v>2182</v>
      </c>
      <c r="H2189" s="16">
        <f t="shared" ca="1" si="42"/>
        <v>-6.8540368947591371E-2</v>
      </c>
    </row>
    <row r="2190" spans="7:8" x14ac:dyDescent="0.35">
      <c r="G2190" s="215">
        <v>2183</v>
      </c>
      <c r="H2190" s="16">
        <f t="shared" ca="1" si="42"/>
        <v>0.11715043487711561</v>
      </c>
    </row>
    <row r="2191" spans="7:8" x14ac:dyDescent="0.35">
      <c r="G2191" s="215">
        <v>2184</v>
      </c>
      <c r="H2191" s="16">
        <f t="shared" ca="1" si="42"/>
        <v>-4.7056161342497599E-3</v>
      </c>
    </row>
    <row r="2192" spans="7:8" x14ac:dyDescent="0.35">
      <c r="G2192" s="215">
        <v>2185</v>
      </c>
      <c r="H2192" s="16">
        <f t="shared" ca="1" si="42"/>
        <v>4.8590838445181472E-2</v>
      </c>
    </row>
    <row r="2193" spans="7:8" x14ac:dyDescent="0.35">
      <c r="G2193" s="215">
        <v>2186</v>
      </c>
      <c r="H2193" s="16">
        <f t="shared" ca="1" si="42"/>
        <v>2.9668068050035298E-3</v>
      </c>
    </row>
    <row r="2194" spans="7:8" x14ac:dyDescent="0.35">
      <c r="G2194" s="215">
        <v>2187</v>
      </c>
      <c r="H2194" s="16">
        <f t="shared" ca="1" si="42"/>
        <v>-6.2694445524576523E-2</v>
      </c>
    </row>
    <row r="2195" spans="7:8" x14ac:dyDescent="0.35">
      <c r="G2195" s="215">
        <v>2188</v>
      </c>
      <c r="H2195" s="16">
        <f t="shared" ca="1" si="42"/>
        <v>3.2191507873018783E-2</v>
      </c>
    </row>
    <row r="2196" spans="7:8" x14ac:dyDescent="0.35">
      <c r="G2196" s="215">
        <v>2189</v>
      </c>
      <c r="H2196" s="16">
        <f t="shared" ca="1" si="42"/>
        <v>0.12771497852073901</v>
      </c>
    </row>
    <row r="2197" spans="7:8" x14ac:dyDescent="0.35">
      <c r="G2197" s="215">
        <v>2190</v>
      </c>
      <c r="H2197" s="16">
        <f t="shared" ca="1" si="42"/>
        <v>-6.6361188527816181E-2</v>
      </c>
    </row>
    <row r="2198" spans="7:8" x14ac:dyDescent="0.35">
      <c r="G2198" s="215">
        <v>2191</v>
      </c>
      <c r="H2198" s="16">
        <f t="shared" ca="1" si="42"/>
        <v>6.2584782539872749E-2</v>
      </c>
    </row>
    <row r="2199" spans="7:8" x14ac:dyDescent="0.35">
      <c r="G2199" s="215">
        <v>2192</v>
      </c>
      <c r="H2199" s="16">
        <f t="shared" ca="1" si="42"/>
        <v>-0.12328969567663714</v>
      </c>
    </row>
    <row r="2200" spans="7:8" x14ac:dyDescent="0.35">
      <c r="G2200" s="215">
        <v>2193</v>
      </c>
      <c r="H2200" s="16">
        <f t="shared" ca="1" si="42"/>
        <v>0.15522471434733529</v>
      </c>
    </row>
    <row r="2201" spans="7:8" x14ac:dyDescent="0.35">
      <c r="G2201" s="215">
        <v>2194</v>
      </c>
      <c r="H2201" s="16">
        <f t="shared" ca="1" si="42"/>
        <v>6.2426020939971585E-2</v>
      </c>
    </row>
    <row r="2202" spans="7:8" x14ac:dyDescent="0.35">
      <c r="G2202" s="215">
        <v>2195</v>
      </c>
      <c r="H2202" s="16">
        <f t="shared" ca="1" si="42"/>
        <v>3.955271547080981E-3</v>
      </c>
    </row>
    <row r="2203" spans="7:8" x14ac:dyDescent="0.35">
      <c r="G2203" s="215">
        <v>2196</v>
      </c>
      <c r="H2203" s="16">
        <f t="shared" ca="1" si="42"/>
        <v>-1.3019901897338065E-2</v>
      </c>
    </row>
    <row r="2204" spans="7:8" x14ac:dyDescent="0.35">
      <c r="G2204" s="215">
        <v>2197</v>
      </c>
      <c r="H2204" s="16">
        <f t="shared" ca="1" si="42"/>
        <v>5.6671964804106426E-2</v>
      </c>
    </row>
    <row r="2205" spans="7:8" x14ac:dyDescent="0.35">
      <c r="G2205" s="215">
        <v>2198</v>
      </c>
      <c r="H2205" s="16">
        <f t="shared" ca="1" si="42"/>
        <v>0.11339524739506028</v>
      </c>
    </row>
    <row r="2206" spans="7:8" x14ac:dyDescent="0.35">
      <c r="G2206" s="215">
        <v>2199</v>
      </c>
      <c r="H2206" s="16">
        <f t="shared" ca="1" si="42"/>
        <v>-4.7289064124350383E-2</v>
      </c>
    </row>
    <row r="2207" spans="7:8" x14ac:dyDescent="0.35">
      <c r="G2207" s="215">
        <v>2200</v>
      </c>
      <c r="H2207" s="16">
        <f t="shared" ca="1" si="42"/>
        <v>2.1772754273502837E-2</v>
      </c>
    </row>
    <row r="2208" spans="7:8" x14ac:dyDescent="0.35">
      <c r="G2208" s="215">
        <v>2201</v>
      </c>
      <c r="H2208" s="16">
        <f t="shared" ca="1" si="42"/>
        <v>2.9335931277782543E-2</v>
      </c>
    </row>
    <row r="2209" spans="7:8" x14ac:dyDescent="0.35">
      <c r="G2209" s="215">
        <v>2202</v>
      </c>
      <c r="H2209" s="16">
        <f t="shared" ca="1" si="42"/>
        <v>5.0900526892603853E-2</v>
      </c>
    </row>
    <row r="2210" spans="7:8" x14ac:dyDescent="0.35">
      <c r="G2210" s="215">
        <v>2203</v>
      </c>
      <c r="H2210" s="16">
        <f t="shared" ca="1" si="42"/>
        <v>-0.17063681786824716</v>
      </c>
    </row>
    <row r="2211" spans="7:8" x14ac:dyDescent="0.35">
      <c r="G2211" s="215">
        <v>2204</v>
      </c>
      <c r="H2211" s="16">
        <f t="shared" ca="1" si="42"/>
        <v>-8.1754428458883338E-2</v>
      </c>
    </row>
    <row r="2212" spans="7:8" x14ac:dyDescent="0.35">
      <c r="G2212" s="215">
        <v>2205</v>
      </c>
      <c r="H2212" s="16">
        <f t="shared" ca="1" si="42"/>
        <v>7.7919082826947664E-2</v>
      </c>
    </row>
    <row r="2213" spans="7:8" x14ac:dyDescent="0.35">
      <c r="G2213" s="215">
        <v>2206</v>
      </c>
      <c r="H2213" s="16">
        <f t="shared" ca="1" si="42"/>
        <v>-3.6067744401711288E-2</v>
      </c>
    </row>
    <row r="2214" spans="7:8" x14ac:dyDescent="0.35">
      <c r="G2214" s="215">
        <v>2207</v>
      </c>
      <c r="H2214" s="16">
        <f t="shared" ca="1" si="42"/>
        <v>1.0375438873684343E-2</v>
      </c>
    </row>
    <row r="2215" spans="7:8" x14ac:dyDescent="0.35">
      <c r="G2215" s="215">
        <v>2208</v>
      </c>
      <c r="H2215" s="16">
        <f t="shared" ca="1" si="42"/>
        <v>-4.510018448711E-3</v>
      </c>
    </row>
    <row r="2216" spans="7:8" x14ac:dyDescent="0.35">
      <c r="G2216" s="215">
        <v>2209</v>
      </c>
      <c r="H2216" s="16">
        <f t="shared" ca="1" si="42"/>
        <v>-8.492267898068985E-2</v>
      </c>
    </row>
    <row r="2217" spans="7:8" x14ac:dyDescent="0.35">
      <c r="G2217" s="215">
        <v>2210</v>
      </c>
      <c r="H2217" s="16">
        <f t="shared" ca="1" si="42"/>
        <v>-0.15734044677705009</v>
      </c>
    </row>
    <row r="2218" spans="7:8" x14ac:dyDescent="0.35">
      <c r="G2218" s="215">
        <v>2211</v>
      </c>
      <c r="H2218" s="16">
        <f t="shared" ca="1" si="42"/>
        <v>1.7045138043575301E-2</v>
      </c>
    </row>
    <row r="2219" spans="7:8" x14ac:dyDescent="0.35">
      <c r="G2219" s="215">
        <v>2212</v>
      </c>
      <c r="H2219" s="16">
        <f t="shared" ca="1" si="42"/>
        <v>7.7424937924924584E-3</v>
      </c>
    </row>
    <row r="2220" spans="7:8" x14ac:dyDescent="0.35">
      <c r="G2220" s="215">
        <v>2213</v>
      </c>
      <c r="H2220" s="16">
        <f t="shared" ca="1" si="42"/>
        <v>2.4942834974070755E-3</v>
      </c>
    </row>
    <row r="2221" spans="7:8" x14ac:dyDescent="0.35">
      <c r="G2221" s="215">
        <v>2214</v>
      </c>
      <c r="H2221" s="16">
        <f t="shared" ca="1" si="42"/>
        <v>4.4492351190854124E-2</v>
      </c>
    </row>
    <row r="2222" spans="7:8" x14ac:dyDescent="0.35">
      <c r="G2222" s="215">
        <v>2215</v>
      </c>
      <c r="H2222" s="16">
        <f t="shared" ca="1" si="42"/>
        <v>-0.10173732001254902</v>
      </c>
    </row>
    <row r="2223" spans="7:8" x14ac:dyDescent="0.35">
      <c r="G2223" s="215">
        <v>2216</v>
      </c>
      <c r="H2223" s="16">
        <f t="shared" ca="1" si="42"/>
        <v>0.13955590278782382</v>
      </c>
    </row>
    <row r="2224" spans="7:8" x14ac:dyDescent="0.35">
      <c r="G2224" s="215">
        <v>2217</v>
      </c>
      <c r="H2224" s="16">
        <f t="shared" ca="1" si="42"/>
        <v>-0.12146293153234847</v>
      </c>
    </row>
    <row r="2225" spans="7:8" x14ac:dyDescent="0.35">
      <c r="G2225" s="215">
        <v>2218</v>
      </c>
      <c r="H2225" s="16">
        <f t="shared" ca="1" si="42"/>
        <v>5.2794820620640115E-2</v>
      </c>
    </row>
    <row r="2226" spans="7:8" x14ac:dyDescent="0.35">
      <c r="G2226" s="215">
        <v>2219</v>
      </c>
      <c r="H2226" s="16">
        <f t="shared" ca="1" si="42"/>
        <v>1.0465012567802247E-2</v>
      </c>
    </row>
    <row r="2227" spans="7:8" x14ac:dyDescent="0.35">
      <c r="G2227" s="215">
        <v>2220</v>
      </c>
      <c r="H2227" s="16">
        <f t="shared" ca="1" si="42"/>
        <v>-2.7172313844747751E-2</v>
      </c>
    </row>
    <row r="2228" spans="7:8" x14ac:dyDescent="0.35">
      <c r="G2228" s="215">
        <v>2221</v>
      </c>
      <c r="H2228" s="16">
        <f t="shared" ca="1" si="42"/>
        <v>9.1730918145560239E-2</v>
      </c>
    </row>
    <row r="2229" spans="7:8" x14ac:dyDescent="0.35">
      <c r="G2229" s="215">
        <v>2222</v>
      </c>
      <c r="H2229" s="16">
        <f t="shared" ca="1" si="42"/>
        <v>5.6115197577994488E-3</v>
      </c>
    </row>
    <row r="2230" spans="7:8" x14ac:dyDescent="0.35">
      <c r="G2230" s="215">
        <v>2223</v>
      </c>
      <c r="H2230" s="16">
        <f t="shared" ca="1" si="42"/>
        <v>-6.8110666054042417E-3</v>
      </c>
    </row>
    <row r="2231" spans="7:8" x14ac:dyDescent="0.35">
      <c r="G2231" s="215">
        <v>2224</v>
      </c>
      <c r="H2231" s="16">
        <f t="shared" ca="1" si="42"/>
        <v>3.7747129850272385E-2</v>
      </c>
    </row>
    <row r="2232" spans="7:8" x14ac:dyDescent="0.35">
      <c r="G2232" s="215">
        <v>2225</v>
      </c>
      <c r="H2232" s="16">
        <f t="shared" ca="1" si="42"/>
        <v>-1.9980512450737498E-2</v>
      </c>
    </row>
    <row r="2233" spans="7:8" x14ac:dyDescent="0.35">
      <c r="G2233" s="215">
        <v>2226</v>
      </c>
      <c r="H2233" s="16">
        <f t="shared" ca="1" si="42"/>
        <v>2.0036690999925662E-2</v>
      </c>
    </row>
    <row r="2234" spans="7:8" x14ac:dyDescent="0.35">
      <c r="G2234" s="215">
        <v>2227</v>
      </c>
      <c r="H2234" s="16">
        <f t="shared" ca="1" si="42"/>
        <v>-0.17195444192203455</v>
      </c>
    </row>
    <row r="2235" spans="7:8" x14ac:dyDescent="0.35">
      <c r="G2235" s="215">
        <v>2228</v>
      </c>
      <c r="H2235" s="16">
        <f t="shared" ca="1" si="42"/>
        <v>-7.832378986247239E-2</v>
      </c>
    </row>
    <row r="2236" spans="7:8" x14ac:dyDescent="0.35">
      <c r="G2236" s="215">
        <v>2229</v>
      </c>
      <c r="H2236" s="16">
        <f t="shared" ca="1" si="42"/>
        <v>0.15861659534153119</v>
      </c>
    </row>
    <row r="2237" spans="7:8" x14ac:dyDescent="0.35">
      <c r="G2237" s="215">
        <v>2230</v>
      </c>
      <c r="H2237" s="16">
        <f t="shared" ca="1" si="42"/>
        <v>-1.2863950163693998E-2</v>
      </c>
    </row>
    <row r="2238" spans="7:8" x14ac:dyDescent="0.35">
      <c r="G2238" s="215">
        <v>2231</v>
      </c>
      <c r="H2238" s="16">
        <f t="shared" ca="1" si="42"/>
        <v>-6.3640800967283057E-2</v>
      </c>
    </row>
    <row r="2239" spans="7:8" x14ac:dyDescent="0.35">
      <c r="G2239" s="215">
        <v>2232</v>
      </c>
      <c r="H2239" s="16">
        <f t="shared" ca="1" si="42"/>
        <v>4.8835950972394779E-2</v>
      </c>
    </row>
    <row r="2240" spans="7:8" x14ac:dyDescent="0.35">
      <c r="G2240" s="215">
        <v>2233</v>
      </c>
      <c r="H2240" s="16">
        <f t="shared" ca="1" si="42"/>
        <v>9.5764413641672725E-3</v>
      </c>
    </row>
    <row r="2241" spans="7:8" x14ac:dyDescent="0.35">
      <c r="G2241" s="215">
        <v>2234</v>
      </c>
      <c r="H2241" s="16">
        <f t="shared" ca="1" si="42"/>
        <v>-2.7609412009479441E-2</v>
      </c>
    </row>
    <row r="2242" spans="7:8" x14ac:dyDescent="0.35">
      <c r="G2242" s="215">
        <v>2235</v>
      </c>
      <c r="H2242" s="16">
        <f t="shared" ca="1" si="42"/>
        <v>-3.5729822501137362E-2</v>
      </c>
    </row>
    <row r="2243" spans="7:8" x14ac:dyDescent="0.35">
      <c r="G2243" s="215">
        <v>2236</v>
      </c>
      <c r="H2243" s="16">
        <f t="shared" ca="1" si="42"/>
        <v>-7.6868670054593538E-2</v>
      </c>
    </row>
    <row r="2244" spans="7:8" x14ac:dyDescent="0.35">
      <c r="G2244" s="215">
        <v>2237</v>
      </c>
      <c r="H2244" s="16">
        <f t="shared" ca="1" si="42"/>
        <v>-4.5107403030271623E-2</v>
      </c>
    </row>
    <row r="2245" spans="7:8" x14ac:dyDescent="0.35">
      <c r="G2245" s="215">
        <v>2238</v>
      </c>
      <c r="H2245" s="16">
        <f t="shared" ca="1" si="42"/>
        <v>-3.5750021265008286E-2</v>
      </c>
    </row>
    <row r="2246" spans="7:8" x14ac:dyDescent="0.35">
      <c r="G2246" s="215">
        <v>2239</v>
      </c>
      <c r="H2246" s="16">
        <f t="shared" ca="1" si="42"/>
        <v>-6.5549629215477211E-3</v>
      </c>
    </row>
    <row r="2247" spans="7:8" x14ac:dyDescent="0.35">
      <c r="G2247" s="215">
        <v>2240</v>
      </c>
      <c r="H2247" s="16">
        <f t="shared" ca="1" si="42"/>
        <v>2.7434320977330083E-2</v>
      </c>
    </row>
    <row r="2248" spans="7:8" x14ac:dyDescent="0.35">
      <c r="G2248" s="215">
        <v>2241</v>
      </c>
      <c r="H2248" s="16">
        <f t="shared" ref="H2248:H2311" ca="1" si="43">_xlfn.NORM.INV(RAND(),M$10,M$11)</f>
        <v>2.7998909744489139E-2</v>
      </c>
    </row>
    <row r="2249" spans="7:8" x14ac:dyDescent="0.35">
      <c r="G2249" s="215">
        <v>2242</v>
      </c>
      <c r="H2249" s="16">
        <f t="shared" ca="1" si="43"/>
        <v>1.283671989645619E-2</v>
      </c>
    </row>
    <row r="2250" spans="7:8" x14ac:dyDescent="0.35">
      <c r="G2250" s="215">
        <v>2243</v>
      </c>
      <c r="H2250" s="16">
        <f t="shared" ca="1" si="43"/>
        <v>-2.573847454058412E-2</v>
      </c>
    </row>
    <row r="2251" spans="7:8" x14ac:dyDescent="0.35">
      <c r="G2251" s="215">
        <v>2244</v>
      </c>
      <c r="H2251" s="16">
        <f t="shared" ca="1" si="43"/>
        <v>-3.5038495460636698E-3</v>
      </c>
    </row>
    <row r="2252" spans="7:8" x14ac:dyDescent="0.35">
      <c r="G2252" s="215">
        <v>2245</v>
      </c>
      <c r="H2252" s="16">
        <f t="shared" ca="1" si="43"/>
        <v>-2.3194642443609716E-2</v>
      </c>
    </row>
    <row r="2253" spans="7:8" x14ac:dyDescent="0.35">
      <c r="G2253" s="215">
        <v>2246</v>
      </c>
      <c r="H2253" s="16">
        <f t="shared" ca="1" si="43"/>
        <v>-6.0436979699195648E-2</v>
      </c>
    </row>
    <row r="2254" spans="7:8" x14ac:dyDescent="0.35">
      <c r="G2254" s="215">
        <v>2247</v>
      </c>
      <c r="H2254" s="16">
        <f t="shared" ca="1" si="43"/>
        <v>1.0664512391620454E-2</v>
      </c>
    </row>
    <row r="2255" spans="7:8" x14ac:dyDescent="0.35">
      <c r="G2255" s="215">
        <v>2248</v>
      </c>
      <c r="H2255" s="16">
        <f t="shared" ca="1" si="43"/>
        <v>6.929256272462711E-2</v>
      </c>
    </row>
    <row r="2256" spans="7:8" x14ac:dyDescent="0.35">
      <c r="G2256" s="215">
        <v>2249</v>
      </c>
      <c r="H2256" s="16">
        <f t="shared" ca="1" si="43"/>
        <v>7.5762124018513163E-2</v>
      </c>
    </row>
    <row r="2257" spans="7:8" x14ac:dyDescent="0.35">
      <c r="G2257" s="215">
        <v>2250</v>
      </c>
      <c r="H2257" s="16">
        <f t="shared" ca="1" si="43"/>
        <v>0.13135155409751592</v>
      </c>
    </row>
    <row r="2258" spans="7:8" x14ac:dyDescent="0.35">
      <c r="G2258" s="215">
        <v>2251</v>
      </c>
      <c r="H2258" s="16">
        <f t="shared" ca="1" si="43"/>
        <v>-6.9705312379915993E-2</v>
      </c>
    </row>
    <row r="2259" spans="7:8" x14ac:dyDescent="0.35">
      <c r="G2259" s="215">
        <v>2252</v>
      </c>
      <c r="H2259" s="16">
        <f t="shared" ca="1" si="43"/>
        <v>2.3443183979660553E-2</v>
      </c>
    </row>
    <row r="2260" spans="7:8" x14ac:dyDescent="0.35">
      <c r="G2260" s="215">
        <v>2253</v>
      </c>
      <c r="H2260" s="16">
        <f t="shared" ca="1" si="43"/>
        <v>-1.1351212867119043E-2</v>
      </c>
    </row>
    <row r="2261" spans="7:8" x14ac:dyDescent="0.35">
      <c r="G2261" s="215">
        <v>2254</v>
      </c>
      <c r="H2261" s="16">
        <f t="shared" ca="1" si="43"/>
        <v>-8.0734860095031183E-2</v>
      </c>
    </row>
    <row r="2262" spans="7:8" x14ac:dyDescent="0.35">
      <c r="G2262" s="215">
        <v>2255</v>
      </c>
      <c r="H2262" s="16">
        <f t="shared" ca="1" si="43"/>
        <v>-1.2249183268466884E-2</v>
      </c>
    </row>
    <row r="2263" spans="7:8" x14ac:dyDescent="0.35">
      <c r="G2263" s="215">
        <v>2256</v>
      </c>
      <c r="H2263" s="16">
        <f t="shared" ca="1" si="43"/>
        <v>-2.6576593509699323E-2</v>
      </c>
    </row>
    <row r="2264" spans="7:8" x14ac:dyDescent="0.35">
      <c r="G2264" s="215">
        <v>2257</v>
      </c>
      <c r="H2264" s="16">
        <f t="shared" ca="1" si="43"/>
        <v>0.10990838125444062</v>
      </c>
    </row>
    <row r="2265" spans="7:8" x14ac:dyDescent="0.35">
      <c r="G2265" s="215">
        <v>2258</v>
      </c>
      <c r="H2265" s="16">
        <f t="shared" ca="1" si="43"/>
        <v>8.8625021243605398E-2</v>
      </c>
    </row>
    <row r="2266" spans="7:8" x14ac:dyDescent="0.35">
      <c r="G2266" s="215">
        <v>2259</v>
      </c>
      <c r="H2266" s="16">
        <f t="shared" ca="1" si="43"/>
        <v>0.13465689445318077</v>
      </c>
    </row>
    <row r="2267" spans="7:8" x14ac:dyDescent="0.35">
      <c r="G2267" s="215">
        <v>2260</v>
      </c>
      <c r="H2267" s="16">
        <f t="shared" ca="1" si="43"/>
        <v>0.10608513136801467</v>
      </c>
    </row>
    <row r="2268" spans="7:8" x14ac:dyDescent="0.35">
      <c r="G2268" s="215">
        <v>2261</v>
      </c>
      <c r="H2268" s="16">
        <f t="shared" ca="1" si="43"/>
        <v>4.5156264060355195E-4</v>
      </c>
    </row>
    <row r="2269" spans="7:8" x14ac:dyDescent="0.35">
      <c r="G2269" s="215">
        <v>2262</v>
      </c>
      <c r="H2269" s="16">
        <f t="shared" ca="1" si="43"/>
        <v>1.4076549818343035E-2</v>
      </c>
    </row>
    <row r="2270" spans="7:8" x14ac:dyDescent="0.35">
      <c r="G2270" s="215">
        <v>2263</v>
      </c>
      <c r="H2270" s="16">
        <f t="shared" ca="1" si="43"/>
        <v>7.1379360832420732E-2</v>
      </c>
    </row>
    <row r="2271" spans="7:8" x14ac:dyDescent="0.35">
      <c r="G2271" s="215">
        <v>2264</v>
      </c>
      <c r="H2271" s="16">
        <f t="shared" ca="1" si="43"/>
        <v>8.2146542115320451E-2</v>
      </c>
    </row>
    <row r="2272" spans="7:8" x14ac:dyDescent="0.35">
      <c r="G2272" s="215">
        <v>2265</v>
      </c>
      <c r="H2272" s="16">
        <f t="shared" ca="1" si="43"/>
        <v>-1.8693246814562983E-2</v>
      </c>
    </row>
    <row r="2273" spans="7:8" x14ac:dyDescent="0.35">
      <c r="G2273" s="215">
        <v>2266</v>
      </c>
      <c r="H2273" s="16">
        <f t="shared" ca="1" si="43"/>
        <v>-4.4849713863313059E-2</v>
      </c>
    </row>
    <row r="2274" spans="7:8" x14ac:dyDescent="0.35">
      <c r="G2274" s="215">
        <v>2267</v>
      </c>
      <c r="H2274" s="16">
        <f t="shared" ca="1" si="43"/>
        <v>6.1760704861656024E-2</v>
      </c>
    </row>
    <row r="2275" spans="7:8" x14ac:dyDescent="0.35">
      <c r="G2275" s="215">
        <v>2268</v>
      </c>
      <c r="H2275" s="16">
        <f t="shared" ca="1" si="43"/>
        <v>-3.9775284259999238E-2</v>
      </c>
    </row>
    <row r="2276" spans="7:8" x14ac:dyDescent="0.35">
      <c r="G2276" s="215">
        <v>2269</v>
      </c>
      <c r="H2276" s="16">
        <f t="shared" ca="1" si="43"/>
        <v>0.10034661994158976</v>
      </c>
    </row>
    <row r="2277" spans="7:8" x14ac:dyDescent="0.35">
      <c r="G2277" s="215">
        <v>2270</v>
      </c>
      <c r="H2277" s="16">
        <f t="shared" ca="1" si="43"/>
        <v>4.2194361437195516E-2</v>
      </c>
    </row>
    <row r="2278" spans="7:8" x14ac:dyDescent="0.35">
      <c r="G2278" s="215">
        <v>2271</v>
      </c>
      <c r="H2278" s="16">
        <f t="shared" ca="1" si="43"/>
        <v>2.7004286044711143E-2</v>
      </c>
    </row>
    <row r="2279" spans="7:8" x14ac:dyDescent="0.35">
      <c r="G2279" s="215">
        <v>2272</v>
      </c>
      <c r="H2279" s="16">
        <f t="shared" ca="1" si="43"/>
        <v>7.3789455206802398E-2</v>
      </c>
    </row>
    <row r="2280" spans="7:8" x14ac:dyDescent="0.35">
      <c r="G2280" s="215">
        <v>2273</v>
      </c>
      <c r="H2280" s="16">
        <f t="shared" ca="1" si="43"/>
        <v>-7.6455162681270089E-2</v>
      </c>
    </row>
    <row r="2281" spans="7:8" x14ac:dyDescent="0.35">
      <c r="G2281" s="215">
        <v>2274</v>
      </c>
      <c r="H2281" s="16">
        <f t="shared" ca="1" si="43"/>
        <v>3.7123321133907643E-3</v>
      </c>
    </row>
    <row r="2282" spans="7:8" x14ac:dyDescent="0.35">
      <c r="G2282" s="215">
        <v>2275</v>
      </c>
      <c r="H2282" s="16">
        <f t="shared" ca="1" si="43"/>
        <v>0.15132386500768469</v>
      </c>
    </row>
    <row r="2283" spans="7:8" x14ac:dyDescent="0.35">
      <c r="G2283" s="215">
        <v>2276</v>
      </c>
      <c r="H2283" s="16">
        <f t="shared" ca="1" si="43"/>
        <v>3.2693798260743187E-2</v>
      </c>
    </row>
    <row r="2284" spans="7:8" x14ac:dyDescent="0.35">
      <c r="G2284" s="215">
        <v>2277</v>
      </c>
      <c r="H2284" s="16">
        <f t="shared" ca="1" si="43"/>
        <v>-5.2696900529273172E-2</v>
      </c>
    </row>
    <row r="2285" spans="7:8" x14ac:dyDescent="0.35">
      <c r="G2285" s="215">
        <v>2278</v>
      </c>
      <c r="H2285" s="16">
        <f t="shared" ca="1" si="43"/>
        <v>3.3175244269545115E-2</v>
      </c>
    </row>
    <row r="2286" spans="7:8" x14ac:dyDescent="0.35">
      <c r="G2286" s="215">
        <v>2279</v>
      </c>
      <c r="H2286" s="16">
        <f t="shared" ca="1" si="43"/>
        <v>1.9708893941837904E-2</v>
      </c>
    </row>
    <row r="2287" spans="7:8" x14ac:dyDescent="0.35">
      <c r="G2287" s="215">
        <v>2280</v>
      </c>
      <c r="H2287" s="16">
        <f t="shared" ca="1" si="43"/>
        <v>-0.13780360597497668</v>
      </c>
    </row>
    <row r="2288" spans="7:8" x14ac:dyDescent="0.35">
      <c r="G2288" s="215">
        <v>2281</v>
      </c>
      <c r="H2288" s="16">
        <f t="shared" ca="1" si="43"/>
        <v>-1.7364027454238786E-3</v>
      </c>
    </row>
    <row r="2289" spans="7:8" x14ac:dyDescent="0.35">
      <c r="G2289" s="215">
        <v>2282</v>
      </c>
      <c r="H2289" s="16">
        <f t="shared" ca="1" si="43"/>
        <v>4.8851343046808327E-2</v>
      </c>
    </row>
    <row r="2290" spans="7:8" x14ac:dyDescent="0.35">
      <c r="G2290" s="215">
        <v>2283</v>
      </c>
      <c r="H2290" s="16">
        <f t="shared" ca="1" si="43"/>
        <v>5.4247735896391661E-2</v>
      </c>
    </row>
    <row r="2291" spans="7:8" x14ac:dyDescent="0.35">
      <c r="G2291" s="215">
        <v>2284</v>
      </c>
      <c r="H2291" s="16">
        <f t="shared" ca="1" si="43"/>
        <v>-4.6740577414519605E-2</v>
      </c>
    </row>
    <row r="2292" spans="7:8" x14ac:dyDescent="0.35">
      <c r="G2292" s="215">
        <v>2285</v>
      </c>
      <c r="H2292" s="16">
        <f t="shared" ca="1" si="43"/>
        <v>1.1326180841317611E-2</v>
      </c>
    </row>
    <row r="2293" spans="7:8" x14ac:dyDescent="0.35">
      <c r="G2293" s="215">
        <v>2286</v>
      </c>
      <c r="H2293" s="16">
        <f t="shared" ca="1" si="43"/>
        <v>9.7719549300127884E-2</v>
      </c>
    </row>
    <row r="2294" spans="7:8" x14ac:dyDescent="0.35">
      <c r="G2294" s="215">
        <v>2287</v>
      </c>
      <c r="H2294" s="16">
        <f t="shared" ca="1" si="43"/>
        <v>-1.8270616461645448E-2</v>
      </c>
    </row>
    <row r="2295" spans="7:8" x14ac:dyDescent="0.35">
      <c r="G2295" s="215">
        <v>2288</v>
      </c>
      <c r="H2295" s="16">
        <f t="shared" ca="1" si="43"/>
        <v>4.84627549412327E-2</v>
      </c>
    </row>
    <row r="2296" spans="7:8" x14ac:dyDescent="0.35">
      <c r="G2296" s="215">
        <v>2289</v>
      </c>
      <c r="H2296" s="16">
        <f t="shared" ca="1" si="43"/>
        <v>-7.6110716548207308E-2</v>
      </c>
    </row>
    <row r="2297" spans="7:8" x14ac:dyDescent="0.35">
      <c r="G2297" s="215">
        <v>2290</v>
      </c>
      <c r="H2297" s="16">
        <f t="shared" ca="1" si="43"/>
        <v>5.543148604999279E-2</v>
      </c>
    </row>
    <row r="2298" spans="7:8" x14ac:dyDescent="0.35">
      <c r="G2298" s="215">
        <v>2291</v>
      </c>
      <c r="H2298" s="16">
        <f t="shared" ca="1" si="43"/>
        <v>-8.7046328775185727E-2</v>
      </c>
    </row>
    <row r="2299" spans="7:8" x14ac:dyDescent="0.35">
      <c r="G2299" s="215">
        <v>2292</v>
      </c>
      <c r="H2299" s="16">
        <f t="shared" ca="1" si="43"/>
        <v>-6.2068736454014103E-2</v>
      </c>
    </row>
    <row r="2300" spans="7:8" x14ac:dyDescent="0.35">
      <c r="G2300" s="215">
        <v>2293</v>
      </c>
      <c r="H2300" s="16">
        <f t="shared" ca="1" si="43"/>
        <v>3.0672118490020422E-2</v>
      </c>
    </row>
    <row r="2301" spans="7:8" x14ac:dyDescent="0.35">
      <c r="G2301" s="215">
        <v>2294</v>
      </c>
      <c r="H2301" s="16">
        <f t="shared" ca="1" si="43"/>
        <v>-0.10093260119782431</v>
      </c>
    </row>
    <row r="2302" spans="7:8" x14ac:dyDescent="0.35">
      <c r="G2302" s="215">
        <v>2295</v>
      </c>
      <c r="H2302" s="16">
        <f t="shared" ca="1" si="43"/>
        <v>-1.4008423770473014E-2</v>
      </c>
    </row>
    <row r="2303" spans="7:8" x14ac:dyDescent="0.35">
      <c r="G2303" s="215">
        <v>2296</v>
      </c>
      <c r="H2303" s="16">
        <f t="shared" ca="1" si="43"/>
        <v>-2.5200799119137158E-2</v>
      </c>
    </row>
    <row r="2304" spans="7:8" x14ac:dyDescent="0.35">
      <c r="G2304" s="215">
        <v>2297</v>
      </c>
      <c r="H2304" s="16">
        <f t="shared" ca="1" si="43"/>
        <v>-1.891593078966507E-2</v>
      </c>
    </row>
    <row r="2305" spans="7:8" x14ac:dyDescent="0.35">
      <c r="G2305" s="215">
        <v>2298</v>
      </c>
      <c r="H2305" s="16">
        <f t="shared" ca="1" si="43"/>
        <v>-7.1795887028758693E-2</v>
      </c>
    </row>
    <row r="2306" spans="7:8" x14ac:dyDescent="0.35">
      <c r="G2306" s="215">
        <v>2299</v>
      </c>
      <c r="H2306" s="16">
        <f t="shared" ca="1" si="43"/>
        <v>1.0329035640147515E-2</v>
      </c>
    </row>
    <row r="2307" spans="7:8" x14ac:dyDescent="0.35">
      <c r="G2307" s="215">
        <v>2300</v>
      </c>
      <c r="H2307" s="16">
        <f t="shared" ca="1" si="43"/>
        <v>1.2550526852920459E-2</v>
      </c>
    </row>
    <row r="2308" spans="7:8" x14ac:dyDescent="0.35">
      <c r="G2308" s="215">
        <v>2301</v>
      </c>
      <c r="H2308" s="16">
        <f t="shared" ca="1" si="43"/>
        <v>6.8141081307143123E-2</v>
      </c>
    </row>
    <row r="2309" spans="7:8" x14ac:dyDescent="0.35">
      <c r="G2309" s="215">
        <v>2302</v>
      </c>
      <c r="H2309" s="16">
        <f t="shared" ca="1" si="43"/>
        <v>8.6745615160231604E-2</v>
      </c>
    </row>
    <row r="2310" spans="7:8" x14ac:dyDescent="0.35">
      <c r="G2310" s="215">
        <v>2303</v>
      </c>
      <c r="H2310" s="16">
        <f t="shared" ca="1" si="43"/>
        <v>-9.3660713950314223E-2</v>
      </c>
    </row>
    <row r="2311" spans="7:8" x14ac:dyDescent="0.35">
      <c r="G2311" s="215">
        <v>2304</v>
      </c>
      <c r="H2311" s="16">
        <f t="shared" ca="1" si="43"/>
        <v>-4.3581257694376249E-2</v>
      </c>
    </row>
    <row r="2312" spans="7:8" x14ac:dyDescent="0.35">
      <c r="G2312" s="215">
        <v>2305</v>
      </c>
      <c r="H2312" s="16">
        <f t="shared" ref="H2312:H2375" ca="1" si="44">_xlfn.NORM.INV(RAND(),M$10,M$11)</f>
        <v>-0.130806240995196</v>
      </c>
    </row>
    <row r="2313" spans="7:8" x14ac:dyDescent="0.35">
      <c r="G2313" s="215">
        <v>2306</v>
      </c>
      <c r="H2313" s="16">
        <f t="shared" ca="1" si="44"/>
        <v>-0.1046668953107759</v>
      </c>
    </row>
    <row r="2314" spans="7:8" x14ac:dyDescent="0.35">
      <c r="G2314" s="215">
        <v>2307</v>
      </c>
      <c r="H2314" s="16">
        <f t="shared" ca="1" si="44"/>
        <v>-4.1843624893933992E-2</v>
      </c>
    </row>
    <row r="2315" spans="7:8" x14ac:dyDescent="0.35">
      <c r="G2315" s="215">
        <v>2308</v>
      </c>
      <c r="H2315" s="16">
        <f t="shared" ca="1" si="44"/>
        <v>0.16084989198120803</v>
      </c>
    </row>
    <row r="2316" spans="7:8" x14ac:dyDescent="0.35">
      <c r="G2316" s="215">
        <v>2309</v>
      </c>
      <c r="H2316" s="16">
        <f t="shared" ca="1" si="44"/>
        <v>3.3951810343117776E-2</v>
      </c>
    </row>
    <row r="2317" spans="7:8" x14ac:dyDescent="0.35">
      <c r="G2317" s="215">
        <v>2310</v>
      </c>
      <c r="H2317" s="16">
        <f t="shared" ca="1" si="44"/>
        <v>-6.3294670683636083E-3</v>
      </c>
    </row>
    <row r="2318" spans="7:8" x14ac:dyDescent="0.35">
      <c r="G2318" s="215">
        <v>2311</v>
      </c>
      <c r="H2318" s="16">
        <f t="shared" ca="1" si="44"/>
        <v>-9.0468153980514769E-3</v>
      </c>
    </row>
    <row r="2319" spans="7:8" x14ac:dyDescent="0.35">
      <c r="G2319" s="215">
        <v>2312</v>
      </c>
      <c r="H2319" s="16">
        <f t="shared" ca="1" si="44"/>
        <v>-1.2212024553065255E-2</v>
      </c>
    </row>
    <row r="2320" spans="7:8" x14ac:dyDescent="0.35">
      <c r="G2320" s="215">
        <v>2313</v>
      </c>
      <c r="H2320" s="16">
        <f t="shared" ca="1" si="44"/>
        <v>-2.3845671656422016E-2</v>
      </c>
    </row>
    <row r="2321" spans="7:8" x14ac:dyDescent="0.35">
      <c r="G2321" s="215">
        <v>2314</v>
      </c>
      <c r="H2321" s="16">
        <f t="shared" ca="1" si="44"/>
        <v>-2.6976253510743616E-2</v>
      </c>
    </row>
    <row r="2322" spans="7:8" x14ac:dyDescent="0.35">
      <c r="G2322" s="215">
        <v>2315</v>
      </c>
      <c r="H2322" s="16">
        <f t="shared" ca="1" si="44"/>
        <v>-1.2013686692358253E-2</v>
      </c>
    </row>
    <row r="2323" spans="7:8" x14ac:dyDescent="0.35">
      <c r="G2323" s="215">
        <v>2316</v>
      </c>
      <c r="H2323" s="16">
        <f t="shared" ca="1" si="44"/>
        <v>4.0280430000041945E-2</v>
      </c>
    </row>
    <row r="2324" spans="7:8" x14ac:dyDescent="0.35">
      <c r="G2324" s="215">
        <v>2317</v>
      </c>
      <c r="H2324" s="16">
        <f t="shared" ca="1" si="44"/>
        <v>7.0935137691477579E-2</v>
      </c>
    </row>
    <row r="2325" spans="7:8" x14ac:dyDescent="0.35">
      <c r="G2325" s="215">
        <v>2318</v>
      </c>
      <c r="H2325" s="16">
        <f t="shared" ca="1" si="44"/>
        <v>-0.13995257673900668</v>
      </c>
    </row>
    <row r="2326" spans="7:8" x14ac:dyDescent="0.35">
      <c r="G2326" s="215">
        <v>2319</v>
      </c>
      <c r="H2326" s="16">
        <f t="shared" ca="1" si="44"/>
        <v>0.19166911577778603</v>
      </c>
    </row>
    <row r="2327" spans="7:8" x14ac:dyDescent="0.35">
      <c r="G2327" s="215">
        <v>2320</v>
      </c>
      <c r="H2327" s="16">
        <f t="shared" ca="1" si="44"/>
        <v>0.12687495719002895</v>
      </c>
    </row>
    <row r="2328" spans="7:8" x14ac:dyDescent="0.35">
      <c r="G2328" s="215">
        <v>2321</v>
      </c>
      <c r="H2328" s="16">
        <f t="shared" ca="1" si="44"/>
        <v>-5.4071211347312159E-2</v>
      </c>
    </row>
    <row r="2329" spans="7:8" x14ac:dyDescent="0.35">
      <c r="G2329" s="215">
        <v>2322</v>
      </c>
      <c r="H2329" s="16">
        <f t="shared" ca="1" si="44"/>
        <v>9.4142786886970364E-2</v>
      </c>
    </row>
    <row r="2330" spans="7:8" x14ac:dyDescent="0.35">
      <c r="G2330" s="215">
        <v>2323</v>
      </c>
      <c r="H2330" s="16">
        <f t="shared" ca="1" si="44"/>
        <v>-9.5678066464253114E-2</v>
      </c>
    </row>
    <row r="2331" spans="7:8" x14ac:dyDescent="0.35">
      <c r="G2331" s="215">
        <v>2324</v>
      </c>
      <c r="H2331" s="16">
        <f t="shared" ca="1" si="44"/>
        <v>2.6475868783396452E-2</v>
      </c>
    </row>
    <row r="2332" spans="7:8" x14ac:dyDescent="0.35">
      <c r="G2332" s="215">
        <v>2325</v>
      </c>
      <c r="H2332" s="16">
        <f t="shared" ca="1" si="44"/>
        <v>-4.4757388024085756E-2</v>
      </c>
    </row>
    <row r="2333" spans="7:8" x14ac:dyDescent="0.35">
      <c r="G2333" s="215">
        <v>2326</v>
      </c>
      <c r="H2333" s="16">
        <f t="shared" ca="1" si="44"/>
        <v>8.3103043138944746E-2</v>
      </c>
    </row>
    <row r="2334" spans="7:8" x14ac:dyDescent="0.35">
      <c r="G2334" s="215">
        <v>2327</v>
      </c>
      <c r="H2334" s="16">
        <f t="shared" ca="1" si="44"/>
        <v>7.9550524894901178E-2</v>
      </c>
    </row>
    <row r="2335" spans="7:8" x14ac:dyDescent="0.35">
      <c r="G2335" s="215">
        <v>2328</v>
      </c>
      <c r="H2335" s="16">
        <f t="shared" ca="1" si="44"/>
        <v>-1.318626025805917E-2</v>
      </c>
    </row>
    <row r="2336" spans="7:8" x14ac:dyDescent="0.35">
      <c r="G2336" s="215">
        <v>2329</v>
      </c>
      <c r="H2336" s="16">
        <f t="shared" ca="1" si="44"/>
        <v>0.18099068187282355</v>
      </c>
    </row>
    <row r="2337" spans="7:8" x14ac:dyDescent="0.35">
      <c r="G2337" s="215">
        <v>2330</v>
      </c>
      <c r="H2337" s="16">
        <f t="shared" ca="1" si="44"/>
        <v>4.7703363785247935E-2</v>
      </c>
    </row>
    <row r="2338" spans="7:8" x14ac:dyDescent="0.35">
      <c r="G2338" s="215">
        <v>2331</v>
      </c>
      <c r="H2338" s="16">
        <f t="shared" ca="1" si="44"/>
        <v>2.8179829577780917E-2</v>
      </c>
    </row>
    <row r="2339" spans="7:8" x14ac:dyDescent="0.35">
      <c r="G2339" s="215">
        <v>2332</v>
      </c>
      <c r="H2339" s="16">
        <f t="shared" ca="1" si="44"/>
        <v>7.700699240280974E-2</v>
      </c>
    </row>
    <row r="2340" spans="7:8" x14ac:dyDescent="0.35">
      <c r="G2340" s="215">
        <v>2333</v>
      </c>
      <c r="H2340" s="16">
        <f t="shared" ca="1" si="44"/>
        <v>2.640349398527405E-2</v>
      </c>
    </row>
    <row r="2341" spans="7:8" x14ac:dyDescent="0.35">
      <c r="G2341" s="215">
        <v>2334</v>
      </c>
      <c r="H2341" s="16">
        <f t="shared" ca="1" si="44"/>
        <v>3.0720398832835741E-2</v>
      </c>
    </row>
    <row r="2342" spans="7:8" x14ac:dyDescent="0.35">
      <c r="G2342" s="215">
        <v>2335</v>
      </c>
      <c r="H2342" s="16">
        <f t="shared" ca="1" si="44"/>
        <v>7.2687750558390191E-2</v>
      </c>
    </row>
    <row r="2343" spans="7:8" x14ac:dyDescent="0.35">
      <c r="G2343" s="215">
        <v>2336</v>
      </c>
      <c r="H2343" s="16">
        <f t="shared" ca="1" si="44"/>
        <v>8.7287407745844536E-2</v>
      </c>
    </row>
    <row r="2344" spans="7:8" x14ac:dyDescent="0.35">
      <c r="G2344" s="215">
        <v>2337</v>
      </c>
      <c r="H2344" s="16">
        <f t="shared" ca="1" si="44"/>
        <v>-6.0883483258657278E-2</v>
      </c>
    </row>
    <row r="2345" spans="7:8" x14ac:dyDescent="0.35">
      <c r="G2345" s="215">
        <v>2338</v>
      </c>
      <c r="H2345" s="16">
        <f t="shared" ca="1" si="44"/>
        <v>6.3449078878385537E-2</v>
      </c>
    </row>
    <row r="2346" spans="7:8" x14ac:dyDescent="0.35">
      <c r="G2346" s="215">
        <v>2339</v>
      </c>
      <c r="H2346" s="16">
        <f t="shared" ca="1" si="44"/>
        <v>-3.4226327541352033E-2</v>
      </c>
    </row>
    <row r="2347" spans="7:8" x14ac:dyDescent="0.35">
      <c r="G2347" s="215">
        <v>2340</v>
      </c>
      <c r="H2347" s="16">
        <f t="shared" ca="1" si="44"/>
        <v>-2.9713429370943251E-2</v>
      </c>
    </row>
    <row r="2348" spans="7:8" x14ac:dyDescent="0.35">
      <c r="G2348" s="215">
        <v>2341</v>
      </c>
      <c r="H2348" s="16">
        <f t="shared" ca="1" si="44"/>
        <v>2.4480611195517202E-2</v>
      </c>
    </row>
    <row r="2349" spans="7:8" x14ac:dyDescent="0.35">
      <c r="G2349" s="215">
        <v>2342</v>
      </c>
      <c r="H2349" s="16">
        <f t="shared" ca="1" si="44"/>
        <v>9.5901923027871483E-2</v>
      </c>
    </row>
    <row r="2350" spans="7:8" x14ac:dyDescent="0.35">
      <c r="G2350" s="215">
        <v>2343</v>
      </c>
      <c r="H2350" s="16">
        <f t="shared" ca="1" si="44"/>
        <v>-5.5798912532408373E-2</v>
      </c>
    </row>
    <row r="2351" spans="7:8" x14ac:dyDescent="0.35">
      <c r="G2351" s="215">
        <v>2344</v>
      </c>
      <c r="H2351" s="16">
        <f t="shared" ca="1" si="44"/>
        <v>4.5386185628147391E-2</v>
      </c>
    </row>
    <row r="2352" spans="7:8" x14ac:dyDescent="0.35">
      <c r="G2352" s="215">
        <v>2345</v>
      </c>
      <c r="H2352" s="16">
        <f t="shared" ca="1" si="44"/>
        <v>-4.4829473698447544E-2</v>
      </c>
    </row>
    <row r="2353" spans="7:8" x14ac:dyDescent="0.35">
      <c r="G2353" s="215">
        <v>2346</v>
      </c>
      <c r="H2353" s="16">
        <f t="shared" ca="1" si="44"/>
        <v>5.1038355297649385E-2</v>
      </c>
    </row>
    <row r="2354" spans="7:8" x14ac:dyDescent="0.35">
      <c r="G2354" s="215">
        <v>2347</v>
      </c>
      <c r="H2354" s="16">
        <f t="shared" ca="1" si="44"/>
        <v>0.10477610665985913</v>
      </c>
    </row>
    <row r="2355" spans="7:8" x14ac:dyDescent="0.35">
      <c r="G2355" s="215">
        <v>2348</v>
      </c>
      <c r="H2355" s="16">
        <f t="shared" ca="1" si="44"/>
        <v>-1.509783607411231E-2</v>
      </c>
    </row>
    <row r="2356" spans="7:8" x14ac:dyDescent="0.35">
      <c r="G2356" s="215">
        <v>2349</v>
      </c>
      <c r="H2356" s="16">
        <f t="shared" ca="1" si="44"/>
        <v>-1.3171913958614907E-2</v>
      </c>
    </row>
    <row r="2357" spans="7:8" x14ac:dyDescent="0.35">
      <c r="G2357" s="215">
        <v>2350</v>
      </c>
      <c r="H2357" s="16">
        <f t="shared" ca="1" si="44"/>
        <v>-3.5920071052979369E-2</v>
      </c>
    </row>
    <row r="2358" spans="7:8" x14ac:dyDescent="0.35">
      <c r="G2358" s="215">
        <v>2351</v>
      </c>
      <c r="H2358" s="16">
        <f t="shared" ca="1" si="44"/>
        <v>-0.10974793359526881</v>
      </c>
    </row>
    <row r="2359" spans="7:8" x14ac:dyDescent="0.35">
      <c r="G2359" s="215">
        <v>2352</v>
      </c>
      <c r="H2359" s="16">
        <f t="shared" ca="1" si="44"/>
        <v>-2.7590971710087165E-2</v>
      </c>
    </row>
    <row r="2360" spans="7:8" x14ac:dyDescent="0.35">
      <c r="G2360" s="215">
        <v>2353</v>
      </c>
      <c r="H2360" s="16">
        <f t="shared" ca="1" si="44"/>
        <v>4.4502370096100544E-2</v>
      </c>
    </row>
    <row r="2361" spans="7:8" x14ac:dyDescent="0.35">
      <c r="G2361" s="215">
        <v>2354</v>
      </c>
      <c r="H2361" s="16">
        <f t="shared" ca="1" si="44"/>
        <v>7.6109289965413371E-2</v>
      </c>
    </row>
    <row r="2362" spans="7:8" x14ac:dyDescent="0.35">
      <c r="G2362" s="215">
        <v>2355</v>
      </c>
      <c r="H2362" s="16">
        <f t="shared" ca="1" si="44"/>
        <v>5.7750962874364042E-2</v>
      </c>
    </row>
    <row r="2363" spans="7:8" x14ac:dyDescent="0.35">
      <c r="G2363" s="215">
        <v>2356</v>
      </c>
      <c r="H2363" s="16">
        <f t="shared" ca="1" si="44"/>
        <v>1.2975176071630663E-2</v>
      </c>
    </row>
    <row r="2364" spans="7:8" x14ac:dyDescent="0.35">
      <c r="G2364" s="215">
        <v>2357</v>
      </c>
      <c r="H2364" s="16">
        <f t="shared" ca="1" si="44"/>
        <v>3.1041786457903245E-2</v>
      </c>
    </row>
    <row r="2365" spans="7:8" x14ac:dyDescent="0.35">
      <c r="G2365" s="215">
        <v>2358</v>
      </c>
      <c r="H2365" s="16">
        <f t="shared" ca="1" si="44"/>
        <v>3.7062479269595994E-2</v>
      </c>
    </row>
    <row r="2366" spans="7:8" x14ac:dyDescent="0.35">
      <c r="G2366" s="215">
        <v>2359</v>
      </c>
      <c r="H2366" s="16">
        <f t="shared" ca="1" si="44"/>
        <v>-6.7952490262720197E-2</v>
      </c>
    </row>
    <row r="2367" spans="7:8" x14ac:dyDescent="0.35">
      <c r="G2367" s="215">
        <v>2360</v>
      </c>
      <c r="H2367" s="16">
        <f t="shared" ca="1" si="44"/>
        <v>-6.7431671085032258E-2</v>
      </c>
    </row>
    <row r="2368" spans="7:8" x14ac:dyDescent="0.35">
      <c r="G2368" s="215">
        <v>2361</v>
      </c>
      <c r="H2368" s="16">
        <f t="shared" ca="1" si="44"/>
        <v>-3.4431885927004857E-2</v>
      </c>
    </row>
    <row r="2369" spans="7:8" x14ac:dyDescent="0.35">
      <c r="G2369" s="215">
        <v>2362</v>
      </c>
      <c r="H2369" s="16">
        <f t="shared" ca="1" si="44"/>
        <v>1.1620948460854364E-2</v>
      </c>
    </row>
    <row r="2370" spans="7:8" x14ac:dyDescent="0.35">
      <c r="G2370" s="215">
        <v>2363</v>
      </c>
      <c r="H2370" s="16">
        <f t="shared" ca="1" si="44"/>
        <v>4.0850558663086671E-2</v>
      </c>
    </row>
    <row r="2371" spans="7:8" x14ac:dyDescent="0.35">
      <c r="G2371" s="215">
        <v>2364</v>
      </c>
      <c r="H2371" s="16">
        <f t="shared" ca="1" si="44"/>
        <v>8.6192604404033646E-2</v>
      </c>
    </row>
    <row r="2372" spans="7:8" x14ac:dyDescent="0.35">
      <c r="G2372" s="215">
        <v>2365</v>
      </c>
      <c r="H2372" s="16">
        <f t="shared" ca="1" si="44"/>
        <v>5.5906733711948195E-2</v>
      </c>
    </row>
    <row r="2373" spans="7:8" x14ac:dyDescent="0.35">
      <c r="G2373" s="215">
        <v>2366</v>
      </c>
      <c r="H2373" s="16">
        <f t="shared" ca="1" si="44"/>
        <v>6.748308388874226E-2</v>
      </c>
    </row>
    <row r="2374" spans="7:8" x14ac:dyDescent="0.35">
      <c r="G2374" s="215">
        <v>2367</v>
      </c>
      <c r="H2374" s="16">
        <f t="shared" ca="1" si="44"/>
        <v>8.0818535770824998E-2</v>
      </c>
    </row>
    <row r="2375" spans="7:8" x14ac:dyDescent="0.35">
      <c r="G2375" s="215">
        <v>2368</v>
      </c>
      <c r="H2375" s="16">
        <f t="shared" ca="1" si="44"/>
        <v>-0.10040298559598115</v>
      </c>
    </row>
    <row r="2376" spans="7:8" x14ac:dyDescent="0.35">
      <c r="G2376" s="215">
        <v>2369</v>
      </c>
      <c r="H2376" s="16">
        <f t="shared" ref="H2376:H2439" ca="1" si="45">_xlfn.NORM.INV(RAND(),M$10,M$11)</f>
        <v>8.0466275594439862E-2</v>
      </c>
    </row>
    <row r="2377" spans="7:8" x14ac:dyDescent="0.35">
      <c r="G2377" s="215">
        <v>2370</v>
      </c>
      <c r="H2377" s="16">
        <f t="shared" ca="1" si="45"/>
        <v>-1.8519884856378111E-2</v>
      </c>
    </row>
    <row r="2378" spans="7:8" x14ac:dyDescent="0.35">
      <c r="G2378" s="215">
        <v>2371</v>
      </c>
      <c r="H2378" s="16">
        <f t="shared" ca="1" si="45"/>
        <v>1.9380015064211803E-2</v>
      </c>
    </row>
    <row r="2379" spans="7:8" x14ac:dyDescent="0.35">
      <c r="G2379" s="215">
        <v>2372</v>
      </c>
      <c r="H2379" s="16">
        <f t="shared" ca="1" si="45"/>
        <v>-5.1578652998055752E-2</v>
      </c>
    </row>
    <row r="2380" spans="7:8" x14ac:dyDescent="0.35">
      <c r="G2380" s="215">
        <v>2373</v>
      </c>
      <c r="H2380" s="16">
        <f t="shared" ca="1" si="45"/>
        <v>1.9817796169469871E-2</v>
      </c>
    </row>
    <row r="2381" spans="7:8" x14ac:dyDescent="0.35">
      <c r="G2381" s="215">
        <v>2374</v>
      </c>
      <c r="H2381" s="16">
        <f t="shared" ca="1" si="45"/>
        <v>1.418538956157139E-2</v>
      </c>
    </row>
    <row r="2382" spans="7:8" x14ac:dyDescent="0.35">
      <c r="G2382" s="215">
        <v>2375</v>
      </c>
      <c r="H2382" s="16">
        <f t="shared" ca="1" si="45"/>
        <v>5.0063622646464592E-2</v>
      </c>
    </row>
    <row r="2383" spans="7:8" x14ac:dyDescent="0.35">
      <c r="G2383" s="215">
        <v>2376</v>
      </c>
      <c r="H2383" s="16">
        <f t="shared" ca="1" si="45"/>
        <v>0.10782717525809687</v>
      </c>
    </row>
    <row r="2384" spans="7:8" x14ac:dyDescent="0.35">
      <c r="G2384" s="215">
        <v>2377</v>
      </c>
      <c r="H2384" s="16">
        <f t="shared" ca="1" si="45"/>
        <v>4.2583502431522174E-2</v>
      </c>
    </row>
    <row r="2385" spans="7:8" x14ac:dyDescent="0.35">
      <c r="G2385" s="215">
        <v>2378</v>
      </c>
      <c r="H2385" s="16">
        <f t="shared" ca="1" si="45"/>
        <v>-3.9556721751434244E-3</v>
      </c>
    </row>
    <row r="2386" spans="7:8" x14ac:dyDescent="0.35">
      <c r="G2386" s="215">
        <v>2379</v>
      </c>
      <c r="H2386" s="16">
        <f t="shared" ca="1" si="45"/>
        <v>3.6726098879252676E-2</v>
      </c>
    </row>
    <row r="2387" spans="7:8" x14ac:dyDescent="0.35">
      <c r="G2387" s="215">
        <v>2380</v>
      </c>
      <c r="H2387" s="16">
        <f t="shared" ca="1" si="45"/>
        <v>1.6345079626948322E-3</v>
      </c>
    </row>
    <row r="2388" spans="7:8" x14ac:dyDescent="0.35">
      <c r="G2388" s="215">
        <v>2381</v>
      </c>
      <c r="H2388" s="16">
        <f t="shared" ca="1" si="45"/>
        <v>-1.664298345094934E-2</v>
      </c>
    </row>
    <row r="2389" spans="7:8" x14ac:dyDescent="0.35">
      <c r="G2389" s="215">
        <v>2382</v>
      </c>
      <c r="H2389" s="16">
        <f t="shared" ca="1" si="45"/>
        <v>5.3127024532019465E-2</v>
      </c>
    </row>
    <row r="2390" spans="7:8" x14ac:dyDescent="0.35">
      <c r="G2390" s="215">
        <v>2383</v>
      </c>
      <c r="H2390" s="16">
        <f t="shared" ca="1" si="45"/>
        <v>4.3203342793477775E-2</v>
      </c>
    </row>
    <row r="2391" spans="7:8" x14ac:dyDescent="0.35">
      <c r="G2391" s="215">
        <v>2384</v>
      </c>
      <c r="H2391" s="16">
        <f t="shared" ca="1" si="45"/>
        <v>4.6309521210390558E-2</v>
      </c>
    </row>
    <row r="2392" spans="7:8" x14ac:dyDescent="0.35">
      <c r="G2392" s="215">
        <v>2385</v>
      </c>
      <c r="H2392" s="16">
        <f t="shared" ca="1" si="45"/>
        <v>1.164659981069309E-2</v>
      </c>
    </row>
    <row r="2393" spans="7:8" x14ac:dyDescent="0.35">
      <c r="G2393" s="215">
        <v>2386</v>
      </c>
      <c r="H2393" s="16">
        <f t="shared" ca="1" si="45"/>
        <v>0.11628628268621823</v>
      </c>
    </row>
    <row r="2394" spans="7:8" x14ac:dyDescent="0.35">
      <c r="G2394" s="215">
        <v>2387</v>
      </c>
      <c r="H2394" s="16">
        <f t="shared" ca="1" si="45"/>
        <v>-3.5852255586403731E-2</v>
      </c>
    </row>
    <row r="2395" spans="7:8" x14ac:dyDescent="0.35">
      <c r="G2395" s="215">
        <v>2388</v>
      </c>
      <c r="H2395" s="16">
        <f t="shared" ca="1" si="45"/>
        <v>-5.6623140433087457E-2</v>
      </c>
    </row>
    <row r="2396" spans="7:8" x14ac:dyDescent="0.35">
      <c r="G2396" s="215">
        <v>2389</v>
      </c>
      <c r="H2396" s="16">
        <f t="shared" ca="1" si="45"/>
        <v>6.9755533582843199E-2</v>
      </c>
    </row>
    <row r="2397" spans="7:8" x14ac:dyDescent="0.35">
      <c r="G2397" s="215">
        <v>2390</v>
      </c>
      <c r="H2397" s="16">
        <f t="shared" ca="1" si="45"/>
        <v>7.5314797172984935E-2</v>
      </c>
    </row>
    <row r="2398" spans="7:8" x14ac:dyDescent="0.35">
      <c r="G2398" s="215">
        <v>2391</v>
      </c>
      <c r="H2398" s="16">
        <f t="shared" ca="1" si="45"/>
        <v>-3.2899923750689189E-2</v>
      </c>
    </row>
    <row r="2399" spans="7:8" x14ac:dyDescent="0.35">
      <c r="G2399" s="215">
        <v>2392</v>
      </c>
      <c r="H2399" s="16">
        <f t="shared" ca="1" si="45"/>
        <v>-9.8278725094932129E-3</v>
      </c>
    </row>
    <row r="2400" spans="7:8" x14ac:dyDescent="0.35">
      <c r="G2400" s="215">
        <v>2393</v>
      </c>
      <c r="H2400" s="16">
        <f t="shared" ca="1" si="45"/>
        <v>-7.5710101332972138E-2</v>
      </c>
    </row>
    <row r="2401" spans="7:8" x14ac:dyDescent="0.35">
      <c r="G2401" s="215">
        <v>2394</v>
      </c>
      <c r="H2401" s="16">
        <f t="shared" ca="1" si="45"/>
        <v>1.0290370294088197E-2</v>
      </c>
    </row>
    <row r="2402" spans="7:8" x14ac:dyDescent="0.35">
      <c r="G2402" s="215">
        <v>2395</v>
      </c>
      <c r="H2402" s="16">
        <f t="shared" ca="1" si="45"/>
        <v>1.0956602237938136E-2</v>
      </c>
    </row>
    <row r="2403" spans="7:8" x14ac:dyDescent="0.35">
      <c r="G2403" s="215">
        <v>2396</v>
      </c>
      <c r="H2403" s="16">
        <f t="shared" ca="1" si="45"/>
        <v>3.9192845952756808E-2</v>
      </c>
    </row>
    <row r="2404" spans="7:8" x14ac:dyDescent="0.35">
      <c r="G2404" s="215">
        <v>2397</v>
      </c>
      <c r="H2404" s="16">
        <f t="shared" ca="1" si="45"/>
        <v>-6.5189107859583442E-2</v>
      </c>
    </row>
    <row r="2405" spans="7:8" x14ac:dyDescent="0.35">
      <c r="G2405" s="215">
        <v>2398</v>
      </c>
      <c r="H2405" s="16">
        <f t="shared" ca="1" si="45"/>
        <v>-9.2086926626211776E-4</v>
      </c>
    </row>
    <row r="2406" spans="7:8" x14ac:dyDescent="0.35">
      <c r="G2406" s="215">
        <v>2399</v>
      </c>
      <c r="H2406" s="16">
        <f t="shared" ca="1" si="45"/>
        <v>-0.10292244777082162</v>
      </c>
    </row>
    <row r="2407" spans="7:8" x14ac:dyDescent="0.35">
      <c r="G2407" s="215">
        <v>2400</v>
      </c>
      <c r="H2407" s="16">
        <f t="shared" ca="1" si="45"/>
        <v>4.0419296587756462E-2</v>
      </c>
    </row>
    <row r="2408" spans="7:8" x14ac:dyDescent="0.35">
      <c r="G2408" s="215">
        <v>2401</v>
      </c>
      <c r="H2408" s="16">
        <f t="shared" ca="1" si="45"/>
        <v>8.8068450705485579E-2</v>
      </c>
    </row>
    <row r="2409" spans="7:8" x14ac:dyDescent="0.35">
      <c r="G2409" s="215">
        <v>2402</v>
      </c>
      <c r="H2409" s="16">
        <f t="shared" ca="1" si="45"/>
        <v>-0.10039294821642011</v>
      </c>
    </row>
    <row r="2410" spans="7:8" x14ac:dyDescent="0.35">
      <c r="G2410" s="215">
        <v>2403</v>
      </c>
      <c r="H2410" s="16">
        <f t="shared" ca="1" si="45"/>
        <v>3.4732882946748936E-2</v>
      </c>
    </row>
    <row r="2411" spans="7:8" x14ac:dyDescent="0.35">
      <c r="G2411" s="215">
        <v>2404</v>
      </c>
      <c r="H2411" s="16">
        <f t="shared" ca="1" si="45"/>
        <v>0.10575541479298821</v>
      </c>
    </row>
    <row r="2412" spans="7:8" x14ac:dyDescent="0.35">
      <c r="G2412" s="215">
        <v>2405</v>
      </c>
      <c r="H2412" s="16">
        <f t="shared" ca="1" si="45"/>
        <v>9.7572680603983303E-2</v>
      </c>
    </row>
    <row r="2413" spans="7:8" x14ac:dyDescent="0.35">
      <c r="G2413" s="215">
        <v>2406</v>
      </c>
      <c r="H2413" s="16">
        <f t="shared" ca="1" si="45"/>
        <v>-9.6369269733383375E-2</v>
      </c>
    </row>
    <row r="2414" spans="7:8" x14ac:dyDescent="0.35">
      <c r="G2414" s="215">
        <v>2407</v>
      </c>
      <c r="H2414" s="16">
        <f t="shared" ca="1" si="45"/>
        <v>6.6565610318739588E-2</v>
      </c>
    </row>
    <row r="2415" spans="7:8" x14ac:dyDescent="0.35">
      <c r="G2415" s="215">
        <v>2408</v>
      </c>
      <c r="H2415" s="16">
        <f t="shared" ca="1" si="45"/>
        <v>0.11552209372703547</v>
      </c>
    </row>
    <row r="2416" spans="7:8" x14ac:dyDescent="0.35">
      <c r="G2416" s="215">
        <v>2409</v>
      </c>
      <c r="H2416" s="16">
        <f t="shared" ca="1" si="45"/>
        <v>-9.5897986023518081E-2</v>
      </c>
    </row>
    <row r="2417" spans="7:8" x14ac:dyDescent="0.35">
      <c r="G2417" s="215">
        <v>2410</v>
      </c>
      <c r="H2417" s="16">
        <f t="shared" ca="1" si="45"/>
        <v>-5.0038806895716798E-2</v>
      </c>
    </row>
    <row r="2418" spans="7:8" x14ac:dyDescent="0.35">
      <c r="G2418" s="215">
        <v>2411</v>
      </c>
      <c r="H2418" s="16">
        <f t="shared" ca="1" si="45"/>
        <v>8.5749758325951095E-2</v>
      </c>
    </row>
    <row r="2419" spans="7:8" x14ac:dyDescent="0.35">
      <c r="G2419" s="215">
        <v>2412</v>
      </c>
      <c r="H2419" s="16">
        <f t="shared" ca="1" si="45"/>
        <v>-0.16199493018393901</v>
      </c>
    </row>
    <row r="2420" spans="7:8" x14ac:dyDescent="0.35">
      <c r="G2420" s="215">
        <v>2413</v>
      </c>
      <c r="H2420" s="16">
        <f t="shared" ca="1" si="45"/>
        <v>-7.0294903402015441E-2</v>
      </c>
    </row>
    <row r="2421" spans="7:8" x14ac:dyDescent="0.35">
      <c r="G2421" s="215">
        <v>2414</v>
      </c>
      <c r="H2421" s="16">
        <f t="shared" ca="1" si="45"/>
        <v>-5.7249309210643556E-2</v>
      </c>
    </row>
    <row r="2422" spans="7:8" x14ac:dyDescent="0.35">
      <c r="G2422" s="215">
        <v>2415</v>
      </c>
      <c r="H2422" s="16">
        <f t="shared" ca="1" si="45"/>
        <v>-0.15512006986626553</v>
      </c>
    </row>
    <row r="2423" spans="7:8" x14ac:dyDescent="0.35">
      <c r="G2423" s="215">
        <v>2416</v>
      </c>
      <c r="H2423" s="16">
        <f t="shared" ca="1" si="45"/>
        <v>6.560586186441085E-2</v>
      </c>
    </row>
    <row r="2424" spans="7:8" x14ac:dyDescent="0.35">
      <c r="G2424" s="215">
        <v>2417</v>
      </c>
      <c r="H2424" s="16">
        <f t="shared" ca="1" si="45"/>
        <v>0.11328150876349972</v>
      </c>
    </row>
    <row r="2425" spans="7:8" x14ac:dyDescent="0.35">
      <c r="G2425" s="215">
        <v>2418</v>
      </c>
      <c r="H2425" s="16">
        <f t="shared" ca="1" si="45"/>
        <v>-1.2942367610465615E-3</v>
      </c>
    </row>
    <row r="2426" spans="7:8" x14ac:dyDescent="0.35">
      <c r="G2426" s="215">
        <v>2419</v>
      </c>
      <c r="H2426" s="16">
        <f t="shared" ca="1" si="45"/>
        <v>0.2416056680362747</v>
      </c>
    </row>
    <row r="2427" spans="7:8" x14ac:dyDescent="0.35">
      <c r="G2427" s="215">
        <v>2420</v>
      </c>
      <c r="H2427" s="16">
        <f t="shared" ca="1" si="45"/>
        <v>3.3341648667187231E-2</v>
      </c>
    </row>
    <row r="2428" spans="7:8" x14ac:dyDescent="0.35">
      <c r="G2428" s="215">
        <v>2421</v>
      </c>
      <c r="H2428" s="16">
        <f t="shared" ca="1" si="45"/>
        <v>6.9921872144614761E-2</v>
      </c>
    </row>
    <row r="2429" spans="7:8" x14ac:dyDescent="0.35">
      <c r="G2429" s="215">
        <v>2422</v>
      </c>
      <c r="H2429" s="16">
        <f t="shared" ca="1" si="45"/>
        <v>-9.3732409234686433E-3</v>
      </c>
    </row>
    <row r="2430" spans="7:8" x14ac:dyDescent="0.35">
      <c r="G2430" s="215">
        <v>2423</v>
      </c>
      <c r="H2430" s="16">
        <f t="shared" ca="1" si="45"/>
        <v>0.13285642704619799</v>
      </c>
    </row>
    <row r="2431" spans="7:8" x14ac:dyDescent="0.35">
      <c r="G2431" s="215">
        <v>2424</v>
      </c>
      <c r="H2431" s="16">
        <f t="shared" ca="1" si="45"/>
        <v>0.13044358850162147</v>
      </c>
    </row>
    <row r="2432" spans="7:8" x14ac:dyDescent="0.35">
      <c r="G2432" s="215">
        <v>2425</v>
      </c>
      <c r="H2432" s="16">
        <f t="shared" ca="1" si="45"/>
        <v>-8.0502314775262929E-2</v>
      </c>
    </row>
    <row r="2433" spans="7:8" x14ac:dyDescent="0.35">
      <c r="G2433" s="215">
        <v>2426</v>
      </c>
      <c r="H2433" s="16">
        <f t="shared" ca="1" si="45"/>
        <v>5.6601489326062293E-2</v>
      </c>
    </row>
    <row r="2434" spans="7:8" x14ac:dyDescent="0.35">
      <c r="G2434" s="215">
        <v>2427</v>
      </c>
      <c r="H2434" s="16">
        <f t="shared" ca="1" si="45"/>
        <v>-0.10168335816846746</v>
      </c>
    </row>
    <row r="2435" spans="7:8" x14ac:dyDescent="0.35">
      <c r="G2435" s="215">
        <v>2428</v>
      </c>
      <c r="H2435" s="16">
        <f t="shared" ca="1" si="45"/>
        <v>-1.6496042682895357E-2</v>
      </c>
    </row>
    <row r="2436" spans="7:8" x14ac:dyDescent="0.35">
      <c r="G2436" s="215">
        <v>2429</v>
      </c>
      <c r="H2436" s="16">
        <f t="shared" ca="1" si="45"/>
        <v>-0.16765953765181335</v>
      </c>
    </row>
    <row r="2437" spans="7:8" x14ac:dyDescent="0.35">
      <c r="G2437" s="215">
        <v>2430</v>
      </c>
      <c r="H2437" s="16">
        <f t="shared" ca="1" si="45"/>
        <v>1.2601024996579337E-2</v>
      </c>
    </row>
    <row r="2438" spans="7:8" x14ac:dyDescent="0.35">
      <c r="G2438" s="215">
        <v>2431</v>
      </c>
      <c r="H2438" s="16">
        <f t="shared" ca="1" si="45"/>
        <v>0.10191794784878995</v>
      </c>
    </row>
    <row r="2439" spans="7:8" x14ac:dyDescent="0.35">
      <c r="G2439" s="215">
        <v>2432</v>
      </c>
      <c r="H2439" s="16">
        <f t="shared" ca="1" si="45"/>
        <v>0.11392801529398958</v>
      </c>
    </row>
    <row r="2440" spans="7:8" x14ac:dyDescent="0.35">
      <c r="G2440" s="215">
        <v>2433</v>
      </c>
      <c r="H2440" s="16">
        <f t="shared" ref="H2440:H2503" ca="1" si="46">_xlfn.NORM.INV(RAND(),M$10,M$11)</f>
        <v>-1.5166076787683357E-2</v>
      </c>
    </row>
    <row r="2441" spans="7:8" x14ac:dyDescent="0.35">
      <c r="G2441" s="215">
        <v>2434</v>
      </c>
      <c r="H2441" s="16">
        <f t="shared" ca="1" si="46"/>
        <v>-0.13989711489585557</v>
      </c>
    </row>
    <row r="2442" spans="7:8" x14ac:dyDescent="0.35">
      <c r="G2442" s="215">
        <v>2435</v>
      </c>
      <c r="H2442" s="16">
        <f t="shared" ca="1" si="46"/>
        <v>-9.3161247513600831E-2</v>
      </c>
    </row>
    <row r="2443" spans="7:8" x14ac:dyDescent="0.35">
      <c r="G2443" s="215">
        <v>2436</v>
      </c>
      <c r="H2443" s="16">
        <f t="shared" ca="1" si="46"/>
        <v>-5.0110590647493389E-2</v>
      </c>
    </row>
    <row r="2444" spans="7:8" x14ac:dyDescent="0.35">
      <c r="G2444" s="215">
        <v>2437</v>
      </c>
      <c r="H2444" s="16">
        <f t="shared" ca="1" si="46"/>
        <v>2.876332204356815E-2</v>
      </c>
    </row>
    <row r="2445" spans="7:8" x14ac:dyDescent="0.35">
      <c r="G2445" s="215">
        <v>2438</v>
      </c>
      <c r="H2445" s="16">
        <f t="shared" ca="1" si="46"/>
        <v>-0.12464894072945329</v>
      </c>
    </row>
    <row r="2446" spans="7:8" x14ac:dyDescent="0.35">
      <c r="G2446" s="215">
        <v>2439</v>
      </c>
      <c r="H2446" s="16">
        <f t="shared" ca="1" si="46"/>
        <v>-6.7127543148812509E-3</v>
      </c>
    </row>
    <row r="2447" spans="7:8" x14ac:dyDescent="0.35">
      <c r="G2447" s="215">
        <v>2440</v>
      </c>
      <c r="H2447" s="16">
        <f t="shared" ca="1" si="46"/>
        <v>1.3854277466208671E-2</v>
      </c>
    </row>
    <row r="2448" spans="7:8" x14ac:dyDescent="0.35">
      <c r="G2448" s="215">
        <v>2441</v>
      </c>
      <c r="H2448" s="16">
        <f t="shared" ca="1" si="46"/>
        <v>-0.10455760447268982</v>
      </c>
    </row>
    <row r="2449" spans="7:8" x14ac:dyDescent="0.35">
      <c r="G2449" s="215">
        <v>2442</v>
      </c>
      <c r="H2449" s="16">
        <f t="shared" ca="1" si="46"/>
        <v>-4.8464647522997492E-2</v>
      </c>
    </row>
    <row r="2450" spans="7:8" x14ac:dyDescent="0.35">
      <c r="G2450" s="215">
        <v>2443</v>
      </c>
      <c r="H2450" s="16">
        <f t="shared" ca="1" si="46"/>
        <v>-1.0937576958856953E-3</v>
      </c>
    </row>
    <row r="2451" spans="7:8" x14ac:dyDescent="0.35">
      <c r="G2451" s="215">
        <v>2444</v>
      </c>
      <c r="H2451" s="16">
        <f t="shared" ca="1" si="46"/>
        <v>-1.1559364887552721E-3</v>
      </c>
    </row>
    <row r="2452" spans="7:8" x14ac:dyDescent="0.35">
      <c r="G2452" s="215">
        <v>2445</v>
      </c>
      <c r="H2452" s="16">
        <f t="shared" ca="1" si="46"/>
        <v>7.8098669029752252E-2</v>
      </c>
    </row>
    <row r="2453" spans="7:8" x14ac:dyDescent="0.35">
      <c r="G2453" s="215">
        <v>2446</v>
      </c>
      <c r="H2453" s="16">
        <f t="shared" ca="1" si="46"/>
        <v>-2.7303272219487893E-2</v>
      </c>
    </row>
    <row r="2454" spans="7:8" x14ac:dyDescent="0.35">
      <c r="G2454" s="215">
        <v>2447</v>
      </c>
      <c r="H2454" s="16">
        <f t="shared" ca="1" si="46"/>
        <v>6.3292600576024712E-4</v>
      </c>
    </row>
    <row r="2455" spans="7:8" x14ac:dyDescent="0.35">
      <c r="G2455" s="215">
        <v>2448</v>
      </c>
      <c r="H2455" s="16">
        <f t="shared" ca="1" si="46"/>
        <v>-4.3345428097923952E-2</v>
      </c>
    </row>
    <row r="2456" spans="7:8" x14ac:dyDescent="0.35">
      <c r="G2456" s="215">
        <v>2449</v>
      </c>
      <c r="H2456" s="16">
        <f t="shared" ca="1" si="46"/>
        <v>4.6474939939932496E-3</v>
      </c>
    </row>
    <row r="2457" spans="7:8" x14ac:dyDescent="0.35">
      <c r="G2457" s="215">
        <v>2450</v>
      </c>
      <c r="H2457" s="16">
        <f t="shared" ca="1" si="46"/>
        <v>5.8074246578482383E-2</v>
      </c>
    </row>
    <row r="2458" spans="7:8" x14ac:dyDescent="0.35">
      <c r="G2458" s="215">
        <v>2451</v>
      </c>
      <c r="H2458" s="16">
        <f t="shared" ca="1" si="46"/>
        <v>7.9967196486411304E-2</v>
      </c>
    </row>
    <row r="2459" spans="7:8" x14ac:dyDescent="0.35">
      <c r="G2459" s="215">
        <v>2452</v>
      </c>
      <c r="H2459" s="16">
        <f t="shared" ca="1" si="46"/>
        <v>6.4668251010571595E-2</v>
      </c>
    </row>
    <row r="2460" spans="7:8" x14ac:dyDescent="0.35">
      <c r="G2460" s="215">
        <v>2453</v>
      </c>
      <c r="H2460" s="16">
        <f t="shared" ca="1" si="46"/>
        <v>6.3396393450289676E-2</v>
      </c>
    </row>
    <row r="2461" spans="7:8" x14ac:dyDescent="0.35">
      <c r="G2461" s="215">
        <v>2454</v>
      </c>
      <c r="H2461" s="16">
        <f t="shared" ca="1" si="46"/>
        <v>2.3616334346805781E-2</v>
      </c>
    </row>
    <row r="2462" spans="7:8" x14ac:dyDescent="0.35">
      <c r="G2462" s="215">
        <v>2455</v>
      </c>
      <c r="H2462" s="16">
        <f t="shared" ca="1" si="46"/>
        <v>4.8643286784665105E-2</v>
      </c>
    </row>
    <row r="2463" spans="7:8" x14ac:dyDescent="0.35">
      <c r="G2463" s="215">
        <v>2456</v>
      </c>
      <c r="H2463" s="16">
        <f t="shared" ca="1" si="46"/>
        <v>-4.9833658697953101E-2</v>
      </c>
    </row>
    <row r="2464" spans="7:8" x14ac:dyDescent="0.35">
      <c r="G2464" s="215">
        <v>2457</v>
      </c>
      <c r="H2464" s="16">
        <f t="shared" ca="1" si="46"/>
        <v>-0.10140717253673499</v>
      </c>
    </row>
    <row r="2465" spans="7:8" x14ac:dyDescent="0.35">
      <c r="G2465" s="215">
        <v>2458</v>
      </c>
      <c r="H2465" s="16">
        <f t="shared" ca="1" si="46"/>
        <v>3.8959926338610118E-2</v>
      </c>
    </row>
    <row r="2466" spans="7:8" x14ac:dyDescent="0.35">
      <c r="G2466" s="215">
        <v>2459</v>
      </c>
      <c r="H2466" s="16">
        <f t="shared" ca="1" si="46"/>
        <v>-3.8038161428700125E-3</v>
      </c>
    </row>
    <row r="2467" spans="7:8" x14ac:dyDescent="0.35">
      <c r="G2467" s="215">
        <v>2460</v>
      </c>
      <c r="H2467" s="16">
        <f t="shared" ca="1" si="46"/>
        <v>-7.0015588786918825E-2</v>
      </c>
    </row>
    <row r="2468" spans="7:8" x14ac:dyDescent="0.35">
      <c r="G2468" s="215">
        <v>2461</v>
      </c>
      <c r="H2468" s="16">
        <f t="shared" ca="1" si="46"/>
        <v>-5.4604671556901671E-2</v>
      </c>
    </row>
    <row r="2469" spans="7:8" x14ac:dyDescent="0.35">
      <c r="G2469" s="215">
        <v>2462</v>
      </c>
      <c r="H2469" s="16">
        <f t="shared" ca="1" si="46"/>
        <v>9.1647648727490816E-2</v>
      </c>
    </row>
    <row r="2470" spans="7:8" x14ac:dyDescent="0.35">
      <c r="G2470" s="215">
        <v>2463</v>
      </c>
      <c r="H2470" s="16">
        <f t="shared" ca="1" si="46"/>
        <v>8.3737139718502454E-2</v>
      </c>
    </row>
    <row r="2471" spans="7:8" x14ac:dyDescent="0.35">
      <c r="G2471" s="215">
        <v>2464</v>
      </c>
      <c r="H2471" s="16">
        <f t="shared" ca="1" si="46"/>
        <v>-1.186456982632543E-2</v>
      </c>
    </row>
    <row r="2472" spans="7:8" x14ac:dyDescent="0.35">
      <c r="G2472" s="215">
        <v>2465</v>
      </c>
      <c r="H2472" s="16">
        <f t="shared" ca="1" si="46"/>
        <v>5.2666284429557272E-2</v>
      </c>
    </row>
    <row r="2473" spans="7:8" x14ac:dyDescent="0.35">
      <c r="G2473" s="215">
        <v>2466</v>
      </c>
      <c r="H2473" s="16">
        <f t="shared" ca="1" si="46"/>
        <v>0.17156921907926961</v>
      </c>
    </row>
    <row r="2474" spans="7:8" x14ac:dyDescent="0.35">
      <c r="G2474" s="215">
        <v>2467</v>
      </c>
      <c r="H2474" s="16">
        <f t="shared" ca="1" si="46"/>
        <v>7.2820028586420532E-2</v>
      </c>
    </row>
    <row r="2475" spans="7:8" x14ac:dyDescent="0.35">
      <c r="G2475" s="215">
        <v>2468</v>
      </c>
      <c r="H2475" s="16">
        <f t="shared" ca="1" si="46"/>
        <v>4.8965111362988631E-2</v>
      </c>
    </row>
    <row r="2476" spans="7:8" x14ac:dyDescent="0.35">
      <c r="G2476" s="215">
        <v>2469</v>
      </c>
      <c r="H2476" s="16">
        <f t="shared" ca="1" si="46"/>
        <v>6.8839155261574955E-2</v>
      </c>
    </row>
    <row r="2477" spans="7:8" x14ac:dyDescent="0.35">
      <c r="G2477" s="215">
        <v>2470</v>
      </c>
      <c r="H2477" s="16">
        <f t="shared" ca="1" si="46"/>
        <v>5.4729761182440578E-2</v>
      </c>
    </row>
    <row r="2478" spans="7:8" x14ac:dyDescent="0.35">
      <c r="G2478" s="215">
        <v>2471</v>
      </c>
      <c r="H2478" s="16">
        <f t="shared" ca="1" si="46"/>
        <v>5.5888244523568872E-2</v>
      </c>
    </row>
    <row r="2479" spans="7:8" x14ac:dyDescent="0.35">
      <c r="G2479" s="215">
        <v>2472</v>
      </c>
      <c r="H2479" s="16">
        <f t="shared" ca="1" si="46"/>
        <v>7.0777016506461649E-2</v>
      </c>
    </row>
    <row r="2480" spans="7:8" x14ac:dyDescent="0.35">
      <c r="G2480" s="215">
        <v>2473</v>
      </c>
      <c r="H2480" s="16">
        <f t="shared" ca="1" si="46"/>
        <v>0.17014280198130527</v>
      </c>
    </row>
    <row r="2481" spans="7:8" x14ac:dyDescent="0.35">
      <c r="G2481" s="215">
        <v>2474</v>
      </c>
      <c r="H2481" s="16">
        <f t="shared" ca="1" si="46"/>
        <v>8.5395135183220047E-2</v>
      </c>
    </row>
    <row r="2482" spans="7:8" x14ac:dyDescent="0.35">
      <c r="G2482" s="215">
        <v>2475</v>
      </c>
      <c r="H2482" s="16">
        <f t="shared" ca="1" si="46"/>
        <v>0.11216475572482529</v>
      </c>
    </row>
    <row r="2483" spans="7:8" x14ac:dyDescent="0.35">
      <c r="G2483" s="215">
        <v>2476</v>
      </c>
      <c r="H2483" s="16">
        <f t="shared" ca="1" si="46"/>
        <v>9.9385219096314037E-2</v>
      </c>
    </row>
    <row r="2484" spans="7:8" x14ac:dyDescent="0.35">
      <c r="G2484" s="215">
        <v>2477</v>
      </c>
      <c r="H2484" s="16">
        <f t="shared" ca="1" si="46"/>
        <v>2.5139665458333994E-2</v>
      </c>
    </row>
    <row r="2485" spans="7:8" x14ac:dyDescent="0.35">
      <c r="G2485" s="215">
        <v>2478</v>
      </c>
      <c r="H2485" s="16">
        <f t="shared" ca="1" si="46"/>
        <v>-0.10177940299440011</v>
      </c>
    </row>
    <row r="2486" spans="7:8" x14ac:dyDescent="0.35">
      <c r="G2486" s="215">
        <v>2479</v>
      </c>
      <c r="H2486" s="16">
        <f t="shared" ca="1" si="46"/>
        <v>0.12720206417180549</v>
      </c>
    </row>
    <row r="2487" spans="7:8" x14ac:dyDescent="0.35">
      <c r="G2487" s="215">
        <v>2480</v>
      </c>
      <c r="H2487" s="16">
        <f t="shared" ca="1" si="46"/>
        <v>9.8800368486791634E-2</v>
      </c>
    </row>
    <row r="2488" spans="7:8" x14ac:dyDescent="0.35">
      <c r="G2488" s="215">
        <v>2481</v>
      </c>
      <c r="H2488" s="16">
        <f t="shared" ca="1" si="46"/>
        <v>6.9569993632815616E-2</v>
      </c>
    </row>
    <row r="2489" spans="7:8" x14ac:dyDescent="0.35">
      <c r="G2489" s="215">
        <v>2482</v>
      </c>
      <c r="H2489" s="16">
        <f t="shared" ca="1" si="46"/>
        <v>-0.10605611080691896</v>
      </c>
    </row>
    <row r="2490" spans="7:8" x14ac:dyDescent="0.35">
      <c r="G2490" s="215">
        <v>2483</v>
      </c>
      <c r="H2490" s="16">
        <f t="shared" ca="1" si="46"/>
        <v>-6.59206142683742E-2</v>
      </c>
    </row>
    <row r="2491" spans="7:8" x14ac:dyDescent="0.35">
      <c r="G2491" s="215">
        <v>2484</v>
      </c>
      <c r="H2491" s="16">
        <f t="shared" ca="1" si="46"/>
        <v>9.0683259774586147E-2</v>
      </c>
    </row>
    <row r="2492" spans="7:8" x14ac:dyDescent="0.35">
      <c r="G2492" s="215">
        <v>2485</v>
      </c>
      <c r="H2492" s="16">
        <f t="shared" ca="1" si="46"/>
        <v>-2.5633146323070222E-2</v>
      </c>
    </row>
    <row r="2493" spans="7:8" x14ac:dyDescent="0.35">
      <c r="G2493" s="215">
        <v>2486</v>
      </c>
      <c r="H2493" s="16">
        <f t="shared" ca="1" si="46"/>
        <v>-8.3555538892662706E-2</v>
      </c>
    </row>
    <row r="2494" spans="7:8" x14ac:dyDescent="0.35">
      <c r="G2494" s="215">
        <v>2487</v>
      </c>
      <c r="H2494" s="16">
        <f t="shared" ca="1" si="46"/>
        <v>0.1452396086243852</v>
      </c>
    </row>
    <row r="2495" spans="7:8" x14ac:dyDescent="0.35">
      <c r="G2495" s="215">
        <v>2488</v>
      </c>
      <c r="H2495" s="16">
        <f t="shared" ca="1" si="46"/>
        <v>-0.1165260513010313</v>
      </c>
    </row>
    <row r="2496" spans="7:8" x14ac:dyDescent="0.35">
      <c r="G2496" s="215">
        <v>2489</v>
      </c>
      <c r="H2496" s="16">
        <f t="shared" ca="1" si="46"/>
        <v>0.12534607449702342</v>
      </c>
    </row>
    <row r="2497" spans="7:8" x14ac:dyDescent="0.35">
      <c r="G2497" s="215">
        <v>2490</v>
      </c>
      <c r="H2497" s="16">
        <f t="shared" ca="1" si="46"/>
        <v>7.6083179626797906E-2</v>
      </c>
    </row>
    <row r="2498" spans="7:8" x14ac:dyDescent="0.35">
      <c r="G2498" s="215">
        <v>2491</v>
      </c>
      <c r="H2498" s="16">
        <f t="shared" ca="1" si="46"/>
        <v>-0.1037603588002866</v>
      </c>
    </row>
    <row r="2499" spans="7:8" x14ac:dyDescent="0.35">
      <c r="G2499" s="215">
        <v>2492</v>
      </c>
      <c r="H2499" s="16">
        <f t="shared" ca="1" si="46"/>
        <v>3.0692505810162821E-2</v>
      </c>
    </row>
    <row r="2500" spans="7:8" x14ac:dyDescent="0.35">
      <c r="G2500" s="215">
        <v>2493</v>
      </c>
      <c r="H2500" s="16">
        <f t="shared" ca="1" si="46"/>
        <v>3.6820587904656296E-2</v>
      </c>
    </row>
    <row r="2501" spans="7:8" x14ac:dyDescent="0.35">
      <c r="G2501" s="215">
        <v>2494</v>
      </c>
      <c r="H2501" s="16">
        <f t="shared" ca="1" si="46"/>
        <v>0.10343584655105786</v>
      </c>
    </row>
    <row r="2502" spans="7:8" x14ac:dyDescent="0.35">
      <c r="G2502" s="215">
        <v>2495</v>
      </c>
      <c r="H2502" s="16">
        <f t="shared" ca="1" si="46"/>
        <v>0.10996498049508477</v>
      </c>
    </row>
    <row r="2503" spans="7:8" x14ac:dyDescent="0.35">
      <c r="G2503" s="215">
        <v>2496</v>
      </c>
      <c r="H2503" s="16">
        <f t="shared" ca="1" si="46"/>
        <v>-8.513092998129676E-3</v>
      </c>
    </row>
    <row r="2504" spans="7:8" x14ac:dyDescent="0.35">
      <c r="G2504" s="215">
        <v>2497</v>
      </c>
      <c r="H2504" s="16">
        <f t="shared" ref="H2504:H2567" ca="1" si="47">_xlfn.NORM.INV(RAND(),M$10,M$11)</f>
        <v>-7.405314309304728E-2</v>
      </c>
    </row>
    <row r="2505" spans="7:8" x14ac:dyDescent="0.35">
      <c r="G2505" s="215">
        <v>2498</v>
      </c>
      <c r="H2505" s="16">
        <f t="shared" ca="1" si="47"/>
        <v>7.2864052001084534E-3</v>
      </c>
    </row>
    <row r="2506" spans="7:8" x14ac:dyDescent="0.35">
      <c r="G2506" s="215">
        <v>2499</v>
      </c>
      <c r="H2506" s="16">
        <f t="shared" ca="1" si="47"/>
        <v>-1.0792893337120666E-2</v>
      </c>
    </row>
    <row r="2507" spans="7:8" x14ac:dyDescent="0.35">
      <c r="G2507" s="215">
        <v>2500</v>
      </c>
      <c r="H2507" s="16">
        <f t="shared" ca="1" si="47"/>
        <v>3.0411084686983083E-2</v>
      </c>
    </row>
    <row r="2508" spans="7:8" x14ac:dyDescent="0.35">
      <c r="G2508" s="215">
        <v>2501</v>
      </c>
      <c r="H2508" s="16">
        <f t="shared" ca="1" si="47"/>
        <v>1.3078057458665301E-2</v>
      </c>
    </row>
    <row r="2509" spans="7:8" x14ac:dyDescent="0.35">
      <c r="G2509" s="215">
        <v>2502</v>
      </c>
      <c r="H2509" s="16">
        <f t="shared" ca="1" si="47"/>
        <v>-4.3293200536967169E-2</v>
      </c>
    </row>
    <row r="2510" spans="7:8" x14ac:dyDescent="0.35">
      <c r="G2510" s="215">
        <v>2503</v>
      </c>
      <c r="H2510" s="16">
        <f t="shared" ca="1" si="47"/>
        <v>-0.10730540821522402</v>
      </c>
    </row>
    <row r="2511" spans="7:8" x14ac:dyDescent="0.35">
      <c r="G2511" s="215">
        <v>2504</v>
      </c>
      <c r="H2511" s="16">
        <f t="shared" ca="1" si="47"/>
        <v>1.3869563944407451E-2</v>
      </c>
    </row>
    <row r="2512" spans="7:8" x14ac:dyDescent="0.35">
      <c r="G2512" s="215">
        <v>2505</v>
      </c>
      <c r="H2512" s="16">
        <f t="shared" ca="1" si="47"/>
        <v>1.9812685599417002E-2</v>
      </c>
    </row>
    <row r="2513" spans="7:8" x14ac:dyDescent="0.35">
      <c r="G2513" s="215">
        <v>2506</v>
      </c>
      <c r="H2513" s="16">
        <f t="shared" ca="1" si="47"/>
        <v>9.7320019279926145E-2</v>
      </c>
    </row>
    <row r="2514" spans="7:8" x14ac:dyDescent="0.35">
      <c r="G2514" s="215">
        <v>2507</v>
      </c>
      <c r="H2514" s="16">
        <f t="shared" ca="1" si="47"/>
        <v>5.0577652946605198E-2</v>
      </c>
    </row>
    <row r="2515" spans="7:8" x14ac:dyDescent="0.35">
      <c r="G2515" s="215">
        <v>2508</v>
      </c>
      <c r="H2515" s="16">
        <f t="shared" ca="1" si="47"/>
        <v>0.11005824864737813</v>
      </c>
    </row>
    <row r="2516" spans="7:8" x14ac:dyDescent="0.35">
      <c r="G2516" s="215">
        <v>2509</v>
      </c>
      <c r="H2516" s="16">
        <f t="shared" ca="1" si="47"/>
        <v>0.10426958414442176</v>
      </c>
    </row>
    <row r="2517" spans="7:8" x14ac:dyDescent="0.35">
      <c r="G2517" s="215">
        <v>2510</v>
      </c>
      <c r="H2517" s="16">
        <f t="shared" ca="1" si="47"/>
        <v>-8.5862895861747709E-2</v>
      </c>
    </row>
    <row r="2518" spans="7:8" x14ac:dyDescent="0.35">
      <c r="G2518" s="215">
        <v>2511</v>
      </c>
      <c r="H2518" s="16">
        <f t="shared" ca="1" si="47"/>
        <v>-6.352218696461398E-2</v>
      </c>
    </row>
    <row r="2519" spans="7:8" x14ac:dyDescent="0.35">
      <c r="G2519" s="215">
        <v>2512</v>
      </c>
      <c r="H2519" s="16">
        <f t="shared" ca="1" si="47"/>
        <v>7.0370789418131643E-2</v>
      </c>
    </row>
    <row r="2520" spans="7:8" x14ac:dyDescent="0.35">
      <c r="G2520" s="215">
        <v>2513</v>
      </c>
      <c r="H2520" s="16">
        <f t="shared" ca="1" si="47"/>
        <v>-1.36993228295164E-2</v>
      </c>
    </row>
    <row r="2521" spans="7:8" x14ac:dyDescent="0.35">
      <c r="G2521" s="215">
        <v>2514</v>
      </c>
      <c r="H2521" s="16">
        <f t="shared" ca="1" si="47"/>
        <v>-2.81392786384469E-2</v>
      </c>
    </row>
    <row r="2522" spans="7:8" x14ac:dyDescent="0.35">
      <c r="G2522" s="215">
        <v>2515</v>
      </c>
      <c r="H2522" s="16">
        <f t="shared" ca="1" si="47"/>
        <v>1.1202455485522463E-2</v>
      </c>
    </row>
    <row r="2523" spans="7:8" x14ac:dyDescent="0.35">
      <c r="G2523" s="215">
        <v>2516</v>
      </c>
      <c r="H2523" s="16">
        <f t="shared" ca="1" si="47"/>
        <v>-1.546539571625313E-2</v>
      </c>
    </row>
    <row r="2524" spans="7:8" x14ac:dyDescent="0.35">
      <c r="G2524" s="215">
        <v>2517</v>
      </c>
      <c r="H2524" s="16">
        <f t="shared" ca="1" si="47"/>
        <v>8.4104795422131493E-2</v>
      </c>
    </row>
    <row r="2525" spans="7:8" x14ac:dyDescent="0.35">
      <c r="G2525" s="215">
        <v>2518</v>
      </c>
      <c r="H2525" s="16">
        <f t="shared" ca="1" si="47"/>
        <v>6.7429013824946038E-2</v>
      </c>
    </row>
    <row r="2526" spans="7:8" x14ac:dyDescent="0.35">
      <c r="G2526" s="215">
        <v>2519</v>
      </c>
      <c r="H2526" s="16">
        <f t="shared" ca="1" si="47"/>
        <v>-3.7637364523347469E-2</v>
      </c>
    </row>
    <row r="2527" spans="7:8" x14ac:dyDescent="0.35">
      <c r="G2527" s="215">
        <v>2520</v>
      </c>
      <c r="H2527" s="16">
        <f t="shared" ca="1" si="47"/>
        <v>4.814979926608122E-2</v>
      </c>
    </row>
    <row r="2528" spans="7:8" x14ac:dyDescent="0.35">
      <c r="G2528" s="215">
        <v>2521</v>
      </c>
      <c r="H2528" s="16">
        <f t="shared" ca="1" si="47"/>
        <v>-6.3778708874224613E-2</v>
      </c>
    </row>
    <row r="2529" spans="7:8" x14ac:dyDescent="0.35">
      <c r="G2529" s="215">
        <v>2522</v>
      </c>
      <c r="H2529" s="16">
        <f t="shared" ca="1" si="47"/>
        <v>0.1507191150866373</v>
      </c>
    </row>
    <row r="2530" spans="7:8" x14ac:dyDescent="0.35">
      <c r="G2530" s="215">
        <v>2523</v>
      </c>
      <c r="H2530" s="16">
        <f t="shared" ca="1" si="47"/>
        <v>5.7548277264789657E-2</v>
      </c>
    </row>
    <row r="2531" spans="7:8" x14ac:dyDescent="0.35">
      <c r="G2531" s="215">
        <v>2524</v>
      </c>
      <c r="H2531" s="16">
        <f t="shared" ca="1" si="47"/>
        <v>0.10475818012250694</v>
      </c>
    </row>
    <row r="2532" spans="7:8" x14ac:dyDescent="0.35">
      <c r="G2532" s="215">
        <v>2525</v>
      </c>
      <c r="H2532" s="16">
        <f t="shared" ca="1" si="47"/>
        <v>8.1753876628082815E-3</v>
      </c>
    </row>
    <row r="2533" spans="7:8" x14ac:dyDescent="0.35">
      <c r="G2533" s="215">
        <v>2526</v>
      </c>
      <c r="H2533" s="16">
        <f t="shared" ca="1" si="47"/>
        <v>9.4646822610585893E-2</v>
      </c>
    </row>
    <row r="2534" spans="7:8" x14ac:dyDescent="0.35">
      <c r="G2534" s="215">
        <v>2527</v>
      </c>
      <c r="H2534" s="16">
        <f t="shared" ca="1" si="47"/>
        <v>0.14175058478797392</v>
      </c>
    </row>
    <row r="2535" spans="7:8" x14ac:dyDescent="0.35">
      <c r="G2535" s="215">
        <v>2528</v>
      </c>
      <c r="H2535" s="16">
        <f t="shared" ca="1" si="47"/>
        <v>0.1140681076067338</v>
      </c>
    </row>
    <row r="2536" spans="7:8" x14ac:dyDescent="0.35">
      <c r="G2536" s="215">
        <v>2529</v>
      </c>
      <c r="H2536" s="16">
        <f t="shared" ca="1" si="47"/>
        <v>4.2295905474432391E-2</v>
      </c>
    </row>
    <row r="2537" spans="7:8" x14ac:dyDescent="0.35">
      <c r="G2537" s="215">
        <v>2530</v>
      </c>
      <c r="H2537" s="16">
        <f t="shared" ca="1" si="47"/>
        <v>-4.5333327810684373E-2</v>
      </c>
    </row>
    <row r="2538" spans="7:8" x14ac:dyDescent="0.35">
      <c r="G2538" s="215">
        <v>2531</v>
      </c>
      <c r="H2538" s="16">
        <f t="shared" ca="1" si="47"/>
        <v>4.2458078337494938E-3</v>
      </c>
    </row>
    <row r="2539" spans="7:8" x14ac:dyDescent="0.35">
      <c r="G2539" s="215">
        <v>2532</v>
      </c>
      <c r="H2539" s="16">
        <f t="shared" ca="1" si="47"/>
        <v>-6.5845029369430597E-2</v>
      </c>
    </row>
    <row r="2540" spans="7:8" x14ac:dyDescent="0.35">
      <c r="G2540" s="215">
        <v>2533</v>
      </c>
      <c r="H2540" s="16">
        <f t="shared" ca="1" si="47"/>
        <v>7.4853497415571651E-2</v>
      </c>
    </row>
    <row r="2541" spans="7:8" x14ac:dyDescent="0.35">
      <c r="G2541" s="215">
        <v>2534</v>
      </c>
      <c r="H2541" s="16">
        <f t="shared" ca="1" si="47"/>
        <v>6.1334947162817758E-3</v>
      </c>
    </row>
    <row r="2542" spans="7:8" x14ac:dyDescent="0.35">
      <c r="G2542" s="215">
        <v>2535</v>
      </c>
      <c r="H2542" s="16">
        <f t="shared" ca="1" si="47"/>
        <v>-4.6841439772172186E-3</v>
      </c>
    </row>
    <row r="2543" spans="7:8" x14ac:dyDescent="0.35">
      <c r="G2543" s="215">
        <v>2536</v>
      </c>
      <c r="H2543" s="16">
        <f t="shared" ca="1" si="47"/>
        <v>1.2339633284180088E-2</v>
      </c>
    </row>
    <row r="2544" spans="7:8" x14ac:dyDescent="0.35">
      <c r="G2544" s="215">
        <v>2537</v>
      </c>
      <c r="H2544" s="16">
        <f t="shared" ca="1" si="47"/>
        <v>6.6145110912870272E-2</v>
      </c>
    </row>
    <row r="2545" spans="7:8" x14ac:dyDescent="0.35">
      <c r="G2545" s="215">
        <v>2538</v>
      </c>
      <c r="H2545" s="16">
        <f t="shared" ca="1" si="47"/>
        <v>-4.2560674427478927E-3</v>
      </c>
    </row>
    <row r="2546" spans="7:8" x14ac:dyDescent="0.35">
      <c r="G2546" s="215">
        <v>2539</v>
      </c>
      <c r="H2546" s="16">
        <f t="shared" ca="1" si="47"/>
        <v>9.2026876688321116E-2</v>
      </c>
    </row>
    <row r="2547" spans="7:8" x14ac:dyDescent="0.35">
      <c r="G2547" s="215">
        <v>2540</v>
      </c>
      <c r="H2547" s="16">
        <f t="shared" ca="1" si="47"/>
        <v>-0.11948756653159195</v>
      </c>
    </row>
    <row r="2548" spans="7:8" x14ac:dyDescent="0.35">
      <c r="G2548" s="215">
        <v>2541</v>
      </c>
      <c r="H2548" s="16">
        <f t="shared" ca="1" si="47"/>
        <v>0.15196242620188513</v>
      </c>
    </row>
    <row r="2549" spans="7:8" x14ac:dyDescent="0.35">
      <c r="G2549" s="215">
        <v>2542</v>
      </c>
      <c r="H2549" s="16">
        <f t="shared" ca="1" si="47"/>
        <v>1.1685835813372512E-2</v>
      </c>
    </row>
    <row r="2550" spans="7:8" x14ac:dyDescent="0.35">
      <c r="G2550" s="215">
        <v>2543</v>
      </c>
      <c r="H2550" s="16">
        <f t="shared" ca="1" si="47"/>
        <v>-4.3103569031271466E-2</v>
      </c>
    </row>
    <row r="2551" spans="7:8" x14ac:dyDescent="0.35">
      <c r="G2551" s="215">
        <v>2544</v>
      </c>
      <c r="H2551" s="16">
        <f t="shared" ca="1" si="47"/>
        <v>3.6586900241771164E-2</v>
      </c>
    </row>
    <row r="2552" spans="7:8" x14ac:dyDescent="0.35">
      <c r="G2552" s="215">
        <v>2545</v>
      </c>
      <c r="H2552" s="16">
        <f t="shared" ca="1" si="47"/>
        <v>-0.12321900579151296</v>
      </c>
    </row>
    <row r="2553" spans="7:8" x14ac:dyDescent="0.35">
      <c r="G2553" s="215">
        <v>2546</v>
      </c>
      <c r="H2553" s="16">
        <f t="shared" ca="1" si="47"/>
        <v>0.12323494676347346</v>
      </c>
    </row>
    <row r="2554" spans="7:8" x14ac:dyDescent="0.35">
      <c r="G2554" s="215">
        <v>2547</v>
      </c>
      <c r="H2554" s="16">
        <f t="shared" ca="1" si="47"/>
        <v>0.11518398152454706</v>
      </c>
    </row>
    <row r="2555" spans="7:8" x14ac:dyDescent="0.35">
      <c r="G2555" s="215">
        <v>2548</v>
      </c>
      <c r="H2555" s="16">
        <f t="shared" ca="1" si="47"/>
        <v>3.0424658129924502E-2</v>
      </c>
    </row>
    <row r="2556" spans="7:8" x14ac:dyDescent="0.35">
      <c r="G2556" s="215">
        <v>2549</v>
      </c>
      <c r="H2556" s="16">
        <f t="shared" ca="1" si="47"/>
        <v>6.4411348718015252E-2</v>
      </c>
    </row>
    <row r="2557" spans="7:8" x14ac:dyDescent="0.35">
      <c r="G2557" s="215">
        <v>2550</v>
      </c>
      <c r="H2557" s="16">
        <f t="shared" ca="1" si="47"/>
        <v>4.5881414891143918E-2</v>
      </c>
    </row>
    <row r="2558" spans="7:8" x14ac:dyDescent="0.35">
      <c r="G2558" s="215">
        <v>2551</v>
      </c>
      <c r="H2558" s="16">
        <f t="shared" ca="1" si="47"/>
        <v>5.5320820351453248E-2</v>
      </c>
    </row>
    <row r="2559" spans="7:8" x14ac:dyDescent="0.35">
      <c r="G2559" s="215">
        <v>2552</v>
      </c>
      <c r="H2559" s="16">
        <f t="shared" ca="1" si="47"/>
        <v>0.16461086379970943</v>
      </c>
    </row>
    <row r="2560" spans="7:8" x14ac:dyDescent="0.35">
      <c r="G2560" s="215">
        <v>2553</v>
      </c>
      <c r="H2560" s="16">
        <f t="shared" ca="1" si="47"/>
        <v>0.12849487232295492</v>
      </c>
    </row>
    <row r="2561" spans="7:8" x14ac:dyDescent="0.35">
      <c r="G2561" s="215">
        <v>2554</v>
      </c>
      <c r="H2561" s="16">
        <f t="shared" ca="1" si="47"/>
        <v>2.3548369927773913E-2</v>
      </c>
    </row>
    <row r="2562" spans="7:8" x14ac:dyDescent="0.35">
      <c r="G2562" s="215">
        <v>2555</v>
      </c>
      <c r="H2562" s="16">
        <f t="shared" ca="1" si="47"/>
        <v>-6.6128777482710691E-2</v>
      </c>
    </row>
    <row r="2563" spans="7:8" x14ac:dyDescent="0.35">
      <c r="G2563" s="215">
        <v>2556</v>
      </c>
      <c r="H2563" s="16">
        <f t="shared" ca="1" si="47"/>
        <v>-8.164491745897165E-2</v>
      </c>
    </row>
    <row r="2564" spans="7:8" x14ac:dyDescent="0.35">
      <c r="G2564" s="215">
        <v>2557</v>
      </c>
      <c r="H2564" s="16">
        <f t="shared" ca="1" si="47"/>
        <v>4.2707831571978563E-2</v>
      </c>
    </row>
    <row r="2565" spans="7:8" x14ac:dyDescent="0.35">
      <c r="G2565" s="215">
        <v>2558</v>
      </c>
      <c r="H2565" s="16">
        <f t="shared" ca="1" si="47"/>
        <v>5.2582732053971404E-2</v>
      </c>
    </row>
    <row r="2566" spans="7:8" x14ac:dyDescent="0.35">
      <c r="G2566" s="215">
        <v>2559</v>
      </c>
      <c r="H2566" s="16">
        <f t="shared" ca="1" si="47"/>
        <v>3.004333164717991E-2</v>
      </c>
    </row>
    <row r="2567" spans="7:8" x14ac:dyDescent="0.35">
      <c r="G2567" s="215">
        <v>2560</v>
      </c>
      <c r="H2567" s="16">
        <f t="shared" ca="1" si="47"/>
        <v>1.6543643519091857E-2</v>
      </c>
    </row>
    <row r="2568" spans="7:8" x14ac:dyDescent="0.35">
      <c r="G2568" s="215">
        <v>2561</v>
      </c>
      <c r="H2568" s="16">
        <f t="shared" ref="H2568:H2631" ca="1" si="48">_xlfn.NORM.INV(RAND(),M$10,M$11)</f>
        <v>2.9444630824259473E-2</v>
      </c>
    </row>
    <row r="2569" spans="7:8" x14ac:dyDescent="0.35">
      <c r="G2569" s="215">
        <v>2562</v>
      </c>
      <c r="H2569" s="16">
        <f t="shared" ca="1" si="48"/>
        <v>-3.7739394847519175E-2</v>
      </c>
    </row>
    <row r="2570" spans="7:8" x14ac:dyDescent="0.35">
      <c r="G2570" s="215">
        <v>2563</v>
      </c>
      <c r="H2570" s="16">
        <f t="shared" ca="1" si="48"/>
        <v>-3.1664925021417295E-2</v>
      </c>
    </row>
    <row r="2571" spans="7:8" x14ac:dyDescent="0.35">
      <c r="G2571" s="215">
        <v>2564</v>
      </c>
      <c r="H2571" s="16">
        <f t="shared" ca="1" si="48"/>
        <v>2.7935424749282234E-2</v>
      </c>
    </row>
    <row r="2572" spans="7:8" x14ac:dyDescent="0.35">
      <c r="G2572" s="215">
        <v>2565</v>
      </c>
      <c r="H2572" s="16">
        <f t="shared" ca="1" si="48"/>
        <v>4.169407867942334E-2</v>
      </c>
    </row>
    <row r="2573" spans="7:8" x14ac:dyDescent="0.35">
      <c r="G2573" s="215">
        <v>2566</v>
      </c>
      <c r="H2573" s="16">
        <f t="shared" ca="1" si="48"/>
        <v>-5.8996711408718566E-2</v>
      </c>
    </row>
    <row r="2574" spans="7:8" x14ac:dyDescent="0.35">
      <c r="G2574" s="215">
        <v>2567</v>
      </c>
      <c r="H2574" s="16">
        <f t="shared" ca="1" si="48"/>
        <v>2.8413715116777174E-2</v>
      </c>
    </row>
    <row r="2575" spans="7:8" x14ac:dyDescent="0.35">
      <c r="G2575" s="215">
        <v>2568</v>
      </c>
      <c r="H2575" s="16">
        <f t="shared" ca="1" si="48"/>
        <v>5.424918954029169E-2</v>
      </c>
    </row>
    <row r="2576" spans="7:8" x14ac:dyDescent="0.35">
      <c r="G2576" s="215">
        <v>2569</v>
      </c>
      <c r="H2576" s="16">
        <f t="shared" ca="1" si="48"/>
        <v>5.0278238261150257E-2</v>
      </c>
    </row>
    <row r="2577" spans="7:8" x14ac:dyDescent="0.35">
      <c r="G2577" s="215">
        <v>2570</v>
      </c>
      <c r="H2577" s="16">
        <f t="shared" ca="1" si="48"/>
        <v>1.788696446733129E-4</v>
      </c>
    </row>
    <row r="2578" spans="7:8" x14ac:dyDescent="0.35">
      <c r="G2578" s="215">
        <v>2571</v>
      </c>
      <c r="H2578" s="16">
        <f t="shared" ca="1" si="48"/>
        <v>7.0604816185308922E-2</v>
      </c>
    </row>
    <row r="2579" spans="7:8" x14ac:dyDescent="0.35">
      <c r="G2579" s="215">
        <v>2572</v>
      </c>
      <c r="H2579" s="16">
        <f t="shared" ca="1" si="48"/>
        <v>5.6735525721710228E-2</v>
      </c>
    </row>
    <row r="2580" spans="7:8" x14ac:dyDescent="0.35">
      <c r="G2580" s="215">
        <v>2573</v>
      </c>
      <c r="H2580" s="16">
        <f t="shared" ca="1" si="48"/>
        <v>0.16651159431290924</v>
      </c>
    </row>
    <row r="2581" spans="7:8" x14ac:dyDescent="0.35">
      <c r="G2581" s="215">
        <v>2574</v>
      </c>
      <c r="H2581" s="16">
        <f t="shared" ca="1" si="48"/>
        <v>9.356161989994459E-2</v>
      </c>
    </row>
    <row r="2582" spans="7:8" x14ac:dyDescent="0.35">
      <c r="G2582" s="215">
        <v>2575</v>
      </c>
      <c r="H2582" s="16">
        <f t="shared" ca="1" si="48"/>
        <v>0.16895271503307141</v>
      </c>
    </row>
    <row r="2583" spans="7:8" x14ac:dyDescent="0.35">
      <c r="G2583" s="215">
        <v>2576</v>
      </c>
      <c r="H2583" s="16">
        <f t="shared" ca="1" si="48"/>
        <v>-3.2168759645345102E-2</v>
      </c>
    </row>
    <row r="2584" spans="7:8" x14ac:dyDescent="0.35">
      <c r="G2584" s="215">
        <v>2577</v>
      </c>
      <c r="H2584" s="16">
        <f t="shared" ca="1" si="48"/>
        <v>1.2418312206638129E-2</v>
      </c>
    </row>
    <row r="2585" spans="7:8" x14ac:dyDescent="0.35">
      <c r="G2585" s="215">
        <v>2578</v>
      </c>
      <c r="H2585" s="16">
        <f t="shared" ca="1" si="48"/>
        <v>-0.10078863122803276</v>
      </c>
    </row>
    <row r="2586" spans="7:8" x14ac:dyDescent="0.35">
      <c r="G2586" s="215">
        <v>2579</v>
      </c>
      <c r="H2586" s="16">
        <f t="shared" ca="1" si="48"/>
        <v>0.11527488594538871</v>
      </c>
    </row>
    <row r="2587" spans="7:8" x14ac:dyDescent="0.35">
      <c r="G2587" s="215">
        <v>2580</v>
      </c>
      <c r="H2587" s="16">
        <f t="shared" ca="1" si="48"/>
        <v>4.181063135933279E-3</v>
      </c>
    </row>
    <row r="2588" spans="7:8" x14ac:dyDescent="0.35">
      <c r="G2588" s="215">
        <v>2581</v>
      </c>
      <c r="H2588" s="16">
        <f t="shared" ca="1" si="48"/>
        <v>4.2233731152724871E-2</v>
      </c>
    </row>
    <row r="2589" spans="7:8" x14ac:dyDescent="0.35">
      <c r="G2589" s="215">
        <v>2582</v>
      </c>
      <c r="H2589" s="16">
        <f t="shared" ca="1" si="48"/>
        <v>-4.6562698976962927E-2</v>
      </c>
    </row>
    <row r="2590" spans="7:8" x14ac:dyDescent="0.35">
      <c r="G2590" s="215">
        <v>2583</v>
      </c>
      <c r="H2590" s="16">
        <f t="shared" ca="1" si="48"/>
        <v>-6.7522331852884476E-2</v>
      </c>
    </row>
    <row r="2591" spans="7:8" x14ac:dyDescent="0.35">
      <c r="G2591" s="215">
        <v>2584</v>
      </c>
      <c r="H2591" s="16">
        <f t="shared" ca="1" si="48"/>
        <v>3.6580757278349439E-2</v>
      </c>
    </row>
    <row r="2592" spans="7:8" x14ac:dyDescent="0.35">
      <c r="G2592" s="215">
        <v>2585</v>
      </c>
      <c r="H2592" s="16">
        <f t="shared" ca="1" si="48"/>
        <v>6.9987999673209275E-2</v>
      </c>
    </row>
    <row r="2593" spans="7:8" x14ac:dyDescent="0.35">
      <c r="G2593" s="215">
        <v>2586</v>
      </c>
      <c r="H2593" s="16">
        <f t="shared" ca="1" si="48"/>
        <v>-9.228325304782721E-2</v>
      </c>
    </row>
    <row r="2594" spans="7:8" x14ac:dyDescent="0.35">
      <c r="G2594" s="215">
        <v>2587</v>
      </c>
      <c r="H2594" s="16">
        <f t="shared" ca="1" si="48"/>
        <v>4.4776397105717153E-2</v>
      </c>
    </row>
    <row r="2595" spans="7:8" x14ac:dyDescent="0.35">
      <c r="G2595" s="215">
        <v>2588</v>
      </c>
      <c r="H2595" s="16">
        <f t="shared" ca="1" si="48"/>
        <v>-1.0224348150401592E-2</v>
      </c>
    </row>
    <row r="2596" spans="7:8" x14ac:dyDescent="0.35">
      <c r="G2596" s="215">
        <v>2589</v>
      </c>
      <c r="H2596" s="16">
        <f t="shared" ca="1" si="48"/>
        <v>9.0141154136378146E-3</v>
      </c>
    </row>
    <row r="2597" spans="7:8" x14ac:dyDescent="0.35">
      <c r="G2597" s="215">
        <v>2590</v>
      </c>
      <c r="H2597" s="16">
        <f t="shared" ca="1" si="48"/>
        <v>8.4150727164995096E-2</v>
      </c>
    </row>
    <row r="2598" spans="7:8" x14ac:dyDescent="0.35">
      <c r="G2598" s="215">
        <v>2591</v>
      </c>
      <c r="H2598" s="16">
        <f t="shared" ca="1" si="48"/>
        <v>4.798225260173751E-2</v>
      </c>
    </row>
    <row r="2599" spans="7:8" x14ac:dyDescent="0.35">
      <c r="G2599" s="215">
        <v>2592</v>
      </c>
      <c r="H2599" s="16">
        <f t="shared" ca="1" si="48"/>
        <v>9.9223510765788461E-2</v>
      </c>
    </row>
    <row r="2600" spans="7:8" x14ac:dyDescent="0.35">
      <c r="G2600" s="215">
        <v>2593</v>
      </c>
      <c r="H2600" s="16">
        <f t="shared" ca="1" si="48"/>
        <v>0.10347269171112526</v>
      </c>
    </row>
    <row r="2601" spans="7:8" x14ac:dyDescent="0.35">
      <c r="G2601" s="215">
        <v>2594</v>
      </c>
      <c r="H2601" s="16">
        <f t="shared" ca="1" si="48"/>
        <v>1.8911221306401174E-2</v>
      </c>
    </row>
    <row r="2602" spans="7:8" x14ac:dyDescent="0.35">
      <c r="G2602" s="215">
        <v>2595</v>
      </c>
      <c r="H2602" s="16">
        <f t="shared" ca="1" si="48"/>
        <v>-8.8054944606820604E-2</v>
      </c>
    </row>
    <row r="2603" spans="7:8" x14ac:dyDescent="0.35">
      <c r="G2603" s="215">
        <v>2596</v>
      </c>
      <c r="H2603" s="16">
        <f t="shared" ca="1" si="48"/>
        <v>-7.3037056072665099E-2</v>
      </c>
    </row>
    <row r="2604" spans="7:8" x14ac:dyDescent="0.35">
      <c r="G2604" s="215">
        <v>2597</v>
      </c>
      <c r="H2604" s="16">
        <f t="shared" ca="1" si="48"/>
        <v>-2.6705057519211973E-2</v>
      </c>
    </row>
    <row r="2605" spans="7:8" x14ac:dyDescent="0.35">
      <c r="G2605" s="215">
        <v>2598</v>
      </c>
      <c r="H2605" s="16">
        <f t="shared" ca="1" si="48"/>
        <v>7.0136995232481347E-2</v>
      </c>
    </row>
    <row r="2606" spans="7:8" x14ac:dyDescent="0.35">
      <c r="G2606" s="215">
        <v>2599</v>
      </c>
      <c r="H2606" s="16">
        <f t="shared" ca="1" si="48"/>
        <v>-9.9003372559999692E-2</v>
      </c>
    </row>
    <row r="2607" spans="7:8" x14ac:dyDescent="0.35">
      <c r="G2607" s="215">
        <v>2600</v>
      </c>
      <c r="H2607" s="16">
        <f t="shared" ca="1" si="48"/>
        <v>0.12710997349243691</v>
      </c>
    </row>
    <row r="2608" spans="7:8" x14ac:dyDescent="0.35">
      <c r="G2608" s="215">
        <v>2601</v>
      </c>
      <c r="H2608" s="16">
        <f t="shared" ca="1" si="48"/>
        <v>-1.1735609774057552E-2</v>
      </c>
    </row>
    <row r="2609" spans="7:8" x14ac:dyDescent="0.35">
      <c r="G2609" s="215">
        <v>2602</v>
      </c>
      <c r="H2609" s="16">
        <f t="shared" ca="1" si="48"/>
        <v>2.8909630005845784E-2</v>
      </c>
    </row>
    <row r="2610" spans="7:8" x14ac:dyDescent="0.35">
      <c r="G2610" s="215">
        <v>2603</v>
      </c>
      <c r="H2610" s="16">
        <f t="shared" ca="1" si="48"/>
        <v>0.10230282999697664</v>
      </c>
    </row>
    <row r="2611" spans="7:8" x14ac:dyDescent="0.35">
      <c r="G2611" s="215">
        <v>2604</v>
      </c>
      <c r="H2611" s="16">
        <f t="shared" ca="1" si="48"/>
        <v>4.7691870379266407E-2</v>
      </c>
    </row>
    <row r="2612" spans="7:8" x14ac:dyDescent="0.35">
      <c r="G2612" s="215">
        <v>2605</v>
      </c>
      <c r="H2612" s="16">
        <f t="shared" ca="1" si="48"/>
        <v>-9.7135525942731046E-2</v>
      </c>
    </row>
    <row r="2613" spans="7:8" x14ac:dyDescent="0.35">
      <c r="G2613" s="215">
        <v>2606</v>
      </c>
      <c r="H2613" s="16">
        <f t="shared" ca="1" si="48"/>
        <v>5.5127644190040542E-2</v>
      </c>
    </row>
    <row r="2614" spans="7:8" x14ac:dyDescent="0.35">
      <c r="G2614" s="215">
        <v>2607</v>
      </c>
      <c r="H2614" s="16">
        <f t="shared" ca="1" si="48"/>
        <v>-9.7512749049924061E-2</v>
      </c>
    </row>
    <row r="2615" spans="7:8" x14ac:dyDescent="0.35">
      <c r="G2615" s="215">
        <v>2608</v>
      </c>
      <c r="H2615" s="16">
        <f t="shared" ca="1" si="48"/>
        <v>4.0611446099889842E-2</v>
      </c>
    </row>
    <row r="2616" spans="7:8" x14ac:dyDescent="0.35">
      <c r="G2616" s="215">
        <v>2609</v>
      </c>
      <c r="H2616" s="16">
        <f t="shared" ca="1" si="48"/>
        <v>-4.3120473642033252E-2</v>
      </c>
    </row>
    <row r="2617" spans="7:8" x14ac:dyDescent="0.35">
      <c r="G2617" s="215">
        <v>2610</v>
      </c>
      <c r="H2617" s="16">
        <f t="shared" ca="1" si="48"/>
        <v>-4.4995104621773238E-2</v>
      </c>
    </row>
    <row r="2618" spans="7:8" x14ac:dyDescent="0.35">
      <c r="G2618" s="215">
        <v>2611</v>
      </c>
      <c r="H2618" s="16">
        <f t="shared" ca="1" si="48"/>
        <v>5.1272886122745009E-3</v>
      </c>
    </row>
    <row r="2619" spans="7:8" x14ac:dyDescent="0.35">
      <c r="G2619" s="215">
        <v>2612</v>
      </c>
      <c r="H2619" s="16">
        <f t="shared" ca="1" si="48"/>
        <v>1.1837229594702462E-2</v>
      </c>
    </row>
    <row r="2620" spans="7:8" x14ac:dyDescent="0.35">
      <c r="G2620" s="215">
        <v>2613</v>
      </c>
      <c r="H2620" s="16">
        <f t="shared" ca="1" si="48"/>
        <v>3.790937328756995E-3</v>
      </c>
    </row>
    <row r="2621" spans="7:8" x14ac:dyDescent="0.35">
      <c r="G2621" s="215">
        <v>2614</v>
      </c>
      <c r="H2621" s="16">
        <f t="shared" ca="1" si="48"/>
        <v>1.2865096621630386E-2</v>
      </c>
    </row>
    <row r="2622" spans="7:8" x14ac:dyDescent="0.35">
      <c r="G2622" s="215">
        <v>2615</v>
      </c>
      <c r="H2622" s="16">
        <f t="shared" ca="1" si="48"/>
        <v>5.0545276050746836E-3</v>
      </c>
    </row>
    <row r="2623" spans="7:8" x14ac:dyDescent="0.35">
      <c r="G2623" s="215">
        <v>2616</v>
      </c>
      <c r="H2623" s="16">
        <f t="shared" ca="1" si="48"/>
        <v>6.5945763270335106E-2</v>
      </c>
    </row>
    <row r="2624" spans="7:8" x14ac:dyDescent="0.35">
      <c r="G2624" s="215">
        <v>2617</v>
      </c>
      <c r="H2624" s="16">
        <f t="shared" ca="1" si="48"/>
        <v>-3.5162822096694774E-2</v>
      </c>
    </row>
    <row r="2625" spans="7:8" x14ac:dyDescent="0.35">
      <c r="G2625" s="215">
        <v>2618</v>
      </c>
      <c r="H2625" s="16">
        <f t="shared" ca="1" si="48"/>
        <v>-9.3663791544926184E-2</v>
      </c>
    </row>
    <row r="2626" spans="7:8" x14ac:dyDescent="0.35">
      <c r="G2626" s="215">
        <v>2619</v>
      </c>
      <c r="H2626" s="16">
        <f t="shared" ca="1" si="48"/>
        <v>2.1529767391406506E-2</v>
      </c>
    </row>
    <row r="2627" spans="7:8" x14ac:dyDescent="0.35">
      <c r="G2627" s="215">
        <v>2620</v>
      </c>
      <c r="H2627" s="16">
        <f t="shared" ca="1" si="48"/>
        <v>6.3271171169768839E-2</v>
      </c>
    </row>
    <row r="2628" spans="7:8" x14ac:dyDescent="0.35">
      <c r="G2628" s="215">
        <v>2621</v>
      </c>
      <c r="H2628" s="16">
        <f t="shared" ca="1" si="48"/>
        <v>0.10562220432666468</v>
      </c>
    </row>
    <row r="2629" spans="7:8" x14ac:dyDescent="0.35">
      <c r="G2629" s="215">
        <v>2622</v>
      </c>
      <c r="H2629" s="16">
        <f t="shared" ca="1" si="48"/>
        <v>1.1678361973948283E-2</v>
      </c>
    </row>
    <row r="2630" spans="7:8" x14ac:dyDescent="0.35">
      <c r="G2630" s="215">
        <v>2623</v>
      </c>
      <c r="H2630" s="16">
        <f t="shared" ca="1" si="48"/>
        <v>-0.1165183253298423</v>
      </c>
    </row>
    <row r="2631" spans="7:8" x14ac:dyDescent="0.35">
      <c r="G2631" s="215">
        <v>2624</v>
      </c>
      <c r="H2631" s="16">
        <f t="shared" ca="1" si="48"/>
        <v>-6.1335140311078992E-2</v>
      </c>
    </row>
    <row r="2632" spans="7:8" x14ac:dyDescent="0.35">
      <c r="G2632" s="215">
        <v>2625</v>
      </c>
      <c r="H2632" s="16">
        <f t="shared" ref="H2632:H2695" ca="1" si="49">_xlfn.NORM.INV(RAND(),M$10,M$11)</f>
        <v>5.1304903207377017E-2</v>
      </c>
    </row>
    <row r="2633" spans="7:8" x14ac:dyDescent="0.35">
      <c r="G2633" s="215">
        <v>2626</v>
      </c>
      <c r="H2633" s="16">
        <f t="shared" ca="1" si="49"/>
        <v>1.7805197660548718E-2</v>
      </c>
    </row>
    <row r="2634" spans="7:8" x14ac:dyDescent="0.35">
      <c r="G2634" s="215">
        <v>2627</v>
      </c>
      <c r="H2634" s="16">
        <f t="shared" ca="1" si="49"/>
        <v>2.6481460616075651E-3</v>
      </c>
    </row>
    <row r="2635" spans="7:8" x14ac:dyDescent="0.35">
      <c r="G2635" s="215">
        <v>2628</v>
      </c>
      <c r="H2635" s="16">
        <f t="shared" ca="1" si="49"/>
        <v>1.5352862644179687E-2</v>
      </c>
    </row>
    <row r="2636" spans="7:8" x14ac:dyDescent="0.35">
      <c r="G2636" s="215">
        <v>2629</v>
      </c>
      <c r="H2636" s="16">
        <f t="shared" ca="1" si="49"/>
        <v>4.6143387332957003E-2</v>
      </c>
    </row>
    <row r="2637" spans="7:8" x14ac:dyDescent="0.35">
      <c r="G2637" s="215">
        <v>2630</v>
      </c>
      <c r="H2637" s="16">
        <f t="shared" ca="1" si="49"/>
        <v>0.17002701932751937</v>
      </c>
    </row>
    <row r="2638" spans="7:8" x14ac:dyDescent="0.35">
      <c r="G2638" s="215">
        <v>2631</v>
      </c>
      <c r="H2638" s="16">
        <f t="shared" ca="1" si="49"/>
        <v>1.2404279101340152E-2</v>
      </c>
    </row>
    <row r="2639" spans="7:8" x14ac:dyDescent="0.35">
      <c r="G2639" s="215">
        <v>2632</v>
      </c>
      <c r="H2639" s="16">
        <f t="shared" ca="1" si="49"/>
        <v>2.237339579159258E-2</v>
      </c>
    </row>
    <row r="2640" spans="7:8" x14ac:dyDescent="0.35">
      <c r="G2640" s="215">
        <v>2633</v>
      </c>
      <c r="H2640" s="16">
        <f t="shared" ca="1" si="49"/>
        <v>-2.4818999227511008E-2</v>
      </c>
    </row>
    <row r="2641" spans="7:8" x14ac:dyDescent="0.35">
      <c r="G2641" s="215">
        <v>2634</v>
      </c>
      <c r="H2641" s="16">
        <f t="shared" ca="1" si="49"/>
        <v>6.2419589346134507E-2</v>
      </c>
    </row>
    <row r="2642" spans="7:8" x14ac:dyDescent="0.35">
      <c r="G2642" s="215">
        <v>2635</v>
      </c>
      <c r="H2642" s="16">
        <f t="shared" ca="1" si="49"/>
        <v>4.670357600246243E-2</v>
      </c>
    </row>
    <row r="2643" spans="7:8" x14ac:dyDescent="0.35">
      <c r="G2643" s="215">
        <v>2636</v>
      </c>
      <c r="H2643" s="16">
        <f t="shared" ca="1" si="49"/>
        <v>-3.2690824092697399E-2</v>
      </c>
    </row>
    <row r="2644" spans="7:8" x14ac:dyDescent="0.35">
      <c r="G2644" s="215">
        <v>2637</v>
      </c>
      <c r="H2644" s="16">
        <f t="shared" ca="1" si="49"/>
        <v>4.5046709461871975E-2</v>
      </c>
    </row>
    <row r="2645" spans="7:8" x14ac:dyDescent="0.35">
      <c r="G2645" s="215">
        <v>2638</v>
      </c>
      <c r="H2645" s="16">
        <f t="shared" ca="1" si="49"/>
        <v>-2.6600767523258715E-2</v>
      </c>
    </row>
    <row r="2646" spans="7:8" x14ac:dyDescent="0.35">
      <c r="G2646" s="215">
        <v>2639</v>
      </c>
      <c r="H2646" s="16">
        <f t="shared" ca="1" si="49"/>
        <v>0.15740280511662696</v>
      </c>
    </row>
    <row r="2647" spans="7:8" x14ac:dyDescent="0.35">
      <c r="G2647" s="215">
        <v>2640</v>
      </c>
      <c r="H2647" s="16">
        <f t="shared" ca="1" si="49"/>
        <v>-0.10696775704248399</v>
      </c>
    </row>
    <row r="2648" spans="7:8" x14ac:dyDescent="0.35">
      <c r="G2648" s="215">
        <v>2641</v>
      </c>
      <c r="H2648" s="16">
        <f t="shared" ca="1" si="49"/>
        <v>2.3739905233711146E-2</v>
      </c>
    </row>
    <row r="2649" spans="7:8" x14ac:dyDescent="0.35">
      <c r="G2649" s="215">
        <v>2642</v>
      </c>
      <c r="H2649" s="16">
        <f t="shared" ca="1" si="49"/>
        <v>0.1086086850416047</v>
      </c>
    </row>
    <row r="2650" spans="7:8" x14ac:dyDescent="0.35">
      <c r="G2650" s="215">
        <v>2643</v>
      </c>
      <c r="H2650" s="16">
        <f t="shared" ca="1" si="49"/>
        <v>-7.4232434231636703E-3</v>
      </c>
    </row>
    <row r="2651" spans="7:8" x14ac:dyDescent="0.35">
      <c r="G2651" s="215">
        <v>2644</v>
      </c>
      <c r="H2651" s="16">
        <f t="shared" ca="1" si="49"/>
        <v>1.9750205792215311E-2</v>
      </c>
    </row>
    <row r="2652" spans="7:8" x14ac:dyDescent="0.35">
      <c r="G2652" s="215">
        <v>2645</v>
      </c>
      <c r="H2652" s="16">
        <f t="shared" ca="1" si="49"/>
        <v>5.9910829878944319E-2</v>
      </c>
    </row>
    <row r="2653" spans="7:8" x14ac:dyDescent="0.35">
      <c r="G2653" s="215">
        <v>2646</v>
      </c>
      <c r="H2653" s="16">
        <f t="shared" ca="1" si="49"/>
        <v>1.2250349519244835E-3</v>
      </c>
    </row>
    <row r="2654" spans="7:8" x14ac:dyDescent="0.35">
      <c r="G2654" s="215">
        <v>2647</v>
      </c>
      <c r="H2654" s="16">
        <f t="shared" ca="1" si="49"/>
        <v>4.9674413997453995E-2</v>
      </c>
    </row>
    <row r="2655" spans="7:8" x14ac:dyDescent="0.35">
      <c r="G2655" s="215">
        <v>2648</v>
      </c>
      <c r="H2655" s="16">
        <f t="shared" ca="1" si="49"/>
        <v>2.1234625313474101E-2</v>
      </c>
    </row>
    <row r="2656" spans="7:8" x14ac:dyDescent="0.35">
      <c r="G2656" s="215">
        <v>2649</v>
      </c>
      <c r="H2656" s="16">
        <f t="shared" ca="1" si="49"/>
        <v>-7.4050505236766512E-2</v>
      </c>
    </row>
    <row r="2657" spans="7:8" x14ac:dyDescent="0.35">
      <c r="G2657" s="215">
        <v>2650</v>
      </c>
      <c r="H2657" s="16">
        <f t="shared" ca="1" si="49"/>
        <v>0.12371994193753587</v>
      </c>
    </row>
    <row r="2658" spans="7:8" x14ac:dyDescent="0.35">
      <c r="G2658" s="215">
        <v>2651</v>
      </c>
      <c r="H2658" s="16">
        <f t="shared" ca="1" si="49"/>
        <v>-6.0816472439015848E-2</v>
      </c>
    </row>
    <row r="2659" spans="7:8" x14ac:dyDescent="0.35">
      <c r="G2659" s="215">
        <v>2652</v>
      </c>
      <c r="H2659" s="16">
        <f t="shared" ca="1" si="49"/>
        <v>0.11836673219070644</v>
      </c>
    </row>
    <row r="2660" spans="7:8" x14ac:dyDescent="0.35">
      <c r="G2660" s="215">
        <v>2653</v>
      </c>
      <c r="H2660" s="16">
        <f t="shared" ca="1" si="49"/>
        <v>-2.0800241214335848E-2</v>
      </c>
    </row>
    <row r="2661" spans="7:8" x14ac:dyDescent="0.35">
      <c r="G2661" s="215">
        <v>2654</v>
      </c>
      <c r="H2661" s="16">
        <f t="shared" ca="1" si="49"/>
        <v>-2.4553016017434776E-2</v>
      </c>
    </row>
    <row r="2662" spans="7:8" x14ac:dyDescent="0.35">
      <c r="G2662" s="215">
        <v>2655</v>
      </c>
      <c r="H2662" s="16">
        <f t="shared" ca="1" si="49"/>
        <v>9.8366548339156326E-2</v>
      </c>
    </row>
    <row r="2663" spans="7:8" x14ac:dyDescent="0.35">
      <c r="G2663" s="215">
        <v>2656</v>
      </c>
      <c r="H2663" s="16">
        <f t="shared" ca="1" si="49"/>
        <v>6.3496900909508713E-2</v>
      </c>
    </row>
    <row r="2664" spans="7:8" x14ac:dyDescent="0.35">
      <c r="G2664" s="215">
        <v>2657</v>
      </c>
      <c r="H2664" s="16">
        <f t="shared" ca="1" si="49"/>
        <v>-0.23079298539667173</v>
      </c>
    </row>
    <row r="2665" spans="7:8" x14ac:dyDescent="0.35">
      <c r="G2665" s="215">
        <v>2658</v>
      </c>
      <c r="H2665" s="16">
        <f t="shared" ca="1" si="49"/>
        <v>-2.1144850914411806E-2</v>
      </c>
    </row>
    <row r="2666" spans="7:8" x14ac:dyDescent="0.35">
      <c r="G2666" s="215">
        <v>2659</v>
      </c>
      <c r="H2666" s="16">
        <f t="shared" ca="1" si="49"/>
        <v>-1.9865000114692433E-2</v>
      </c>
    </row>
    <row r="2667" spans="7:8" x14ac:dyDescent="0.35">
      <c r="G2667" s="215">
        <v>2660</v>
      </c>
      <c r="H2667" s="16">
        <f t="shared" ca="1" si="49"/>
        <v>-0.18531183478959981</v>
      </c>
    </row>
    <row r="2668" spans="7:8" x14ac:dyDescent="0.35">
      <c r="G2668" s="215">
        <v>2661</v>
      </c>
      <c r="H2668" s="16">
        <f t="shared" ca="1" si="49"/>
        <v>-3.6545684417254587E-3</v>
      </c>
    </row>
    <row r="2669" spans="7:8" x14ac:dyDescent="0.35">
      <c r="G2669" s="215">
        <v>2662</v>
      </c>
      <c r="H2669" s="16">
        <f t="shared" ca="1" si="49"/>
        <v>2.2930866103861872E-2</v>
      </c>
    </row>
    <row r="2670" spans="7:8" x14ac:dyDescent="0.35">
      <c r="G2670" s="215">
        <v>2663</v>
      </c>
      <c r="H2670" s="16">
        <f t="shared" ca="1" si="49"/>
        <v>0.13850863636897315</v>
      </c>
    </row>
    <row r="2671" spans="7:8" x14ac:dyDescent="0.35">
      <c r="G2671" s="215">
        <v>2664</v>
      </c>
      <c r="H2671" s="16">
        <f t="shared" ca="1" si="49"/>
        <v>4.1258771227954918E-2</v>
      </c>
    </row>
    <row r="2672" spans="7:8" x14ac:dyDescent="0.35">
      <c r="G2672" s="215">
        <v>2665</v>
      </c>
      <c r="H2672" s="16">
        <f t="shared" ca="1" si="49"/>
        <v>-5.5845893767018123E-2</v>
      </c>
    </row>
    <row r="2673" spans="7:8" x14ac:dyDescent="0.35">
      <c r="G2673" s="215">
        <v>2666</v>
      </c>
      <c r="H2673" s="16">
        <f t="shared" ca="1" si="49"/>
        <v>-0.13926091731140885</v>
      </c>
    </row>
    <row r="2674" spans="7:8" x14ac:dyDescent="0.35">
      <c r="G2674" s="215">
        <v>2667</v>
      </c>
      <c r="H2674" s="16">
        <f t="shared" ca="1" si="49"/>
        <v>6.0612430574104759E-2</v>
      </c>
    </row>
    <row r="2675" spans="7:8" x14ac:dyDescent="0.35">
      <c r="G2675" s="215">
        <v>2668</v>
      </c>
      <c r="H2675" s="16">
        <f t="shared" ca="1" si="49"/>
        <v>-2.7373383795529106E-2</v>
      </c>
    </row>
    <row r="2676" spans="7:8" x14ac:dyDescent="0.35">
      <c r="G2676" s="215">
        <v>2669</v>
      </c>
      <c r="H2676" s="16">
        <f t="shared" ca="1" si="49"/>
        <v>3.9401781177603047E-2</v>
      </c>
    </row>
    <row r="2677" spans="7:8" x14ac:dyDescent="0.35">
      <c r="G2677" s="215">
        <v>2670</v>
      </c>
      <c r="H2677" s="16">
        <f t="shared" ca="1" si="49"/>
        <v>0.13008675415078122</v>
      </c>
    </row>
    <row r="2678" spans="7:8" x14ac:dyDescent="0.35">
      <c r="G2678" s="215">
        <v>2671</v>
      </c>
      <c r="H2678" s="16">
        <f t="shared" ca="1" si="49"/>
        <v>5.4333429156945903E-2</v>
      </c>
    </row>
    <row r="2679" spans="7:8" x14ac:dyDescent="0.35">
      <c r="G2679" s="215">
        <v>2672</v>
      </c>
      <c r="H2679" s="16">
        <f t="shared" ca="1" si="49"/>
        <v>7.436964764033159E-2</v>
      </c>
    </row>
    <row r="2680" spans="7:8" x14ac:dyDescent="0.35">
      <c r="G2680" s="215">
        <v>2673</v>
      </c>
      <c r="H2680" s="16">
        <f t="shared" ca="1" si="49"/>
        <v>-2.8774610193809304E-2</v>
      </c>
    </row>
    <row r="2681" spans="7:8" x14ac:dyDescent="0.35">
      <c r="G2681" s="215">
        <v>2674</v>
      </c>
      <c r="H2681" s="16">
        <f t="shared" ca="1" si="49"/>
        <v>-4.3575111447787224E-2</v>
      </c>
    </row>
    <row r="2682" spans="7:8" x14ac:dyDescent="0.35">
      <c r="G2682" s="215">
        <v>2675</v>
      </c>
      <c r="H2682" s="16">
        <f t="shared" ca="1" si="49"/>
        <v>-4.3420778804138638E-2</v>
      </c>
    </row>
    <row r="2683" spans="7:8" x14ac:dyDescent="0.35">
      <c r="G2683" s="215">
        <v>2676</v>
      </c>
      <c r="H2683" s="16">
        <f t="shared" ca="1" si="49"/>
        <v>0.16911877707363696</v>
      </c>
    </row>
    <row r="2684" spans="7:8" x14ac:dyDescent="0.35">
      <c r="G2684" s="215">
        <v>2677</v>
      </c>
      <c r="H2684" s="16">
        <f t="shared" ca="1" si="49"/>
        <v>0.12276420985111651</v>
      </c>
    </row>
    <row r="2685" spans="7:8" x14ac:dyDescent="0.35">
      <c r="G2685" s="215">
        <v>2678</v>
      </c>
      <c r="H2685" s="16">
        <f t="shared" ca="1" si="49"/>
        <v>1.7982497925867404E-2</v>
      </c>
    </row>
    <row r="2686" spans="7:8" x14ac:dyDescent="0.35">
      <c r="G2686" s="215">
        <v>2679</v>
      </c>
      <c r="H2686" s="16">
        <f t="shared" ca="1" si="49"/>
        <v>6.5624489337525918E-2</v>
      </c>
    </row>
    <row r="2687" spans="7:8" x14ac:dyDescent="0.35">
      <c r="G2687" s="215">
        <v>2680</v>
      </c>
      <c r="H2687" s="16">
        <f t="shared" ca="1" si="49"/>
        <v>-3.3528465872680005E-2</v>
      </c>
    </row>
    <row r="2688" spans="7:8" x14ac:dyDescent="0.35">
      <c r="G2688" s="215">
        <v>2681</v>
      </c>
      <c r="H2688" s="16">
        <f t="shared" ca="1" si="49"/>
        <v>5.6066109827573721E-2</v>
      </c>
    </row>
    <row r="2689" spans="7:8" x14ac:dyDescent="0.35">
      <c r="G2689" s="215">
        <v>2682</v>
      </c>
      <c r="H2689" s="16">
        <f t="shared" ca="1" si="49"/>
        <v>5.9723943811429744E-2</v>
      </c>
    </row>
    <row r="2690" spans="7:8" x14ac:dyDescent="0.35">
      <c r="G2690" s="215">
        <v>2683</v>
      </c>
      <c r="H2690" s="16">
        <f t="shared" ca="1" si="49"/>
        <v>-2.0168007882991525E-3</v>
      </c>
    </row>
    <row r="2691" spans="7:8" x14ac:dyDescent="0.35">
      <c r="G2691" s="215">
        <v>2684</v>
      </c>
      <c r="H2691" s="16">
        <f t="shared" ca="1" si="49"/>
        <v>-4.9592148492950211E-2</v>
      </c>
    </row>
    <row r="2692" spans="7:8" x14ac:dyDescent="0.35">
      <c r="G2692" s="215">
        <v>2685</v>
      </c>
      <c r="H2692" s="16">
        <f t="shared" ca="1" si="49"/>
        <v>-4.4001408413345836E-2</v>
      </c>
    </row>
    <row r="2693" spans="7:8" x14ac:dyDescent="0.35">
      <c r="G2693" s="215">
        <v>2686</v>
      </c>
      <c r="H2693" s="16">
        <f t="shared" ca="1" si="49"/>
        <v>-6.1137579114040649E-2</v>
      </c>
    </row>
    <row r="2694" spans="7:8" x14ac:dyDescent="0.35">
      <c r="G2694" s="215">
        <v>2687</v>
      </c>
      <c r="H2694" s="16">
        <f t="shared" ca="1" si="49"/>
        <v>-0.1159802872018818</v>
      </c>
    </row>
    <row r="2695" spans="7:8" x14ac:dyDescent="0.35">
      <c r="G2695" s="215">
        <v>2688</v>
      </c>
      <c r="H2695" s="16">
        <f t="shared" ca="1" si="49"/>
        <v>2.5805726849775942E-2</v>
      </c>
    </row>
    <row r="2696" spans="7:8" x14ac:dyDescent="0.35">
      <c r="G2696" s="215">
        <v>2689</v>
      </c>
      <c r="H2696" s="16">
        <f t="shared" ref="H2696:H2759" ca="1" si="50">_xlfn.NORM.INV(RAND(),M$10,M$11)</f>
        <v>0.10231927858619801</v>
      </c>
    </row>
    <row r="2697" spans="7:8" x14ac:dyDescent="0.35">
      <c r="G2697" s="215">
        <v>2690</v>
      </c>
      <c r="H2697" s="16">
        <f t="shared" ca="1" si="50"/>
        <v>2.5918589450471638E-2</v>
      </c>
    </row>
    <row r="2698" spans="7:8" x14ac:dyDescent="0.35">
      <c r="G2698" s="215">
        <v>2691</v>
      </c>
      <c r="H2698" s="16">
        <f t="shared" ca="1" si="50"/>
        <v>-0.13674911716760765</v>
      </c>
    </row>
    <row r="2699" spans="7:8" x14ac:dyDescent="0.35">
      <c r="G2699" s="215">
        <v>2692</v>
      </c>
      <c r="H2699" s="16">
        <f t="shared" ca="1" si="50"/>
        <v>2.1347654117334941E-2</v>
      </c>
    </row>
    <row r="2700" spans="7:8" x14ac:dyDescent="0.35">
      <c r="G2700" s="215">
        <v>2693</v>
      </c>
      <c r="H2700" s="16">
        <f t="shared" ca="1" si="50"/>
        <v>-4.8153265946883558E-3</v>
      </c>
    </row>
    <row r="2701" spans="7:8" x14ac:dyDescent="0.35">
      <c r="G2701" s="215">
        <v>2694</v>
      </c>
      <c r="H2701" s="16">
        <f t="shared" ca="1" si="50"/>
        <v>2.8656141292994604E-2</v>
      </c>
    </row>
    <row r="2702" spans="7:8" x14ac:dyDescent="0.35">
      <c r="G2702" s="215">
        <v>2695</v>
      </c>
      <c r="H2702" s="16">
        <f t="shared" ca="1" si="50"/>
        <v>5.8526004160569745E-2</v>
      </c>
    </row>
    <row r="2703" spans="7:8" x14ac:dyDescent="0.35">
      <c r="G2703" s="215">
        <v>2696</v>
      </c>
      <c r="H2703" s="16">
        <f t="shared" ca="1" si="50"/>
        <v>-0.11814949241823627</v>
      </c>
    </row>
    <row r="2704" spans="7:8" x14ac:dyDescent="0.35">
      <c r="G2704" s="215">
        <v>2697</v>
      </c>
      <c r="H2704" s="16">
        <f t="shared" ca="1" si="50"/>
        <v>-0.19194995247458399</v>
      </c>
    </row>
    <row r="2705" spans="7:8" x14ac:dyDescent="0.35">
      <c r="G2705" s="215">
        <v>2698</v>
      </c>
      <c r="H2705" s="16">
        <f t="shared" ca="1" si="50"/>
        <v>-1.2741828821277678E-2</v>
      </c>
    </row>
    <row r="2706" spans="7:8" x14ac:dyDescent="0.35">
      <c r="G2706" s="215">
        <v>2699</v>
      </c>
      <c r="H2706" s="16">
        <f t="shared" ca="1" si="50"/>
        <v>-5.4906819967342549E-2</v>
      </c>
    </row>
    <row r="2707" spans="7:8" x14ac:dyDescent="0.35">
      <c r="G2707" s="215">
        <v>2700</v>
      </c>
      <c r="H2707" s="16">
        <f t="shared" ca="1" si="50"/>
        <v>-1.8813401317382416E-2</v>
      </c>
    </row>
    <row r="2708" spans="7:8" x14ac:dyDescent="0.35">
      <c r="G2708" s="215">
        <v>2701</v>
      </c>
      <c r="H2708" s="16">
        <f t="shared" ca="1" si="50"/>
        <v>9.8437655926924023E-2</v>
      </c>
    </row>
    <row r="2709" spans="7:8" x14ac:dyDescent="0.35">
      <c r="G2709" s="215">
        <v>2702</v>
      </c>
      <c r="H2709" s="16">
        <f t="shared" ca="1" si="50"/>
        <v>6.9144733757474271E-3</v>
      </c>
    </row>
    <row r="2710" spans="7:8" x14ac:dyDescent="0.35">
      <c r="G2710" s="215">
        <v>2703</v>
      </c>
      <c r="H2710" s="16">
        <f t="shared" ca="1" si="50"/>
        <v>-8.2610519891759562E-2</v>
      </c>
    </row>
    <row r="2711" spans="7:8" x14ac:dyDescent="0.35">
      <c r="G2711" s="215">
        <v>2704</v>
      </c>
      <c r="H2711" s="16">
        <f t="shared" ca="1" si="50"/>
        <v>-3.0108909257539635E-2</v>
      </c>
    </row>
    <row r="2712" spans="7:8" x14ac:dyDescent="0.35">
      <c r="G2712" s="215">
        <v>2705</v>
      </c>
      <c r="H2712" s="16">
        <f t="shared" ca="1" si="50"/>
        <v>1.4676352799932128E-2</v>
      </c>
    </row>
    <row r="2713" spans="7:8" x14ac:dyDescent="0.35">
      <c r="G2713" s="215">
        <v>2706</v>
      </c>
      <c r="H2713" s="16">
        <f t="shared" ca="1" si="50"/>
        <v>-4.7346505854412163E-2</v>
      </c>
    </row>
    <row r="2714" spans="7:8" x14ac:dyDescent="0.35">
      <c r="G2714" s="215">
        <v>2707</v>
      </c>
      <c r="H2714" s="16">
        <f t="shared" ca="1" si="50"/>
        <v>-6.6383770518831965E-4</v>
      </c>
    </row>
    <row r="2715" spans="7:8" x14ac:dyDescent="0.35">
      <c r="G2715" s="215">
        <v>2708</v>
      </c>
      <c r="H2715" s="16">
        <f t="shared" ca="1" si="50"/>
        <v>5.4513096828063878E-2</v>
      </c>
    </row>
    <row r="2716" spans="7:8" x14ac:dyDescent="0.35">
      <c r="G2716" s="215">
        <v>2709</v>
      </c>
      <c r="H2716" s="16">
        <f t="shared" ca="1" si="50"/>
        <v>1.4687463825970212E-2</v>
      </c>
    </row>
    <row r="2717" spans="7:8" x14ac:dyDescent="0.35">
      <c r="G2717" s="215">
        <v>2710</v>
      </c>
      <c r="H2717" s="16">
        <f t="shared" ca="1" si="50"/>
        <v>-2.9323055440553598E-2</v>
      </c>
    </row>
    <row r="2718" spans="7:8" x14ac:dyDescent="0.35">
      <c r="G2718" s="215">
        <v>2711</v>
      </c>
      <c r="H2718" s="16">
        <f t="shared" ca="1" si="50"/>
        <v>1.5914921006529765E-2</v>
      </c>
    </row>
    <row r="2719" spans="7:8" x14ac:dyDescent="0.35">
      <c r="G2719" s="215">
        <v>2712</v>
      </c>
      <c r="H2719" s="16">
        <f t="shared" ca="1" si="50"/>
        <v>-4.2710365882710544E-2</v>
      </c>
    </row>
    <row r="2720" spans="7:8" x14ac:dyDescent="0.35">
      <c r="G2720" s="215">
        <v>2713</v>
      </c>
      <c r="H2720" s="16">
        <f t="shared" ca="1" si="50"/>
        <v>9.6409221265341648E-3</v>
      </c>
    </row>
    <row r="2721" spans="7:8" x14ac:dyDescent="0.35">
      <c r="G2721" s="215">
        <v>2714</v>
      </c>
      <c r="H2721" s="16">
        <f t="shared" ca="1" si="50"/>
        <v>6.4979693263808522E-2</v>
      </c>
    </row>
    <row r="2722" spans="7:8" x14ac:dyDescent="0.35">
      <c r="G2722" s="215">
        <v>2715</v>
      </c>
      <c r="H2722" s="16">
        <f t="shared" ca="1" si="50"/>
        <v>1.3624605891707619E-2</v>
      </c>
    </row>
    <row r="2723" spans="7:8" x14ac:dyDescent="0.35">
      <c r="G2723" s="215">
        <v>2716</v>
      </c>
      <c r="H2723" s="16">
        <f t="shared" ca="1" si="50"/>
        <v>2.0034195747410173E-2</v>
      </c>
    </row>
    <row r="2724" spans="7:8" x14ac:dyDescent="0.35">
      <c r="G2724" s="215">
        <v>2717</v>
      </c>
      <c r="H2724" s="16">
        <f t="shared" ca="1" si="50"/>
        <v>1.2570565437818421E-2</v>
      </c>
    </row>
    <row r="2725" spans="7:8" x14ac:dyDescent="0.35">
      <c r="G2725" s="215">
        <v>2718</v>
      </c>
      <c r="H2725" s="16">
        <f t="shared" ca="1" si="50"/>
        <v>-2.9036703436391895E-2</v>
      </c>
    </row>
    <row r="2726" spans="7:8" x14ac:dyDescent="0.35">
      <c r="G2726" s="215">
        <v>2719</v>
      </c>
      <c r="H2726" s="16">
        <f t="shared" ca="1" si="50"/>
        <v>3.0928355859564282E-2</v>
      </c>
    </row>
    <row r="2727" spans="7:8" x14ac:dyDescent="0.35">
      <c r="G2727" s="215">
        <v>2720</v>
      </c>
      <c r="H2727" s="16">
        <f t="shared" ca="1" si="50"/>
        <v>0.12972099689567759</v>
      </c>
    </row>
    <row r="2728" spans="7:8" x14ac:dyDescent="0.35">
      <c r="G2728" s="215">
        <v>2721</v>
      </c>
      <c r="H2728" s="16">
        <f t="shared" ca="1" si="50"/>
        <v>6.7056481892640685E-2</v>
      </c>
    </row>
    <row r="2729" spans="7:8" x14ac:dyDescent="0.35">
      <c r="G2729" s="215">
        <v>2722</v>
      </c>
      <c r="H2729" s="16">
        <f t="shared" ca="1" si="50"/>
        <v>1.3072716620682882E-2</v>
      </c>
    </row>
    <row r="2730" spans="7:8" x14ac:dyDescent="0.35">
      <c r="G2730" s="215">
        <v>2723</v>
      </c>
      <c r="H2730" s="16">
        <f t="shared" ca="1" si="50"/>
        <v>-1.518733229190437E-2</v>
      </c>
    </row>
    <row r="2731" spans="7:8" x14ac:dyDescent="0.35">
      <c r="G2731" s="215">
        <v>2724</v>
      </c>
      <c r="H2731" s="16">
        <f t="shared" ca="1" si="50"/>
        <v>-0.12402510134510641</v>
      </c>
    </row>
    <row r="2732" spans="7:8" x14ac:dyDescent="0.35">
      <c r="G2732" s="215">
        <v>2725</v>
      </c>
      <c r="H2732" s="16">
        <f t="shared" ca="1" si="50"/>
        <v>-7.763066447120183E-2</v>
      </c>
    </row>
    <row r="2733" spans="7:8" x14ac:dyDescent="0.35">
      <c r="G2733" s="215">
        <v>2726</v>
      </c>
      <c r="H2733" s="16">
        <f t="shared" ca="1" si="50"/>
        <v>-2.4118319127855194E-2</v>
      </c>
    </row>
    <row r="2734" spans="7:8" x14ac:dyDescent="0.35">
      <c r="G2734" s="215">
        <v>2727</v>
      </c>
      <c r="H2734" s="16">
        <f t="shared" ca="1" si="50"/>
        <v>-0.13033878268234114</v>
      </c>
    </row>
    <row r="2735" spans="7:8" x14ac:dyDescent="0.35">
      <c r="G2735" s="215">
        <v>2728</v>
      </c>
      <c r="H2735" s="16">
        <f t="shared" ca="1" si="50"/>
        <v>0.17507522301907877</v>
      </c>
    </row>
    <row r="2736" spans="7:8" x14ac:dyDescent="0.35">
      <c r="G2736" s="215">
        <v>2729</v>
      </c>
      <c r="H2736" s="16">
        <f t="shared" ca="1" si="50"/>
        <v>2.0673273446754209E-3</v>
      </c>
    </row>
    <row r="2737" spans="7:8" x14ac:dyDescent="0.35">
      <c r="G2737" s="215">
        <v>2730</v>
      </c>
      <c r="H2737" s="16">
        <f t="shared" ca="1" si="50"/>
        <v>-5.7531165537791612E-2</v>
      </c>
    </row>
    <row r="2738" spans="7:8" x14ac:dyDescent="0.35">
      <c r="G2738" s="215">
        <v>2731</v>
      </c>
      <c r="H2738" s="16">
        <f t="shared" ca="1" si="50"/>
        <v>-5.1609783914724622E-2</v>
      </c>
    </row>
    <row r="2739" spans="7:8" x14ac:dyDescent="0.35">
      <c r="G2739" s="215">
        <v>2732</v>
      </c>
      <c r="H2739" s="16">
        <f t="shared" ca="1" si="50"/>
        <v>4.0257104879412656E-2</v>
      </c>
    </row>
    <row r="2740" spans="7:8" x14ac:dyDescent="0.35">
      <c r="G2740" s="215">
        <v>2733</v>
      </c>
      <c r="H2740" s="16">
        <f t="shared" ca="1" si="50"/>
        <v>-4.0604963664974694E-2</v>
      </c>
    </row>
    <row r="2741" spans="7:8" x14ac:dyDescent="0.35">
      <c r="G2741" s="215">
        <v>2734</v>
      </c>
      <c r="H2741" s="16">
        <f t="shared" ca="1" si="50"/>
        <v>-9.2630226414965655E-2</v>
      </c>
    </row>
    <row r="2742" spans="7:8" x14ac:dyDescent="0.35">
      <c r="G2742" s="215">
        <v>2735</v>
      </c>
      <c r="H2742" s="16">
        <f t="shared" ca="1" si="50"/>
        <v>-1.8973752333565744E-2</v>
      </c>
    </row>
    <row r="2743" spans="7:8" x14ac:dyDescent="0.35">
      <c r="G2743" s="215">
        <v>2736</v>
      </c>
      <c r="H2743" s="16">
        <f t="shared" ca="1" si="50"/>
        <v>-0.10194351186827987</v>
      </c>
    </row>
    <row r="2744" spans="7:8" x14ac:dyDescent="0.35">
      <c r="G2744" s="215">
        <v>2737</v>
      </c>
      <c r="H2744" s="16">
        <f t="shared" ca="1" si="50"/>
        <v>-0.12109421857565483</v>
      </c>
    </row>
    <row r="2745" spans="7:8" x14ac:dyDescent="0.35">
      <c r="G2745" s="215">
        <v>2738</v>
      </c>
      <c r="H2745" s="16">
        <f t="shared" ca="1" si="50"/>
        <v>5.8920477566598725E-2</v>
      </c>
    </row>
    <row r="2746" spans="7:8" x14ac:dyDescent="0.35">
      <c r="G2746" s="215">
        <v>2739</v>
      </c>
      <c r="H2746" s="16">
        <f t="shared" ca="1" si="50"/>
        <v>-3.5929739633406232E-2</v>
      </c>
    </row>
    <row r="2747" spans="7:8" x14ac:dyDescent="0.35">
      <c r="G2747" s="215">
        <v>2740</v>
      </c>
      <c r="H2747" s="16">
        <f t="shared" ca="1" si="50"/>
        <v>-2.2495535403010098E-2</v>
      </c>
    </row>
    <row r="2748" spans="7:8" x14ac:dyDescent="0.35">
      <c r="G2748" s="215">
        <v>2741</v>
      </c>
      <c r="H2748" s="16">
        <f t="shared" ca="1" si="50"/>
        <v>-2.2267136774565332E-2</v>
      </c>
    </row>
    <row r="2749" spans="7:8" x14ac:dyDescent="0.35">
      <c r="G2749" s="215">
        <v>2742</v>
      </c>
      <c r="H2749" s="16">
        <f t="shared" ca="1" si="50"/>
        <v>0.14416323580529292</v>
      </c>
    </row>
    <row r="2750" spans="7:8" x14ac:dyDescent="0.35">
      <c r="G2750" s="215">
        <v>2743</v>
      </c>
      <c r="H2750" s="16">
        <f t="shared" ca="1" si="50"/>
        <v>-5.7663062037472568E-2</v>
      </c>
    </row>
    <row r="2751" spans="7:8" x14ac:dyDescent="0.35">
      <c r="G2751" s="215">
        <v>2744</v>
      </c>
      <c r="H2751" s="16">
        <f t="shared" ca="1" si="50"/>
        <v>4.3261152355754971E-2</v>
      </c>
    </row>
    <row r="2752" spans="7:8" x14ac:dyDescent="0.35">
      <c r="G2752" s="215">
        <v>2745</v>
      </c>
      <c r="H2752" s="16">
        <f t="shared" ca="1" si="50"/>
        <v>4.1920689227081184E-3</v>
      </c>
    </row>
    <row r="2753" spans="7:8" x14ac:dyDescent="0.35">
      <c r="G2753" s="215">
        <v>2746</v>
      </c>
      <c r="H2753" s="16">
        <f t="shared" ca="1" si="50"/>
        <v>0.16433717137495568</v>
      </c>
    </row>
    <row r="2754" spans="7:8" x14ac:dyDescent="0.35">
      <c r="G2754" s="215">
        <v>2747</v>
      </c>
      <c r="H2754" s="16">
        <f t="shared" ca="1" si="50"/>
        <v>0.16628650402920356</v>
      </c>
    </row>
    <row r="2755" spans="7:8" x14ac:dyDescent="0.35">
      <c r="G2755" s="215">
        <v>2748</v>
      </c>
      <c r="H2755" s="16">
        <f t="shared" ca="1" si="50"/>
        <v>-2.8056868780024224E-3</v>
      </c>
    </row>
    <row r="2756" spans="7:8" x14ac:dyDescent="0.35">
      <c r="G2756" s="215">
        <v>2749</v>
      </c>
      <c r="H2756" s="16">
        <f t="shared" ca="1" si="50"/>
        <v>-2.1466355242777981E-2</v>
      </c>
    </row>
    <row r="2757" spans="7:8" x14ac:dyDescent="0.35">
      <c r="G2757" s="215">
        <v>2750</v>
      </c>
      <c r="H2757" s="16">
        <f t="shared" ca="1" si="50"/>
        <v>3.1732620077192977E-2</v>
      </c>
    </row>
    <row r="2758" spans="7:8" x14ac:dyDescent="0.35">
      <c r="G2758" s="215">
        <v>2751</v>
      </c>
      <c r="H2758" s="16">
        <f t="shared" ca="1" si="50"/>
        <v>2.0402073072922078E-2</v>
      </c>
    </row>
    <row r="2759" spans="7:8" x14ac:dyDescent="0.35">
      <c r="G2759" s="215">
        <v>2752</v>
      </c>
      <c r="H2759" s="16">
        <f t="shared" ca="1" si="50"/>
        <v>3.0689805082921486E-2</v>
      </c>
    </row>
    <row r="2760" spans="7:8" x14ac:dyDescent="0.35">
      <c r="G2760" s="215">
        <v>2753</v>
      </c>
      <c r="H2760" s="16">
        <f t="shared" ref="H2760:H2823" ca="1" si="51">_xlfn.NORM.INV(RAND(),M$10,M$11)</f>
        <v>0.14933144696816569</v>
      </c>
    </row>
    <row r="2761" spans="7:8" x14ac:dyDescent="0.35">
      <c r="G2761" s="215">
        <v>2754</v>
      </c>
      <c r="H2761" s="16">
        <f t="shared" ca="1" si="51"/>
        <v>-0.1324618189636744</v>
      </c>
    </row>
    <row r="2762" spans="7:8" x14ac:dyDescent="0.35">
      <c r="G2762" s="215">
        <v>2755</v>
      </c>
      <c r="H2762" s="16">
        <f t="shared" ca="1" si="51"/>
        <v>6.6101180332772458E-2</v>
      </c>
    </row>
    <row r="2763" spans="7:8" x14ac:dyDescent="0.35">
      <c r="G2763" s="215">
        <v>2756</v>
      </c>
      <c r="H2763" s="16">
        <f t="shared" ca="1" si="51"/>
        <v>-8.0658174748570594E-3</v>
      </c>
    </row>
    <row r="2764" spans="7:8" x14ac:dyDescent="0.35">
      <c r="G2764" s="215">
        <v>2757</v>
      </c>
      <c r="H2764" s="16">
        <f t="shared" ca="1" si="51"/>
        <v>8.0497976705743962E-2</v>
      </c>
    </row>
    <row r="2765" spans="7:8" x14ac:dyDescent="0.35">
      <c r="G2765" s="215">
        <v>2758</v>
      </c>
      <c r="H2765" s="16">
        <f t="shared" ca="1" si="51"/>
        <v>-0.15466747705467113</v>
      </c>
    </row>
    <row r="2766" spans="7:8" x14ac:dyDescent="0.35">
      <c r="G2766" s="215">
        <v>2759</v>
      </c>
      <c r="H2766" s="16">
        <f t="shared" ca="1" si="51"/>
        <v>4.1162116679711869E-3</v>
      </c>
    </row>
    <row r="2767" spans="7:8" x14ac:dyDescent="0.35">
      <c r="G2767" s="215">
        <v>2760</v>
      </c>
      <c r="H2767" s="16">
        <f t="shared" ca="1" si="51"/>
        <v>7.0895193664902781E-2</v>
      </c>
    </row>
    <row r="2768" spans="7:8" x14ac:dyDescent="0.35">
      <c r="G2768" s="215">
        <v>2761</v>
      </c>
      <c r="H2768" s="16">
        <f t="shared" ca="1" si="51"/>
        <v>9.210865554763964E-2</v>
      </c>
    </row>
    <row r="2769" spans="7:8" x14ac:dyDescent="0.35">
      <c r="G2769" s="215">
        <v>2762</v>
      </c>
      <c r="H2769" s="16">
        <f t="shared" ca="1" si="51"/>
        <v>-2.8582706292507223E-2</v>
      </c>
    </row>
    <row r="2770" spans="7:8" x14ac:dyDescent="0.35">
      <c r="G2770" s="215">
        <v>2763</v>
      </c>
      <c r="H2770" s="16">
        <f t="shared" ca="1" si="51"/>
        <v>-0.12199351784441276</v>
      </c>
    </row>
    <row r="2771" spans="7:8" x14ac:dyDescent="0.35">
      <c r="G2771" s="215">
        <v>2764</v>
      </c>
      <c r="H2771" s="16">
        <f t="shared" ca="1" si="51"/>
        <v>2.6455256179235727E-2</v>
      </c>
    </row>
    <row r="2772" spans="7:8" x14ac:dyDescent="0.35">
      <c r="G2772" s="215">
        <v>2765</v>
      </c>
      <c r="H2772" s="16">
        <f t="shared" ca="1" si="51"/>
        <v>0.27333439468657394</v>
      </c>
    </row>
    <row r="2773" spans="7:8" x14ac:dyDescent="0.35">
      <c r="G2773" s="215">
        <v>2766</v>
      </c>
      <c r="H2773" s="16">
        <f t="shared" ca="1" si="51"/>
        <v>-3.7418131547976796E-2</v>
      </c>
    </row>
    <row r="2774" spans="7:8" x14ac:dyDescent="0.35">
      <c r="G2774" s="215">
        <v>2767</v>
      </c>
      <c r="H2774" s="16">
        <f t="shared" ca="1" si="51"/>
        <v>2.0018629933176293E-2</v>
      </c>
    </row>
    <row r="2775" spans="7:8" x14ac:dyDescent="0.35">
      <c r="G2775" s="215">
        <v>2768</v>
      </c>
      <c r="H2775" s="16">
        <f t="shared" ca="1" si="51"/>
        <v>0.10529618361836403</v>
      </c>
    </row>
    <row r="2776" spans="7:8" x14ac:dyDescent="0.35">
      <c r="G2776" s="215">
        <v>2769</v>
      </c>
      <c r="H2776" s="16">
        <f t="shared" ca="1" si="51"/>
        <v>5.7491389062872031E-2</v>
      </c>
    </row>
    <row r="2777" spans="7:8" x14ac:dyDescent="0.35">
      <c r="G2777" s="215">
        <v>2770</v>
      </c>
      <c r="H2777" s="16">
        <f t="shared" ca="1" si="51"/>
        <v>1.2640057225438629E-2</v>
      </c>
    </row>
    <row r="2778" spans="7:8" x14ac:dyDescent="0.35">
      <c r="G2778" s="215">
        <v>2771</v>
      </c>
      <c r="H2778" s="16">
        <f t="shared" ca="1" si="51"/>
        <v>-4.1187248611880375E-2</v>
      </c>
    </row>
    <row r="2779" spans="7:8" x14ac:dyDescent="0.35">
      <c r="G2779" s="215">
        <v>2772</v>
      </c>
      <c r="H2779" s="16">
        <f t="shared" ca="1" si="51"/>
        <v>1.8302493566122981E-2</v>
      </c>
    </row>
    <row r="2780" spans="7:8" x14ac:dyDescent="0.35">
      <c r="G2780" s="215">
        <v>2773</v>
      </c>
      <c r="H2780" s="16">
        <f t="shared" ca="1" si="51"/>
        <v>-0.10297382635940736</v>
      </c>
    </row>
    <row r="2781" spans="7:8" x14ac:dyDescent="0.35">
      <c r="G2781" s="215">
        <v>2774</v>
      </c>
      <c r="H2781" s="16">
        <f t="shared" ca="1" si="51"/>
        <v>-1.5389288051323169E-3</v>
      </c>
    </row>
    <row r="2782" spans="7:8" x14ac:dyDescent="0.35">
      <c r="G2782" s="215">
        <v>2775</v>
      </c>
      <c r="H2782" s="16">
        <f t="shared" ca="1" si="51"/>
        <v>-4.3070150739961108E-2</v>
      </c>
    </row>
    <row r="2783" spans="7:8" x14ac:dyDescent="0.35">
      <c r="G2783" s="215">
        <v>2776</v>
      </c>
      <c r="H2783" s="16">
        <f t="shared" ca="1" si="51"/>
        <v>-5.8517043312498296E-2</v>
      </c>
    </row>
    <row r="2784" spans="7:8" x14ac:dyDescent="0.35">
      <c r="G2784" s="215">
        <v>2777</v>
      </c>
      <c r="H2784" s="16">
        <f t="shared" ca="1" si="51"/>
        <v>2.8267198395233992E-2</v>
      </c>
    </row>
    <row r="2785" spans="7:8" x14ac:dyDescent="0.35">
      <c r="G2785" s="215">
        <v>2778</v>
      </c>
      <c r="H2785" s="16">
        <f t="shared" ca="1" si="51"/>
        <v>0.129731279539884</v>
      </c>
    </row>
    <row r="2786" spans="7:8" x14ac:dyDescent="0.35">
      <c r="G2786" s="215">
        <v>2779</v>
      </c>
      <c r="H2786" s="16">
        <f t="shared" ca="1" si="51"/>
        <v>9.2535829977843528E-2</v>
      </c>
    </row>
    <row r="2787" spans="7:8" x14ac:dyDescent="0.35">
      <c r="G2787" s="215">
        <v>2780</v>
      </c>
      <c r="H2787" s="16">
        <f t="shared" ca="1" si="51"/>
        <v>-0.15012041076777058</v>
      </c>
    </row>
    <row r="2788" spans="7:8" x14ac:dyDescent="0.35">
      <c r="G2788" s="215">
        <v>2781</v>
      </c>
      <c r="H2788" s="16">
        <f t="shared" ca="1" si="51"/>
        <v>-1.1916245401684077E-2</v>
      </c>
    </row>
    <row r="2789" spans="7:8" x14ac:dyDescent="0.35">
      <c r="G2789" s="215">
        <v>2782</v>
      </c>
      <c r="H2789" s="16">
        <f t="shared" ca="1" si="51"/>
        <v>-3.7380375121791751E-2</v>
      </c>
    </row>
    <row r="2790" spans="7:8" x14ac:dyDescent="0.35">
      <c r="G2790" s="215">
        <v>2783</v>
      </c>
      <c r="H2790" s="16">
        <f t="shared" ca="1" si="51"/>
        <v>8.0432448683077015E-2</v>
      </c>
    </row>
    <row r="2791" spans="7:8" x14ac:dyDescent="0.35">
      <c r="G2791" s="215">
        <v>2784</v>
      </c>
      <c r="H2791" s="16">
        <f t="shared" ca="1" si="51"/>
        <v>-0.12670272318668013</v>
      </c>
    </row>
    <row r="2792" spans="7:8" x14ac:dyDescent="0.35">
      <c r="G2792" s="215">
        <v>2785</v>
      </c>
      <c r="H2792" s="16">
        <f t="shared" ca="1" si="51"/>
        <v>9.130346265074132E-3</v>
      </c>
    </row>
    <row r="2793" spans="7:8" x14ac:dyDescent="0.35">
      <c r="G2793" s="215">
        <v>2786</v>
      </c>
      <c r="H2793" s="16">
        <f t="shared" ca="1" si="51"/>
        <v>-7.4988492057467063E-2</v>
      </c>
    </row>
    <row r="2794" spans="7:8" x14ac:dyDescent="0.35">
      <c r="G2794" s="215">
        <v>2787</v>
      </c>
      <c r="H2794" s="16">
        <f t="shared" ca="1" si="51"/>
        <v>-6.8666928130609976E-3</v>
      </c>
    </row>
    <row r="2795" spans="7:8" x14ac:dyDescent="0.35">
      <c r="G2795" s="215">
        <v>2788</v>
      </c>
      <c r="H2795" s="16">
        <f t="shared" ca="1" si="51"/>
        <v>1.0487170075581432E-2</v>
      </c>
    </row>
    <row r="2796" spans="7:8" x14ac:dyDescent="0.35">
      <c r="G2796" s="215">
        <v>2789</v>
      </c>
      <c r="H2796" s="16">
        <f t="shared" ca="1" si="51"/>
        <v>-0.1054106291007533</v>
      </c>
    </row>
    <row r="2797" spans="7:8" x14ac:dyDescent="0.35">
      <c r="G2797" s="215">
        <v>2790</v>
      </c>
      <c r="H2797" s="16">
        <f t="shared" ca="1" si="51"/>
        <v>-3.5605490428020983E-3</v>
      </c>
    </row>
    <row r="2798" spans="7:8" x14ac:dyDescent="0.35">
      <c r="G2798" s="215">
        <v>2791</v>
      </c>
      <c r="H2798" s="16">
        <f t="shared" ca="1" si="51"/>
        <v>-1.7061137508693879E-2</v>
      </c>
    </row>
    <row r="2799" spans="7:8" x14ac:dyDescent="0.35">
      <c r="G2799" s="215">
        <v>2792</v>
      </c>
      <c r="H2799" s="16">
        <f t="shared" ca="1" si="51"/>
        <v>-4.6458052970095552E-3</v>
      </c>
    </row>
    <row r="2800" spans="7:8" x14ac:dyDescent="0.35">
      <c r="G2800" s="215">
        <v>2793</v>
      </c>
      <c r="H2800" s="16">
        <f t="shared" ca="1" si="51"/>
        <v>-2.1360288085434605E-2</v>
      </c>
    </row>
    <row r="2801" spans="7:8" x14ac:dyDescent="0.35">
      <c r="G2801" s="215">
        <v>2794</v>
      </c>
      <c r="H2801" s="16">
        <f t="shared" ca="1" si="51"/>
        <v>1.89322773410933E-2</v>
      </c>
    </row>
    <row r="2802" spans="7:8" x14ac:dyDescent="0.35">
      <c r="G2802" s="215">
        <v>2795</v>
      </c>
      <c r="H2802" s="16">
        <f t="shared" ca="1" si="51"/>
        <v>6.7765841330111156E-3</v>
      </c>
    </row>
    <row r="2803" spans="7:8" x14ac:dyDescent="0.35">
      <c r="G2803" s="215">
        <v>2796</v>
      </c>
      <c r="H2803" s="16">
        <f t="shared" ca="1" si="51"/>
        <v>-2.1010431125346996E-2</v>
      </c>
    </row>
    <row r="2804" spans="7:8" x14ac:dyDescent="0.35">
      <c r="G2804" s="215">
        <v>2797</v>
      </c>
      <c r="H2804" s="16">
        <f t="shared" ca="1" si="51"/>
        <v>-3.3789405020421867E-2</v>
      </c>
    </row>
    <row r="2805" spans="7:8" x14ac:dyDescent="0.35">
      <c r="G2805" s="215">
        <v>2798</v>
      </c>
      <c r="H2805" s="16">
        <f t="shared" ca="1" si="51"/>
        <v>-3.0495292199389113E-3</v>
      </c>
    </row>
    <row r="2806" spans="7:8" x14ac:dyDescent="0.35">
      <c r="G2806" s="215">
        <v>2799</v>
      </c>
      <c r="H2806" s="16">
        <f t="shared" ca="1" si="51"/>
        <v>0.14865229826976875</v>
      </c>
    </row>
    <row r="2807" spans="7:8" x14ac:dyDescent="0.35">
      <c r="G2807" s="215">
        <v>2800</v>
      </c>
      <c r="H2807" s="16">
        <f t="shared" ca="1" si="51"/>
        <v>4.7525594419859471E-2</v>
      </c>
    </row>
    <row r="2808" spans="7:8" x14ac:dyDescent="0.35">
      <c r="G2808" s="215">
        <v>2801</v>
      </c>
      <c r="H2808" s="16">
        <f t="shared" ca="1" si="51"/>
        <v>1.8612984201311293E-2</v>
      </c>
    </row>
    <row r="2809" spans="7:8" x14ac:dyDescent="0.35">
      <c r="G2809" s="215">
        <v>2802</v>
      </c>
      <c r="H2809" s="16">
        <f t="shared" ca="1" si="51"/>
        <v>-7.2576992163580184E-2</v>
      </c>
    </row>
    <row r="2810" spans="7:8" x14ac:dyDescent="0.35">
      <c r="G2810" s="215">
        <v>2803</v>
      </c>
      <c r="H2810" s="16">
        <f t="shared" ca="1" si="51"/>
        <v>5.3766674669452022E-2</v>
      </c>
    </row>
    <row r="2811" spans="7:8" x14ac:dyDescent="0.35">
      <c r="G2811" s="215">
        <v>2804</v>
      </c>
      <c r="H2811" s="16">
        <f t="shared" ca="1" si="51"/>
        <v>5.7681150336452852E-2</v>
      </c>
    </row>
    <row r="2812" spans="7:8" x14ac:dyDescent="0.35">
      <c r="G2812" s="215">
        <v>2805</v>
      </c>
      <c r="H2812" s="16">
        <f t="shared" ca="1" si="51"/>
        <v>-8.0490239727665891E-2</v>
      </c>
    </row>
    <row r="2813" spans="7:8" x14ac:dyDescent="0.35">
      <c r="G2813" s="215">
        <v>2806</v>
      </c>
      <c r="H2813" s="16">
        <f t="shared" ca="1" si="51"/>
        <v>-7.0997914130452353E-2</v>
      </c>
    </row>
    <row r="2814" spans="7:8" x14ac:dyDescent="0.35">
      <c r="G2814" s="215">
        <v>2807</v>
      </c>
      <c r="H2814" s="16">
        <f t="shared" ca="1" si="51"/>
        <v>6.1641550903157446E-3</v>
      </c>
    </row>
    <row r="2815" spans="7:8" x14ac:dyDescent="0.35">
      <c r="G2815" s="215">
        <v>2808</v>
      </c>
      <c r="H2815" s="16">
        <f t="shared" ca="1" si="51"/>
        <v>9.705898858989323E-2</v>
      </c>
    </row>
    <row r="2816" spans="7:8" x14ac:dyDescent="0.35">
      <c r="G2816" s="215">
        <v>2809</v>
      </c>
      <c r="H2816" s="16">
        <f t="shared" ca="1" si="51"/>
        <v>-4.112036398228941E-2</v>
      </c>
    </row>
    <row r="2817" spans="7:8" x14ac:dyDescent="0.35">
      <c r="G2817" s="215">
        <v>2810</v>
      </c>
      <c r="H2817" s="16">
        <f t="shared" ca="1" si="51"/>
        <v>5.8297525593633812E-2</v>
      </c>
    </row>
    <row r="2818" spans="7:8" x14ac:dyDescent="0.35">
      <c r="G2818" s="215">
        <v>2811</v>
      </c>
      <c r="H2818" s="16">
        <f t="shared" ca="1" si="51"/>
        <v>0.13762356289402081</v>
      </c>
    </row>
    <row r="2819" spans="7:8" x14ac:dyDescent="0.35">
      <c r="G2819" s="215">
        <v>2812</v>
      </c>
      <c r="H2819" s="16">
        <f t="shared" ca="1" si="51"/>
        <v>-3.7962729874416345E-2</v>
      </c>
    </row>
    <row r="2820" spans="7:8" x14ac:dyDescent="0.35">
      <c r="G2820" s="215">
        <v>2813</v>
      </c>
      <c r="H2820" s="16">
        <f t="shared" ca="1" si="51"/>
        <v>-0.20176200747206358</v>
      </c>
    </row>
    <row r="2821" spans="7:8" x14ac:dyDescent="0.35">
      <c r="G2821" s="215">
        <v>2814</v>
      </c>
      <c r="H2821" s="16">
        <f t="shared" ca="1" si="51"/>
        <v>-1.025383228594769E-2</v>
      </c>
    </row>
    <row r="2822" spans="7:8" x14ac:dyDescent="0.35">
      <c r="G2822" s="215">
        <v>2815</v>
      </c>
      <c r="H2822" s="16">
        <f t="shared" ca="1" si="51"/>
        <v>-5.4014785494174405E-2</v>
      </c>
    </row>
    <row r="2823" spans="7:8" x14ac:dyDescent="0.35">
      <c r="G2823" s="215">
        <v>2816</v>
      </c>
      <c r="H2823" s="16">
        <f t="shared" ca="1" si="51"/>
        <v>4.1198811654759408E-2</v>
      </c>
    </row>
    <row r="2824" spans="7:8" x14ac:dyDescent="0.35">
      <c r="G2824" s="215">
        <v>2817</v>
      </c>
      <c r="H2824" s="16">
        <f t="shared" ref="H2824:H2887" ca="1" si="52">_xlfn.NORM.INV(RAND(),M$10,M$11)</f>
        <v>-3.0518449436084779E-2</v>
      </c>
    </row>
    <row r="2825" spans="7:8" x14ac:dyDescent="0.35">
      <c r="G2825" s="215">
        <v>2818</v>
      </c>
      <c r="H2825" s="16">
        <f t="shared" ca="1" si="52"/>
        <v>9.2159529077118552E-2</v>
      </c>
    </row>
    <row r="2826" spans="7:8" x14ac:dyDescent="0.35">
      <c r="G2826" s="215">
        <v>2819</v>
      </c>
      <c r="H2826" s="16">
        <f t="shared" ca="1" si="52"/>
        <v>1.6685197088347734E-2</v>
      </c>
    </row>
    <row r="2827" spans="7:8" x14ac:dyDescent="0.35">
      <c r="G2827" s="215">
        <v>2820</v>
      </c>
      <c r="H2827" s="16">
        <f t="shared" ca="1" si="52"/>
        <v>0.13144333904727476</v>
      </c>
    </row>
    <row r="2828" spans="7:8" x14ac:dyDescent="0.35">
      <c r="G2828" s="215">
        <v>2821</v>
      </c>
      <c r="H2828" s="16">
        <f t="shared" ca="1" si="52"/>
        <v>0.11398263872880507</v>
      </c>
    </row>
    <row r="2829" spans="7:8" x14ac:dyDescent="0.35">
      <c r="G2829" s="215">
        <v>2822</v>
      </c>
      <c r="H2829" s="16">
        <f t="shared" ca="1" si="52"/>
        <v>-3.7476910419691298E-2</v>
      </c>
    </row>
    <row r="2830" spans="7:8" x14ac:dyDescent="0.35">
      <c r="G2830" s="215">
        <v>2823</v>
      </c>
      <c r="H2830" s="16">
        <f t="shared" ca="1" si="52"/>
        <v>0.15855003268378173</v>
      </c>
    </row>
    <row r="2831" spans="7:8" x14ac:dyDescent="0.35">
      <c r="G2831" s="215">
        <v>2824</v>
      </c>
      <c r="H2831" s="16">
        <f t="shared" ca="1" si="52"/>
        <v>2.6628140088204723E-2</v>
      </c>
    </row>
    <row r="2832" spans="7:8" x14ac:dyDescent="0.35">
      <c r="G2832" s="215">
        <v>2825</v>
      </c>
      <c r="H2832" s="16">
        <f t="shared" ca="1" si="52"/>
        <v>-2.0860601196109916E-2</v>
      </c>
    </row>
    <row r="2833" spans="7:8" x14ac:dyDescent="0.35">
      <c r="G2833" s="215">
        <v>2826</v>
      </c>
      <c r="H2833" s="16">
        <f t="shared" ca="1" si="52"/>
        <v>9.3662774418201075E-2</v>
      </c>
    </row>
    <row r="2834" spans="7:8" x14ac:dyDescent="0.35">
      <c r="G2834" s="215">
        <v>2827</v>
      </c>
      <c r="H2834" s="16">
        <f t="shared" ca="1" si="52"/>
        <v>-2.535656327052176E-2</v>
      </c>
    </row>
    <row r="2835" spans="7:8" x14ac:dyDescent="0.35">
      <c r="G2835" s="215">
        <v>2828</v>
      </c>
      <c r="H2835" s="16">
        <f t="shared" ca="1" si="52"/>
        <v>-6.2882369277456676E-2</v>
      </c>
    </row>
    <row r="2836" spans="7:8" x14ac:dyDescent="0.35">
      <c r="G2836" s="215">
        <v>2829</v>
      </c>
      <c r="H2836" s="16">
        <f t="shared" ca="1" si="52"/>
        <v>-4.6300276054217132E-2</v>
      </c>
    </row>
    <row r="2837" spans="7:8" x14ac:dyDescent="0.35">
      <c r="G2837" s="215">
        <v>2830</v>
      </c>
      <c r="H2837" s="16">
        <f t="shared" ca="1" si="52"/>
        <v>-1.3889743176502871E-2</v>
      </c>
    </row>
    <row r="2838" spans="7:8" x14ac:dyDescent="0.35">
      <c r="G2838" s="215">
        <v>2831</v>
      </c>
      <c r="H2838" s="16">
        <f t="shared" ca="1" si="52"/>
        <v>-0.10979306577104446</v>
      </c>
    </row>
    <row r="2839" spans="7:8" x14ac:dyDescent="0.35">
      <c r="G2839" s="215">
        <v>2832</v>
      </c>
      <c r="H2839" s="16">
        <f t="shared" ca="1" si="52"/>
        <v>8.4884413682421112E-2</v>
      </c>
    </row>
    <row r="2840" spans="7:8" x14ac:dyDescent="0.35">
      <c r="G2840" s="215">
        <v>2833</v>
      </c>
      <c r="H2840" s="16">
        <f t="shared" ca="1" si="52"/>
        <v>5.1391580996646466E-2</v>
      </c>
    </row>
    <row r="2841" spans="7:8" x14ac:dyDescent="0.35">
      <c r="G2841" s="215">
        <v>2834</v>
      </c>
      <c r="H2841" s="16">
        <f t="shared" ca="1" si="52"/>
        <v>5.6896872782345079E-2</v>
      </c>
    </row>
    <row r="2842" spans="7:8" x14ac:dyDescent="0.35">
      <c r="G2842" s="215">
        <v>2835</v>
      </c>
      <c r="H2842" s="16">
        <f t="shared" ca="1" si="52"/>
        <v>0.26750447698859947</v>
      </c>
    </row>
    <row r="2843" spans="7:8" x14ac:dyDescent="0.35">
      <c r="G2843" s="215">
        <v>2836</v>
      </c>
      <c r="H2843" s="16">
        <f t="shared" ca="1" si="52"/>
        <v>-8.3482895725667944E-3</v>
      </c>
    </row>
    <row r="2844" spans="7:8" x14ac:dyDescent="0.35">
      <c r="G2844" s="215">
        <v>2837</v>
      </c>
      <c r="H2844" s="16">
        <f t="shared" ca="1" si="52"/>
        <v>-5.3542941228531982E-2</v>
      </c>
    </row>
    <row r="2845" spans="7:8" x14ac:dyDescent="0.35">
      <c r="G2845" s="215">
        <v>2838</v>
      </c>
      <c r="H2845" s="16">
        <f t="shared" ca="1" si="52"/>
        <v>5.3748113300797387E-2</v>
      </c>
    </row>
    <row r="2846" spans="7:8" x14ac:dyDescent="0.35">
      <c r="G2846" s="215">
        <v>2839</v>
      </c>
      <c r="H2846" s="16">
        <f t="shared" ca="1" si="52"/>
        <v>5.0155820399324605E-2</v>
      </c>
    </row>
    <row r="2847" spans="7:8" x14ac:dyDescent="0.35">
      <c r="G2847" s="215">
        <v>2840</v>
      </c>
      <c r="H2847" s="16">
        <f t="shared" ca="1" si="52"/>
        <v>9.4261717939788423E-2</v>
      </c>
    </row>
    <row r="2848" spans="7:8" x14ac:dyDescent="0.35">
      <c r="G2848" s="215">
        <v>2841</v>
      </c>
      <c r="H2848" s="16">
        <f t="shared" ca="1" si="52"/>
        <v>1.4772525119239929E-2</v>
      </c>
    </row>
    <row r="2849" spans="7:8" x14ac:dyDescent="0.35">
      <c r="G2849" s="215">
        <v>2842</v>
      </c>
      <c r="H2849" s="16">
        <f t="shared" ca="1" si="52"/>
        <v>0.2298242114396539</v>
      </c>
    </row>
    <row r="2850" spans="7:8" x14ac:dyDescent="0.35">
      <c r="G2850" s="215">
        <v>2843</v>
      </c>
      <c r="H2850" s="16">
        <f t="shared" ca="1" si="52"/>
        <v>-7.6209402513192928E-2</v>
      </c>
    </row>
    <row r="2851" spans="7:8" x14ac:dyDescent="0.35">
      <c r="G2851" s="215">
        <v>2844</v>
      </c>
      <c r="H2851" s="16">
        <f t="shared" ca="1" si="52"/>
        <v>5.4028187797193596E-3</v>
      </c>
    </row>
    <row r="2852" spans="7:8" x14ac:dyDescent="0.35">
      <c r="G2852" s="215">
        <v>2845</v>
      </c>
      <c r="H2852" s="16">
        <f t="shared" ca="1" si="52"/>
        <v>5.3747716598959411E-2</v>
      </c>
    </row>
    <row r="2853" spans="7:8" x14ac:dyDescent="0.35">
      <c r="G2853" s="215">
        <v>2846</v>
      </c>
      <c r="H2853" s="16">
        <f t="shared" ca="1" si="52"/>
        <v>1.3446620764388267E-2</v>
      </c>
    </row>
    <row r="2854" spans="7:8" x14ac:dyDescent="0.35">
      <c r="G2854" s="215">
        <v>2847</v>
      </c>
      <c r="H2854" s="16">
        <f t="shared" ca="1" si="52"/>
        <v>-6.5431044858455578E-2</v>
      </c>
    </row>
    <row r="2855" spans="7:8" x14ac:dyDescent="0.35">
      <c r="G2855" s="215">
        <v>2848</v>
      </c>
      <c r="H2855" s="16">
        <f t="shared" ca="1" si="52"/>
        <v>2.3976892356619553E-2</v>
      </c>
    </row>
    <row r="2856" spans="7:8" x14ac:dyDescent="0.35">
      <c r="G2856" s="215">
        <v>2849</v>
      </c>
      <c r="H2856" s="16">
        <f t="shared" ca="1" si="52"/>
        <v>-1.7843506244377322E-2</v>
      </c>
    </row>
    <row r="2857" spans="7:8" x14ac:dyDescent="0.35">
      <c r="G2857" s="215">
        <v>2850</v>
      </c>
      <c r="H2857" s="16">
        <f t="shared" ca="1" si="52"/>
        <v>-8.1395882963760824E-2</v>
      </c>
    </row>
    <row r="2858" spans="7:8" x14ac:dyDescent="0.35">
      <c r="G2858" s="215">
        <v>2851</v>
      </c>
      <c r="H2858" s="16">
        <f t="shared" ca="1" si="52"/>
        <v>8.5410995121974892E-2</v>
      </c>
    </row>
    <row r="2859" spans="7:8" x14ac:dyDescent="0.35">
      <c r="G2859" s="215">
        <v>2852</v>
      </c>
      <c r="H2859" s="16">
        <f t="shared" ca="1" si="52"/>
        <v>7.0131865503613722E-2</v>
      </c>
    </row>
    <row r="2860" spans="7:8" x14ac:dyDescent="0.35">
      <c r="G2860" s="215">
        <v>2853</v>
      </c>
      <c r="H2860" s="16">
        <f t="shared" ca="1" si="52"/>
        <v>6.9692476208835383E-2</v>
      </c>
    </row>
    <row r="2861" spans="7:8" x14ac:dyDescent="0.35">
      <c r="G2861" s="215">
        <v>2854</v>
      </c>
      <c r="H2861" s="16">
        <f t="shared" ca="1" si="52"/>
        <v>-3.9306545548124655E-2</v>
      </c>
    </row>
    <row r="2862" spans="7:8" x14ac:dyDescent="0.35">
      <c r="G2862" s="215">
        <v>2855</v>
      </c>
      <c r="H2862" s="16">
        <f t="shared" ca="1" si="52"/>
        <v>-5.2624353104201674E-2</v>
      </c>
    </row>
    <row r="2863" spans="7:8" x14ac:dyDescent="0.35">
      <c r="G2863" s="215">
        <v>2856</v>
      </c>
      <c r="H2863" s="16">
        <f t="shared" ca="1" si="52"/>
        <v>1.1262187972826057E-2</v>
      </c>
    </row>
    <row r="2864" spans="7:8" x14ac:dyDescent="0.35">
      <c r="G2864" s="215">
        <v>2857</v>
      </c>
      <c r="H2864" s="16">
        <f t="shared" ca="1" si="52"/>
        <v>-4.0268352035169541E-2</v>
      </c>
    </row>
    <row r="2865" spans="7:8" x14ac:dyDescent="0.35">
      <c r="G2865" s="215">
        <v>2858</v>
      </c>
      <c r="H2865" s="16">
        <f t="shared" ca="1" si="52"/>
        <v>9.0955425247120913E-3</v>
      </c>
    </row>
    <row r="2866" spans="7:8" x14ac:dyDescent="0.35">
      <c r="G2866" s="215">
        <v>2859</v>
      </c>
      <c r="H2866" s="16">
        <f t="shared" ca="1" si="52"/>
        <v>-0.13586360003386977</v>
      </c>
    </row>
    <row r="2867" spans="7:8" x14ac:dyDescent="0.35">
      <c r="G2867" s="215">
        <v>2860</v>
      </c>
      <c r="H2867" s="16">
        <f t="shared" ca="1" si="52"/>
        <v>2.5136951247104689E-2</v>
      </c>
    </row>
    <row r="2868" spans="7:8" x14ac:dyDescent="0.35">
      <c r="G2868" s="215">
        <v>2861</v>
      </c>
      <c r="H2868" s="16">
        <f t="shared" ca="1" si="52"/>
        <v>5.6074852597896532E-2</v>
      </c>
    </row>
    <row r="2869" spans="7:8" x14ac:dyDescent="0.35">
      <c r="G2869" s="215">
        <v>2862</v>
      </c>
      <c r="H2869" s="16">
        <f t="shared" ca="1" si="52"/>
        <v>2.4257714356751954E-2</v>
      </c>
    </row>
    <row r="2870" spans="7:8" x14ac:dyDescent="0.35">
      <c r="G2870" s="215">
        <v>2863</v>
      </c>
      <c r="H2870" s="16">
        <f t="shared" ca="1" si="52"/>
        <v>6.0955741460704718E-2</v>
      </c>
    </row>
    <row r="2871" spans="7:8" x14ac:dyDescent="0.35">
      <c r="G2871" s="215">
        <v>2864</v>
      </c>
      <c r="H2871" s="16">
        <f t="shared" ca="1" si="52"/>
        <v>-1.4678838678306841E-2</v>
      </c>
    </row>
    <row r="2872" spans="7:8" x14ac:dyDescent="0.35">
      <c r="G2872" s="215">
        <v>2865</v>
      </c>
      <c r="H2872" s="16">
        <f t="shared" ca="1" si="52"/>
        <v>0.10728173010184941</v>
      </c>
    </row>
    <row r="2873" spans="7:8" x14ac:dyDescent="0.35">
      <c r="G2873" s="215">
        <v>2866</v>
      </c>
      <c r="H2873" s="16">
        <f t="shared" ca="1" si="52"/>
        <v>-8.4094298499102632E-3</v>
      </c>
    </row>
    <row r="2874" spans="7:8" x14ac:dyDescent="0.35">
      <c r="G2874" s="215">
        <v>2867</v>
      </c>
      <c r="H2874" s="16">
        <f t="shared" ca="1" si="52"/>
        <v>0.13779916048277324</v>
      </c>
    </row>
    <row r="2875" spans="7:8" x14ac:dyDescent="0.35">
      <c r="G2875" s="215">
        <v>2868</v>
      </c>
      <c r="H2875" s="16">
        <f t="shared" ca="1" si="52"/>
        <v>9.4751521451493431E-2</v>
      </c>
    </row>
    <row r="2876" spans="7:8" x14ac:dyDescent="0.35">
      <c r="G2876" s="215">
        <v>2869</v>
      </c>
      <c r="H2876" s="16">
        <f t="shared" ca="1" si="52"/>
        <v>-5.9090023479445267E-2</v>
      </c>
    </row>
    <row r="2877" spans="7:8" x14ac:dyDescent="0.35">
      <c r="G2877" s="215">
        <v>2870</v>
      </c>
      <c r="H2877" s="16">
        <f t="shared" ca="1" si="52"/>
        <v>1.1299095462788306E-2</v>
      </c>
    </row>
    <row r="2878" spans="7:8" x14ac:dyDescent="0.35">
      <c r="G2878" s="215">
        <v>2871</v>
      </c>
      <c r="H2878" s="16">
        <f t="shared" ca="1" si="52"/>
        <v>-4.6185222026931344E-2</v>
      </c>
    </row>
    <row r="2879" spans="7:8" x14ac:dyDescent="0.35">
      <c r="G2879" s="215">
        <v>2872</v>
      </c>
      <c r="H2879" s="16">
        <f t="shared" ca="1" si="52"/>
        <v>0.16258148041124756</v>
      </c>
    </row>
    <row r="2880" spans="7:8" x14ac:dyDescent="0.35">
      <c r="G2880" s="215">
        <v>2873</v>
      </c>
      <c r="H2880" s="16">
        <f t="shared" ca="1" si="52"/>
        <v>7.4690354609579943E-2</v>
      </c>
    </row>
    <row r="2881" spans="7:8" x14ac:dyDescent="0.35">
      <c r="G2881" s="215">
        <v>2874</v>
      </c>
      <c r="H2881" s="16">
        <f t="shared" ca="1" si="52"/>
        <v>8.4617070477389089E-2</v>
      </c>
    </row>
    <row r="2882" spans="7:8" x14ac:dyDescent="0.35">
      <c r="G2882" s="215">
        <v>2875</v>
      </c>
      <c r="H2882" s="16">
        <f t="shared" ca="1" si="52"/>
        <v>2.1342034097358228E-3</v>
      </c>
    </row>
    <row r="2883" spans="7:8" x14ac:dyDescent="0.35">
      <c r="G2883" s="215">
        <v>2876</v>
      </c>
      <c r="H2883" s="16">
        <f t="shared" ca="1" si="52"/>
        <v>4.4747446020301958E-4</v>
      </c>
    </row>
    <row r="2884" spans="7:8" x14ac:dyDescent="0.35">
      <c r="G2884" s="215">
        <v>2877</v>
      </c>
      <c r="H2884" s="16">
        <f t="shared" ca="1" si="52"/>
        <v>0.15460989828243413</v>
      </c>
    </row>
    <row r="2885" spans="7:8" x14ac:dyDescent="0.35">
      <c r="G2885" s="215">
        <v>2878</v>
      </c>
      <c r="H2885" s="16">
        <f t="shared" ca="1" si="52"/>
        <v>-2.7323994074375111E-2</v>
      </c>
    </row>
    <row r="2886" spans="7:8" x14ac:dyDescent="0.35">
      <c r="G2886" s="215">
        <v>2879</v>
      </c>
      <c r="H2886" s="16">
        <f t="shared" ca="1" si="52"/>
        <v>-0.10531626251421683</v>
      </c>
    </row>
    <row r="2887" spans="7:8" x14ac:dyDescent="0.35">
      <c r="G2887" s="215">
        <v>2880</v>
      </c>
      <c r="H2887" s="16">
        <f t="shared" ca="1" si="52"/>
        <v>-8.1214516249248164E-2</v>
      </c>
    </row>
    <row r="2888" spans="7:8" x14ac:dyDescent="0.35">
      <c r="G2888" s="215">
        <v>2881</v>
      </c>
      <c r="H2888" s="16">
        <f t="shared" ref="H2888:H2951" ca="1" si="53">_xlfn.NORM.INV(RAND(),M$10,M$11)</f>
        <v>-8.8349823853753465E-2</v>
      </c>
    </row>
    <row r="2889" spans="7:8" x14ac:dyDescent="0.35">
      <c r="G2889" s="215">
        <v>2882</v>
      </c>
      <c r="H2889" s="16">
        <f t="shared" ca="1" si="53"/>
        <v>8.1368819179875262E-2</v>
      </c>
    </row>
    <row r="2890" spans="7:8" x14ac:dyDescent="0.35">
      <c r="G2890" s="215">
        <v>2883</v>
      </c>
      <c r="H2890" s="16">
        <f t="shared" ca="1" si="53"/>
        <v>3.7733924154463486E-2</v>
      </c>
    </row>
    <row r="2891" spans="7:8" x14ac:dyDescent="0.35">
      <c r="G2891" s="215">
        <v>2884</v>
      </c>
      <c r="H2891" s="16">
        <f t="shared" ca="1" si="53"/>
        <v>0.135255250233971</v>
      </c>
    </row>
    <row r="2892" spans="7:8" x14ac:dyDescent="0.35">
      <c r="G2892" s="215">
        <v>2885</v>
      </c>
      <c r="H2892" s="16">
        <f t="shared" ca="1" si="53"/>
        <v>-5.0433768505180707E-2</v>
      </c>
    </row>
    <row r="2893" spans="7:8" x14ac:dyDescent="0.35">
      <c r="G2893" s="215">
        <v>2886</v>
      </c>
      <c r="H2893" s="16">
        <f t="shared" ca="1" si="53"/>
        <v>3.7629656562356301E-3</v>
      </c>
    </row>
    <row r="2894" spans="7:8" x14ac:dyDescent="0.35">
      <c r="G2894" s="215">
        <v>2887</v>
      </c>
      <c r="H2894" s="16">
        <f t="shared" ca="1" si="53"/>
        <v>4.126697525433197E-2</v>
      </c>
    </row>
    <row r="2895" spans="7:8" x14ac:dyDescent="0.35">
      <c r="G2895" s="215">
        <v>2888</v>
      </c>
      <c r="H2895" s="16">
        <f t="shared" ca="1" si="53"/>
        <v>4.4690905311979418E-2</v>
      </c>
    </row>
    <row r="2896" spans="7:8" x14ac:dyDescent="0.35">
      <c r="G2896" s="215">
        <v>2889</v>
      </c>
      <c r="H2896" s="16">
        <f t="shared" ca="1" si="53"/>
        <v>-8.1079247113192504E-2</v>
      </c>
    </row>
    <row r="2897" spans="7:8" x14ac:dyDescent="0.35">
      <c r="G2897" s="215">
        <v>2890</v>
      </c>
      <c r="H2897" s="16">
        <f t="shared" ca="1" si="53"/>
        <v>-0.18006943153105531</v>
      </c>
    </row>
    <row r="2898" spans="7:8" x14ac:dyDescent="0.35">
      <c r="G2898" s="215">
        <v>2891</v>
      </c>
      <c r="H2898" s="16">
        <f t="shared" ca="1" si="53"/>
        <v>5.5005626719557929E-2</v>
      </c>
    </row>
    <row r="2899" spans="7:8" x14ac:dyDescent="0.35">
      <c r="G2899" s="215">
        <v>2892</v>
      </c>
      <c r="H2899" s="16">
        <f t="shared" ca="1" si="53"/>
        <v>6.7350265281548973E-3</v>
      </c>
    </row>
    <row r="2900" spans="7:8" x14ac:dyDescent="0.35">
      <c r="G2900" s="215">
        <v>2893</v>
      </c>
      <c r="H2900" s="16">
        <f t="shared" ca="1" si="53"/>
        <v>3.3088648492410257E-2</v>
      </c>
    </row>
    <row r="2901" spans="7:8" x14ac:dyDescent="0.35">
      <c r="G2901" s="215">
        <v>2894</v>
      </c>
      <c r="H2901" s="16">
        <f t="shared" ca="1" si="53"/>
        <v>-7.1784191049597199E-2</v>
      </c>
    </row>
    <row r="2902" spans="7:8" x14ac:dyDescent="0.35">
      <c r="G2902" s="215">
        <v>2895</v>
      </c>
      <c r="H2902" s="16">
        <f t="shared" ca="1" si="53"/>
        <v>-6.4099269018171354E-2</v>
      </c>
    </row>
    <row r="2903" spans="7:8" x14ac:dyDescent="0.35">
      <c r="G2903" s="215">
        <v>2896</v>
      </c>
      <c r="H2903" s="16">
        <f t="shared" ca="1" si="53"/>
        <v>-9.918870093474226E-2</v>
      </c>
    </row>
    <row r="2904" spans="7:8" x14ac:dyDescent="0.35">
      <c r="G2904" s="215">
        <v>2897</v>
      </c>
      <c r="H2904" s="16">
        <f t="shared" ca="1" si="53"/>
        <v>-2.678383539445631E-2</v>
      </c>
    </row>
    <row r="2905" spans="7:8" x14ac:dyDescent="0.35">
      <c r="G2905" s="215">
        <v>2898</v>
      </c>
      <c r="H2905" s="16">
        <f t="shared" ca="1" si="53"/>
        <v>-4.0585593727572589E-2</v>
      </c>
    </row>
    <row r="2906" spans="7:8" x14ac:dyDescent="0.35">
      <c r="G2906" s="215">
        <v>2899</v>
      </c>
      <c r="H2906" s="16">
        <f t="shared" ca="1" si="53"/>
        <v>5.2358203054000046E-2</v>
      </c>
    </row>
    <row r="2907" spans="7:8" x14ac:dyDescent="0.35">
      <c r="G2907" s="215">
        <v>2900</v>
      </c>
      <c r="H2907" s="16">
        <f t="shared" ca="1" si="53"/>
        <v>3.0963195206386601E-2</v>
      </c>
    </row>
    <row r="2908" spans="7:8" x14ac:dyDescent="0.35">
      <c r="G2908" s="215">
        <v>2901</v>
      </c>
      <c r="H2908" s="16">
        <f t="shared" ca="1" si="53"/>
        <v>-1.0202158955460335E-2</v>
      </c>
    </row>
    <row r="2909" spans="7:8" x14ac:dyDescent="0.35">
      <c r="G2909" s="215">
        <v>2902</v>
      </c>
      <c r="H2909" s="16">
        <f t="shared" ca="1" si="53"/>
        <v>-2.3253971827919575E-2</v>
      </c>
    </row>
    <row r="2910" spans="7:8" x14ac:dyDescent="0.35">
      <c r="G2910" s="215">
        <v>2903</v>
      </c>
      <c r="H2910" s="16">
        <f t="shared" ca="1" si="53"/>
        <v>1.7403541210461247E-2</v>
      </c>
    </row>
    <row r="2911" spans="7:8" x14ac:dyDescent="0.35">
      <c r="G2911" s="215">
        <v>2904</v>
      </c>
      <c r="H2911" s="16">
        <f t="shared" ca="1" si="53"/>
        <v>0.13796076717911687</v>
      </c>
    </row>
    <row r="2912" spans="7:8" x14ac:dyDescent="0.35">
      <c r="G2912" s="215">
        <v>2905</v>
      </c>
      <c r="H2912" s="16">
        <f t="shared" ca="1" si="53"/>
        <v>-0.16583150543427921</v>
      </c>
    </row>
    <row r="2913" spans="7:8" x14ac:dyDescent="0.35">
      <c r="G2913" s="215">
        <v>2906</v>
      </c>
      <c r="H2913" s="16">
        <f t="shared" ca="1" si="53"/>
        <v>-7.6489590408799546E-2</v>
      </c>
    </row>
    <row r="2914" spans="7:8" x14ac:dyDescent="0.35">
      <c r="G2914" s="215">
        <v>2907</v>
      </c>
      <c r="H2914" s="16">
        <f t="shared" ca="1" si="53"/>
        <v>6.5269949332732044E-2</v>
      </c>
    </row>
    <row r="2915" spans="7:8" x14ac:dyDescent="0.35">
      <c r="G2915" s="215">
        <v>2908</v>
      </c>
      <c r="H2915" s="16">
        <f t="shared" ca="1" si="53"/>
        <v>7.9639714400952188E-2</v>
      </c>
    </row>
    <row r="2916" spans="7:8" x14ac:dyDescent="0.35">
      <c r="G2916" s="215">
        <v>2909</v>
      </c>
      <c r="H2916" s="16">
        <f t="shared" ca="1" si="53"/>
        <v>0.14384845784086031</v>
      </c>
    </row>
    <row r="2917" spans="7:8" x14ac:dyDescent="0.35">
      <c r="G2917" s="215">
        <v>2910</v>
      </c>
      <c r="H2917" s="16">
        <f t="shared" ca="1" si="53"/>
        <v>0.13821809931127491</v>
      </c>
    </row>
    <row r="2918" spans="7:8" x14ac:dyDescent="0.35">
      <c r="G2918" s="215">
        <v>2911</v>
      </c>
      <c r="H2918" s="16">
        <f t="shared" ca="1" si="53"/>
        <v>-6.7268148007145076E-2</v>
      </c>
    </row>
    <row r="2919" spans="7:8" x14ac:dyDescent="0.35">
      <c r="G2919" s="215">
        <v>2912</v>
      </c>
      <c r="H2919" s="16">
        <f t="shared" ca="1" si="53"/>
        <v>-5.8726587612698375E-2</v>
      </c>
    </row>
    <row r="2920" spans="7:8" x14ac:dyDescent="0.35">
      <c r="G2920" s="215">
        <v>2913</v>
      </c>
      <c r="H2920" s="16">
        <f t="shared" ca="1" si="53"/>
        <v>0.10764733930723361</v>
      </c>
    </row>
    <row r="2921" spans="7:8" x14ac:dyDescent="0.35">
      <c r="G2921" s="215">
        <v>2914</v>
      </c>
      <c r="H2921" s="16">
        <f t="shared" ca="1" si="53"/>
        <v>-4.4394063693434418E-2</v>
      </c>
    </row>
    <row r="2922" spans="7:8" x14ac:dyDescent="0.35">
      <c r="G2922" s="215">
        <v>2915</v>
      </c>
      <c r="H2922" s="16">
        <f t="shared" ca="1" si="53"/>
        <v>1.6287851822951307E-2</v>
      </c>
    </row>
    <row r="2923" spans="7:8" x14ac:dyDescent="0.35">
      <c r="G2923" s="215">
        <v>2916</v>
      </c>
      <c r="H2923" s="16">
        <f t="shared" ca="1" si="53"/>
        <v>5.9293512477017862E-2</v>
      </c>
    </row>
    <row r="2924" spans="7:8" x14ac:dyDescent="0.35">
      <c r="G2924" s="215">
        <v>2917</v>
      </c>
      <c r="H2924" s="16">
        <f t="shared" ca="1" si="53"/>
        <v>-2.7397765257586835E-2</v>
      </c>
    </row>
    <row r="2925" spans="7:8" x14ac:dyDescent="0.35">
      <c r="G2925" s="215">
        <v>2918</v>
      </c>
      <c r="H2925" s="16">
        <f t="shared" ca="1" si="53"/>
        <v>4.1415443647049563E-2</v>
      </c>
    </row>
    <row r="2926" spans="7:8" x14ac:dyDescent="0.35">
      <c r="G2926" s="215">
        <v>2919</v>
      </c>
      <c r="H2926" s="16">
        <f t="shared" ca="1" si="53"/>
        <v>5.3342759076248039E-2</v>
      </c>
    </row>
    <row r="2927" spans="7:8" x14ac:dyDescent="0.35">
      <c r="G2927" s="215">
        <v>2920</v>
      </c>
      <c r="H2927" s="16">
        <f t="shared" ca="1" si="53"/>
        <v>-7.9528496772642912E-3</v>
      </c>
    </row>
    <row r="2928" spans="7:8" x14ac:dyDescent="0.35">
      <c r="G2928" s="215">
        <v>2921</v>
      </c>
      <c r="H2928" s="16">
        <f t="shared" ca="1" si="53"/>
        <v>2.3625464813631872E-2</v>
      </c>
    </row>
    <row r="2929" spans="7:8" x14ac:dyDescent="0.35">
      <c r="G2929" s="215">
        <v>2922</v>
      </c>
      <c r="H2929" s="16">
        <f t="shared" ca="1" si="53"/>
        <v>-7.4450395333068534E-2</v>
      </c>
    </row>
    <row r="2930" spans="7:8" x14ac:dyDescent="0.35">
      <c r="G2930" s="215">
        <v>2923</v>
      </c>
      <c r="H2930" s="16">
        <f t="shared" ca="1" si="53"/>
        <v>8.0025521126515994E-3</v>
      </c>
    </row>
    <row r="2931" spans="7:8" x14ac:dyDescent="0.35">
      <c r="G2931" s="215">
        <v>2924</v>
      </c>
      <c r="H2931" s="16">
        <f t="shared" ca="1" si="53"/>
        <v>8.7550104726331152E-2</v>
      </c>
    </row>
    <row r="2932" spans="7:8" x14ac:dyDescent="0.35">
      <c r="G2932" s="215">
        <v>2925</v>
      </c>
      <c r="H2932" s="16">
        <f t="shared" ca="1" si="53"/>
        <v>6.0104746849427459E-2</v>
      </c>
    </row>
    <row r="2933" spans="7:8" x14ac:dyDescent="0.35">
      <c r="G2933" s="215">
        <v>2926</v>
      </c>
      <c r="H2933" s="16">
        <f t="shared" ca="1" si="53"/>
        <v>8.8978565359744272E-2</v>
      </c>
    </row>
    <row r="2934" spans="7:8" x14ac:dyDescent="0.35">
      <c r="G2934" s="215">
        <v>2927</v>
      </c>
      <c r="H2934" s="16">
        <f t="shared" ca="1" si="53"/>
        <v>0.12026353910485776</v>
      </c>
    </row>
    <row r="2935" spans="7:8" x14ac:dyDescent="0.35">
      <c r="G2935" s="215">
        <v>2928</v>
      </c>
      <c r="H2935" s="16">
        <f t="shared" ca="1" si="53"/>
        <v>7.7978336598660519E-2</v>
      </c>
    </row>
    <row r="2936" spans="7:8" x14ac:dyDescent="0.35">
      <c r="G2936" s="215">
        <v>2929</v>
      </c>
      <c r="H2936" s="16">
        <f t="shared" ca="1" si="53"/>
        <v>6.186928871452671E-2</v>
      </c>
    </row>
    <row r="2937" spans="7:8" x14ac:dyDescent="0.35">
      <c r="G2937" s="215">
        <v>2930</v>
      </c>
      <c r="H2937" s="16">
        <f t="shared" ca="1" si="53"/>
        <v>-0.18996158021612952</v>
      </c>
    </row>
    <row r="2938" spans="7:8" x14ac:dyDescent="0.35">
      <c r="G2938" s="215">
        <v>2931</v>
      </c>
      <c r="H2938" s="16">
        <f t="shared" ca="1" si="53"/>
        <v>-9.2109159577876722E-4</v>
      </c>
    </row>
    <row r="2939" spans="7:8" x14ac:dyDescent="0.35">
      <c r="G2939" s="215">
        <v>2932</v>
      </c>
      <c r="H2939" s="16">
        <f t="shared" ca="1" si="53"/>
        <v>7.2507972766984244E-2</v>
      </c>
    </row>
    <row r="2940" spans="7:8" x14ac:dyDescent="0.35">
      <c r="G2940" s="215">
        <v>2933</v>
      </c>
      <c r="H2940" s="16">
        <f t="shared" ca="1" si="53"/>
        <v>-2.6666435574478783E-2</v>
      </c>
    </row>
    <row r="2941" spans="7:8" x14ac:dyDescent="0.35">
      <c r="G2941" s="215">
        <v>2934</v>
      </c>
      <c r="H2941" s="16">
        <f t="shared" ca="1" si="53"/>
        <v>-1.6180127794133053E-2</v>
      </c>
    </row>
    <row r="2942" spans="7:8" x14ac:dyDescent="0.35">
      <c r="G2942" s="215">
        <v>2935</v>
      </c>
      <c r="H2942" s="16">
        <f t="shared" ca="1" si="53"/>
        <v>3.5846869891909869E-2</v>
      </c>
    </row>
    <row r="2943" spans="7:8" x14ac:dyDescent="0.35">
      <c r="G2943" s="215">
        <v>2936</v>
      </c>
      <c r="H2943" s="16">
        <f t="shared" ca="1" si="53"/>
        <v>-3.0514991162062226E-2</v>
      </c>
    </row>
    <row r="2944" spans="7:8" x14ac:dyDescent="0.35">
      <c r="G2944" s="215">
        <v>2937</v>
      </c>
      <c r="H2944" s="16">
        <f t="shared" ca="1" si="53"/>
        <v>-8.4469553495517977E-2</v>
      </c>
    </row>
    <row r="2945" spans="7:8" x14ac:dyDescent="0.35">
      <c r="G2945" s="215">
        <v>2938</v>
      </c>
      <c r="H2945" s="16">
        <f t="shared" ca="1" si="53"/>
        <v>-7.7020805054980115E-3</v>
      </c>
    </row>
    <row r="2946" spans="7:8" x14ac:dyDescent="0.35">
      <c r="G2946" s="215">
        <v>2939</v>
      </c>
      <c r="H2946" s="16">
        <f t="shared" ca="1" si="53"/>
        <v>-3.7507354034218579E-2</v>
      </c>
    </row>
    <row r="2947" spans="7:8" x14ac:dyDescent="0.35">
      <c r="G2947" s="215">
        <v>2940</v>
      </c>
      <c r="H2947" s="16">
        <f t="shared" ca="1" si="53"/>
        <v>-7.6108471866390207E-3</v>
      </c>
    </row>
    <row r="2948" spans="7:8" x14ac:dyDescent="0.35">
      <c r="G2948" s="215">
        <v>2941</v>
      </c>
      <c r="H2948" s="16">
        <f t="shared" ca="1" si="53"/>
        <v>2.7131773090387178E-2</v>
      </c>
    </row>
    <row r="2949" spans="7:8" x14ac:dyDescent="0.35">
      <c r="G2949" s="215">
        <v>2942</v>
      </c>
      <c r="H2949" s="16">
        <f t="shared" ca="1" si="53"/>
        <v>6.8691774878128845E-2</v>
      </c>
    </row>
    <row r="2950" spans="7:8" x14ac:dyDescent="0.35">
      <c r="G2950" s="215">
        <v>2943</v>
      </c>
      <c r="H2950" s="16">
        <f t="shared" ca="1" si="53"/>
        <v>1.3956943173995477E-2</v>
      </c>
    </row>
    <row r="2951" spans="7:8" x14ac:dyDescent="0.35">
      <c r="G2951" s="215">
        <v>2944</v>
      </c>
      <c r="H2951" s="16">
        <f t="shared" ca="1" si="53"/>
        <v>0.1523350547393913</v>
      </c>
    </row>
    <row r="2952" spans="7:8" x14ac:dyDescent="0.35">
      <c r="G2952" s="215">
        <v>2945</v>
      </c>
      <c r="H2952" s="16">
        <f t="shared" ref="H2952:H3015" ca="1" si="54">_xlfn.NORM.INV(RAND(),M$10,M$11)</f>
        <v>-4.9198563098921136E-2</v>
      </c>
    </row>
    <row r="2953" spans="7:8" x14ac:dyDescent="0.35">
      <c r="G2953" s="215">
        <v>2946</v>
      </c>
      <c r="H2953" s="16">
        <f t="shared" ca="1" si="54"/>
        <v>1.1839642166582353E-2</v>
      </c>
    </row>
    <row r="2954" spans="7:8" x14ac:dyDescent="0.35">
      <c r="G2954" s="215">
        <v>2947</v>
      </c>
      <c r="H2954" s="16">
        <f t="shared" ca="1" si="54"/>
        <v>8.3884925890241081E-3</v>
      </c>
    </row>
    <row r="2955" spans="7:8" x14ac:dyDescent="0.35">
      <c r="G2955" s="215">
        <v>2948</v>
      </c>
      <c r="H2955" s="16">
        <f t="shared" ca="1" si="54"/>
        <v>0.10397157900467166</v>
      </c>
    </row>
    <row r="2956" spans="7:8" x14ac:dyDescent="0.35">
      <c r="G2956" s="215">
        <v>2949</v>
      </c>
      <c r="H2956" s="16">
        <f t="shared" ca="1" si="54"/>
        <v>-5.0210715068340253E-2</v>
      </c>
    </row>
    <row r="2957" spans="7:8" x14ac:dyDescent="0.35">
      <c r="G2957" s="215">
        <v>2950</v>
      </c>
      <c r="H2957" s="16">
        <f t="shared" ca="1" si="54"/>
        <v>1.7716561215374044E-2</v>
      </c>
    </row>
    <row r="2958" spans="7:8" x14ac:dyDescent="0.35">
      <c r="G2958" s="215">
        <v>2951</v>
      </c>
      <c r="H2958" s="16">
        <f t="shared" ca="1" si="54"/>
        <v>0.13315559449453779</v>
      </c>
    </row>
    <row r="2959" spans="7:8" x14ac:dyDescent="0.35">
      <c r="G2959" s="215">
        <v>2952</v>
      </c>
      <c r="H2959" s="16">
        <f t="shared" ca="1" si="54"/>
        <v>2.0382326780868404E-2</v>
      </c>
    </row>
    <row r="2960" spans="7:8" x14ac:dyDescent="0.35">
      <c r="G2960" s="215">
        <v>2953</v>
      </c>
      <c r="H2960" s="16">
        <f t="shared" ca="1" si="54"/>
        <v>5.5921077361522867E-2</v>
      </c>
    </row>
    <row r="2961" spans="7:8" x14ac:dyDescent="0.35">
      <c r="G2961" s="215">
        <v>2954</v>
      </c>
      <c r="H2961" s="16">
        <f t="shared" ca="1" si="54"/>
        <v>-7.8572843310426757E-2</v>
      </c>
    </row>
    <row r="2962" spans="7:8" x14ac:dyDescent="0.35">
      <c r="G2962" s="215">
        <v>2955</v>
      </c>
      <c r="H2962" s="16">
        <f t="shared" ca="1" si="54"/>
        <v>3.2869380537201842E-2</v>
      </c>
    </row>
    <row r="2963" spans="7:8" x14ac:dyDescent="0.35">
      <c r="G2963" s="215">
        <v>2956</v>
      </c>
      <c r="H2963" s="16">
        <f t="shared" ca="1" si="54"/>
        <v>-1.1950340051315383E-2</v>
      </c>
    </row>
    <row r="2964" spans="7:8" x14ac:dyDescent="0.35">
      <c r="G2964" s="215">
        <v>2957</v>
      </c>
      <c r="H2964" s="16">
        <f t="shared" ca="1" si="54"/>
        <v>5.5885962559368382E-2</v>
      </c>
    </row>
    <row r="2965" spans="7:8" x14ac:dyDescent="0.35">
      <c r="G2965" s="215">
        <v>2958</v>
      </c>
      <c r="H2965" s="16">
        <f t="shared" ca="1" si="54"/>
        <v>-7.45850984873003E-2</v>
      </c>
    </row>
    <row r="2966" spans="7:8" x14ac:dyDescent="0.35">
      <c r="G2966" s="215">
        <v>2959</v>
      </c>
      <c r="H2966" s="16">
        <f t="shared" ca="1" si="54"/>
        <v>-8.2275550809925199E-2</v>
      </c>
    </row>
    <row r="2967" spans="7:8" x14ac:dyDescent="0.35">
      <c r="G2967" s="215">
        <v>2960</v>
      </c>
      <c r="H2967" s="16">
        <f t="shared" ca="1" si="54"/>
        <v>-8.1151985192495293E-3</v>
      </c>
    </row>
    <row r="2968" spans="7:8" x14ac:dyDescent="0.35">
      <c r="G2968" s="215">
        <v>2961</v>
      </c>
      <c r="H2968" s="16">
        <f t="shared" ca="1" si="54"/>
        <v>-8.746729829322826E-2</v>
      </c>
    </row>
    <row r="2969" spans="7:8" x14ac:dyDescent="0.35">
      <c r="G2969" s="215">
        <v>2962</v>
      </c>
      <c r="H2969" s="16">
        <f t="shared" ca="1" si="54"/>
        <v>-6.9928167815586972E-2</v>
      </c>
    </row>
    <row r="2970" spans="7:8" x14ac:dyDescent="0.35">
      <c r="G2970" s="215">
        <v>2963</v>
      </c>
      <c r="H2970" s="16">
        <f t="shared" ca="1" si="54"/>
        <v>9.2579640129394819E-2</v>
      </c>
    </row>
    <row r="2971" spans="7:8" x14ac:dyDescent="0.35">
      <c r="G2971" s="215">
        <v>2964</v>
      </c>
      <c r="H2971" s="16">
        <f t="shared" ca="1" si="54"/>
        <v>1.5526959925018572E-2</v>
      </c>
    </row>
    <row r="2972" spans="7:8" x14ac:dyDescent="0.35">
      <c r="G2972" s="215">
        <v>2965</v>
      </c>
      <c r="H2972" s="16">
        <f t="shared" ca="1" si="54"/>
        <v>0.22934576674405419</v>
      </c>
    </row>
    <row r="2973" spans="7:8" x14ac:dyDescent="0.35">
      <c r="G2973" s="215">
        <v>2966</v>
      </c>
      <c r="H2973" s="16">
        <f t="shared" ca="1" si="54"/>
        <v>-0.18059811489742986</v>
      </c>
    </row>
    <row r="2974" spans="7:8" x14ac:dyDescent="0.35">
      <c r="G2974" s="215">
        <v>2967</v>
      </c>
      <c r="H2974" s="16">
        <f t="shared" ca="1" si="54"/>
        <v>7.8169904788793154E-2</v>
      </c>
    </row>
    <row r="2975" spans="7:8" x14ac:dyDescent="0.35">
      <c r="G2975" s="215">
        <v>2968</v>
      </c>
      <c r="H2975" s="16">
        <f t="shared" ca="1" si="54"/>
        <v>0.13920404083147425</v>
      </c>
    </row>
    <row r="2976" spans="7:8" x14ac:dyDescent="0.35">
      <c r="G2976" s="215">
        <v>2969</v>
      </c>
      <c r="H2976" s="16">
        <f t="shared" ca="1" si="54"/>
        <v>5.7417523708243184E-2</v>
      </c>
    </row>
    <row r="2977" spans="7:8" x14ac:dyDescent="0.35">
      <c r="G2977" s="215">
        <v>2970</v>
      </c>
      <c r="H2977" s="16">
        <f t="shared" ca="1" si="54"/>
        <v>2.5706659453806818E-2</v>
      </c>
    </row>
    <row r="2978" spans="7:8" x14ac:dyDescent="0.35">
      <c r="G2978" s="215">
        <v>2971</v>
      </c>
      <c r="H2978" s="16">
        <f t="shared" ca="1" si="54"/>
        <v>3.8577309016162145E-2</v>
      </c>
    </row>
    <row r="2979" spans="7:8" x14ac:dyDescent="0.35">
      <c r="G2979" s="215">
        <v>2972</v>
      </c>
      <c r="H2979" s="16">
        <f t="shared" ca="1" si="54"/>
        <v>8.2942916266494415E-2</v>
      </c>
    </row>
    <row r="2980" spans="7:8" x14ac:dyDescent="0.35">
      <c r="G2980" s="215">
        <v>2973</v>
      </c>
      <c r="H2980" s="16">
        <f t="shared" ca="1" si="54"/>
        <v>-6.39171682104165E-2</v>
      </c>
    </row>
    <row r="2981" spans="7:8" x14ac:dyDescent="0.35">
      <c r="G2981" s="215">
        <v>2974</v>
      </c>
      <c r="H2981" s="16">
        <f t="shared" ca="1" si="54"/>
        <v>-1.765100590041874E-2</v>
      </c>
    </row>
    <row r="2982" spans="7:8" x14ac:dyDescent="0.35">
      <c r="G2982" s="215">
        <v>2975</v>
      </c>
      <c r="H2982" s="16">
        <f t="shared" ca="1" si="54"/>
        <v>9.9337405194438164E-2</v>
      </c>
    </row>
    <row r="2983" spans="7:8" x14ac:dyDescent="0.35">
      <c r="G2983" s="215">
        <v>2976</v>
      </c>
      <c r="H2983" s="16">
        <f t="shared" ca="1" si="54"/>
        <v>-4.1065389325210325E-2</v>
      </c>
    </row>
    <row r="2984" spans="7:8" x14ac:dyDescent="0.35">
      <c r="G2984" s="215">
        <v>2977</v>
      </c>
      <c r="H2984" s="16">
        <f t="shared" ca="1" si="54"/>
        <v>-0.13033484398084544</v>
      </c>
    </row>
    <row r="2985" spans="7:8" x14ac:dyDescent="0.35">
      <c r="G2985" s="215">
        <v>2978</v>
      </c>
      <c r="H2985" s="16">
        <f t="shared" ca="1" si="54"/>
        <v>-4.9806420119176464E-2</v>
      </c>
    </row>
    <row r="2986" spans="7:8" x14ac:dyDescent="0.35">
      <c r="G2986" s="215">
        <v>2979</v>
      </c>
      <c r="H2986" s="16">
        <f t="shared" ca="1" si="54"/>
        <v>1.415491801903378E-2</v>
      </c>
    </row>
    <row r="2987" spans="7:8" x14ac:dyDescent="0.35">
      <c r="G2987" s="215">
        <v>2980</v>
      </c>
      <c r="H2987" s="16">
        <f t="shared" ca="1" si="54"/>
        <v>7.8824165655583173E-2</v>
      </c>
    </row>
    <row r="2988" spans="7:8" x14ac:dyDescent="0.35">
      <c r="G2988" s="215">
        <v>2981</v>
      </c>
      <c r="H2988" s="16">
        <f t="shared" ca="1" si="54"/>
        <v>4.427749626230168E-2</v>
      </c>
    </row>
    <row r="2989" spans="7:8" x14ac:dyDescent="0.35">
      <c r="G2989" s="215">
        <v>2982</v>
      </c>
      <c r="H2989" s="16">
        <f t="shared" ca="1" si="54"/>
        <v>3.1546778957166413E-2</v>
      </c>
    </row>
    <row r="2990" spans="7:8" x14ac:dyDescent="0.35">
      <c r="G2990" s="215">
        <v>2983</v>
      </c>
      <c r="H2990" s="16">
        <f t="shared" ca="1" si="54"/>
        <v>-3.9772176324875508E-2</v>
      </c>
    </row>
    <row r="2991" spans="7:8" x14ac:dyDescent="0.35">
      <c r="G2991" s="215">
        <v>2984</v>
      </c>
      <c r="H2991" s="16">
        <f t="shared" ca="1" si="54"/>
        <v>-1.3859154206223155E-2</v>
      </c>
    </row>
    <row r="2992" spans="7:8" x14ac:dyDescent="0.35">
      <c r="G2992" s="215">
        <v>2985</v>
      </c>
      <c r="H2992" s="16">
        <f t="shared" ca="1" si="54"/>
        <v>-2.0159230204097808E-3</v>
      </c>
    </row>
    <row r="2993" spans="7:8" x14ac:dyDescent="0.35">
      <c r="G2993" s="215">
        <v>2986</v>
      </c>
      <c r="H2993" s="16">
        <f t="shared" ca="1" si="54"/>
        <v>-7.1125321253859078E-3</v>
      </c>
    </row>
    <row r="2994" spans="7:8" x14ac:dyDescent="0.35">
      <c r="G2994" s="215">
        <v>2987</v>
      </c>
      <c r="H2994" s="16">
        <f t="shared" ca="1" si="54"/>
        <v>-3.359657062438539E-3</v>
      </c>
    </row>
    <row r="2995" spans="7:8" x14ac:dyDescent="0.35">
      <c r="G2995" s="215">
        <v>2988</v>
      </c>
      <c r="H2995" s="16">
        <f t="shared" ca="1" si="54"/>
        <v>6.2020516618255445E-2</v>
      </c>
    </row>
    <row r="2996" spans="7:8" x14ac:dyDescent="0.35">
      <c r="G2996" s="215">
        <v>2989</v>
      </c>
      <c r="H2996" s="16">
        <f t="shared" ca="1" si="54"/>
        <v>-2.3874517366523029E-2</v>
      </c>
    </row>
    <row r="2997" spans="7:8" x14ac:dyDescent="0.35">
      <c r="G2997" s="215">
        <v>2990</v>
      </c>
      <c r="H2997" s="16">
        <f t="shared" ca="1" si="54"/>
        <v>4.922943988186243E-2</v>
      </c>
    </row>
    <row r="2998" spans="7:8" x14ac:dyDescent="0.35">
      <c r="G2998" s="215">
        <v>2991</v>
      </c>
      <c r="H2998" s="16">
        <f t="shared" ca="1" si="54"/>
        <v>0.21712286307568154</v>
      </c>
    </row>
    <row r="2999" spans="7:8" x14ac:dyDescent="0.35">
      <c r="G2999" s="215">
        <v>2992</v>
      </c>
      <c r="H2999" s="16">
        <f t="shared" ca="1" si="54"/>
        <v>3.4025986399922235E-2</v>
      </c>
    </row>
    <row r="3000" spans="7:8" x14ac:dyDescent="0.35">
      <c r="G3000" s="215">
        <v>2993</v>
      </c>
      <c r="H3000" s="16">
        <f t="shared" ca="1" si="54"/>
        <v>7.4046119085271797E-2</v>
      </c>
    </row>
    <row r="3001" spans="7:8" x14ac:dyDescent="0.35">
      <c r="G3001" s="215">
        <v>2994</v>
      </c>
      <c r="H3001" s="16">
        <f t="shared" ca="1" si="54"/>
        <v>1.1731456066019543E-2</v>
      </c>
    </row>
    <row r="3002" spans="7:8" x14ac:dyDescent="0.35">
      <c r="G3002" s="215">
        <v>2995</v>
      </c>
      <c r="H3002" s="16">
        <f t="shared" ca="1" si="54"/>
        <v>5.755998846923574E-2</v>
      </c>
    </row>
    <row r="3003" spans="7:8" x14ac:dyDescent="0.35">
      <c r="G3003" s="215">
        <v>2996</v>
      </c>
      <c r="H3003" s="16">
        <f t="shared" ca="1" si="54"/>
        <v>-6.3027969014048377E-2</v>
      </c>
    </row>
    <row r="3004" spans="7:8" x14ac:dyDescent="0.35">
      <c r="G3004" s="215">
        <v>2997</v>
      </c>
      <c r="H3004" s="16">
        <f t="shared" ca="1" si="54"/>
        <v>6.4752330644125569E-2</v>
      </c>
    </row>
    <row r="3005" spans="7:8" x14ac:dyDescent="0.35">
      <c r="G3005" s="215">
        <v>2998</v>
      </c>
      <c r="H3005" s="16">
        <f t="shared" ca="1" si="54"/>
        <v>7.555409182074084E-2</v>
      </c>
    </row>
    <row r="3006" spans="7:8" x14ac:dyDescent="0.35">
      <c r="G3006" s="215">
        <v>2999</v>
      </c>
      <c r="H3006" s="16">
        <f t="shared" ca="1" si="54"/>
        <v>0.10478187281215079</v>
      </c>
    </row>
    <row r="3007" spans="7:8" x14ac:dyDescent="0.35">
      <c r="G3007" s="215">
        <v>3000</v>
      </c>
      <c r="H3007" s="16">
        <f t="shared" ca="1" si="54"/>
        <v>5.7638129505748967E-2</v>
      </c>
    </row>
    <row r="3008" spans="7:8" x14ac:dyDescent="0.35">
      <c r="G3008" s="215">
        <v>3001</v>
      </c>
      <c r="H3008" s="16">
        <f t="shared" ca="1" si="54"/>
        <v>-4.8845304229994377E-2</v>
      </c>
    </row>
    <row r="3009" spans="7:8" x14ac:dyDescent="0.35">
      <c r="G3009" s="215">
        <v>3002</v>
      </c>
      <c r="H3009" s="16">
        <f t="shared" ca="1" si="54"/>
        <v>2.0828366644472279E-2</v>
      </c>
    </row>
    <row r="3010" spans="7:8" x14ac:dyDescent="0.35">
      <c r="G3010" s="215">
        <v>3003</v>
      </c>
      <c r="H3010" s="16">
        <f t="shared" ca="1" si="54"/>
        <v>-4.5247917413075614E-2</v>
      </c>
    </row>
    <row r="3011" spans="7:8" x14ac:dyDescent="0.35">
      <c r="G3011" s="215">
        <v>3004</v>
      </c>
      <c r="H3011" s="16">
        <f t="shared" ca="1" si="54"/>
        <v>1.9331157101357826E-4</v>
      </c>
    </row>
    <row r="3012" spans="7:8" x14ac:dyDescent="0.35">
      <c r="G3012" s="215">
        <v>3005</v>
      </c>
      <c r="H3012" s="16">
        <f t="shared" ca="1" si="54"/>
        <v>-0.13685406530336883</v>
      </c>
    </row>
    <row r="3013" spans="7:8" x14ac:dyDescent="0.35">
      <c r="G3013" s="215">
        <v>3006</v>
      </c>
      <c r="H3013" s="16">
        <f t="shared" ca="1" si="54"/>
        <v>-9.2874072108539193E-2</v>
      </c>
    </row>
    <row r="3014" spans="7:8" x14ac:dyDescent="0.35">
      <c r="G3014" s="215">
        <v>3007</v>
      </c>
      <c r="H3014" s="16">
        <f t="shared" ca="1" si="54"/>
        <v>3.8713719635885276E-2</v>
      </c>
    </row>
    <row r="3015" spans="7:8" x14ac:dyDescent="0.35">
      <c r="G3015" s="215">
        <v>3008</v>
      </c>
      <c r="H3015" s="16">
        <f t="shared" ca="1" si="54"/>
        <v>0.12800155396688087</v>
      </c>
    </row>
    <row r="3016" spans="7:8" x14ac:dyDescent="0.35">
      <c r="G3016" s="215">
        <v>3009</v>
      </c>
      <c r="H3016" s="16">
        <f t="shared" ref="H3016:H3079" ca="1" si="55">_xlfn.NORM.INV(RAND(),M$10,M$11)</f>
        <v>9.8524277502023319E-2</v>
      </c>
    </row>
    <row r="3017" spans="7:8" x14ac:dyDescent="0.35">
      <c r="G3017" s="215">
        <v>3010</v>
      </c>
      <c r="H3017" s="16">
        <f t="shared" ca="1" si="55"/>
        <v>5.7427831058682738E-2</v>
      </c>
    </row>
    <row r="3018" spans="7:8" x14ac:dyDescent="0.35">
      <c r="G3018" s="215">
        <v>3011</v>
      </c>
      <c r="H3018" s="16">
        <f t="shared" ca="1" si="55"/>
        <v>0.11294706466998444</v>
      </c>
    </row>
    <row r="3019" spans="7:8" x14ac:dyDescent="0.35">
      <c r="G3019" s="215">
        <v>3012</v>
      </c>
      <c r="H3019" s="16">
        <f t="shared" ca="1" si="55"/>
        <v>-8.9629865757285793E-2</v>
      </c>
    </row>
    <row r="3020" spans="7:8" x14ac:dyDescent="0.35">
      <c r="G3020" s="215">
        <v>3013</v>
      </c>
      <c r="H3020" s="16">
        <f t="shared" ca="1" si="55"/>
        <v>-1.0129710098233394E-2</v>
      </c>
    </row>
    <row r="3021" spans="7:8" x14ac:dyDescent="0.35">
      <c r="G3021" s="215">
        <v>3014</v>
      </c>
      <c r="H3021" s="16">
        <f t="shared" ca="1" si="55"/>
        <v>-1.2562233101696827E-2</v>
      </c>
    </row>
    <row r="3022" spans="7:8" x14ac:dyDescent="0.35">
      <c r="G3022" s="215">
        <v>3015</v>
      </c>
      <c r="H3022" s="16">
        <f t="shared" ca="1" si="55"/>
        <v>4.1096817964524704E-3</v>
      </c>
    </row>
    <row r="3023" spans="7:8" x14ac:dyDescent="0.35">
      <c r="G3023" s="215">
        <v>3016</v>
      </c>
      <c r="H3023" s="16">
        <f t="shared" ca="1" si="55"/>
        <v>-4.3776630878315612E-2</v>
      </c>
    </row>
    <row r="3024" spans="7:8" x14ac:dyDescent="0.35">
      <c r="G3024" s="215">
        <v>3017</v>
      </c>
      <c r="H3024" s="16">
        <f t="shared" ca="1" si="55"/>
        <v>6.0771688796215514E-2</v>
      </c>
    </row>
    <row r="3025" spans="7:8" x14ac:dyDescent="0.35">
      <c r="G3025" s="215">
        <v>3018</v>
      </c>
      <c r="H3025" s="16">
        <f t="shared" ca="1" si="55"/>
        <v>-8.3509177865303194E-2</v>
      </c>
    </row>
    <row r="3026" spans="7:8" x14ac:dyDescent="0.35">
      <c r="G3026" s="215">
        <v>3019</v>
      </c>
      <c r="H3026" s="16">
        <f t="shared" ca="1" si="55"/>
        <v>-4.1043463079931203E-2</v>
      </c>
    </row>
    <row r="3027" spans="7:8" x14ac:dyDescent="0.35">
      <c r="G3027" s="215">
        <v>3020</v>
      </c>
      <c r="H3027" s="16">
        <f t="shared" ca="1" si="55"/>
        <v>7.3438111795921149E-2</v>
      </c>
    </row>
    <row r="3028" spans="7:8" x14ac:dyDescent="0.35">
      <c r="G3028" s="215">
        <v>3021</v>
      </c>
      <c r="H3028" s="16">
        <f t="shared" ca="1" si="55"/>
        <v>1.7672166856727511E-2</v>
      </c>
    </row>
    <row r="3029" spans="7:8" x14ac:dyDescent="0.35">
      <c r="G3029" s="215">
        <v>3022</v>
      </c>
      <c r="H3029" s="16">
        <f t="shared" ca="1" si="55"/>
        <v>9.224116336860131E-3</v>
      </c>
    </row>
    <row r="3030" spans="7:8" x14ac:dyDescent="0.35">
      <c r="G3030" s="215">
        <v>3023</v>
      </c>
      <c r="H3030" s="16">
        <f t="shared" ca="1" si="55"/>
        <v>4.5338383384012845E-2</v>
      </c>
    </row>
    <row r="3031" spans="7:8" x14ac:dyDescent="0.35">
      <c r="G3031" s="215">
        <v>3024</v>
      </c>
      <c r="H3031" s="16">
        <f t="shared" ca="1" si="55"/>
        <v>1.2071018932429126E-2</v>
      </c>
    </row>
    <row r="3032" spans="7:8" x14ac:dyDescent="0.35">
      <c r="G3032" s="215">
        <v>3025</v>
      </c>
      <c r="H3032" s="16">
        <f t="shared" ca="1" si="55"/>
        <v>-6.4526561428154008E-2</v>
      </c>
    </row>
    <row r="3033" spans="7:8" x14ac:dyDescent="0.35">
      <c r="G3033" s="215">
        <v>3026</v>
      </c>
      <c r="H3033" s="16">
        <f t="shared" ca="1" si="55"/>
        <v>-2.5345597408707305E-2</v>
      </c>
    </row>
    <row r="3034" spans="7:8" x14ac:dyDescent="0.35">
      <c r="G3034" s="215">
        <v>3027</v>
      </c>
      <c r="H3034" s="16">
        <f t="shared" ca="1" si="55"/>
        <v>6.6616942524727898E-2</v>
      </c>
    </row>
    <row r="3035" spans="7:8" x14ac:dyDescent="0.35">
      <c r="G3035" s="215">
        <v>3028</v>
      </c>
      <c r="H3035" s="16">
        <f t="shared" ca="1" si="55"/>
        <v>7.7149056884973463E-2</v>
      </c>
    </row>
    <row r="3036" spans="7:8" x14ac:dyDescent="0.35">
      <c r="G3036" s="215">
        <v>3029</v>
      </c>
      <c r="H3036" s="16">
        <f t="shared" ca="1" si="55"/>
        <v>-3.5027812909223507E-2</v>
      </c>
    </row>
    <row r="3037" spans="7:8" x14ac:dyDescent="0.35">
      <c r="G3037" s="215">
        <v>3030</v>
      </c>
      <c r="H3037" s="16">
        <f t="shared" ca="1" si="55"/>
        <v>9.897731029080048E-2</v>
      </c>
    </row>
    <row r="3038" spans="7:8" x14ac:dyDescent="0.35">
      <c r="G3038" s="215">
        <v>3031</v>
      </c>
      <c r="H3038" s="16">
        <f t="shared" ca="1" si="55"/>
        <v>2.4887188376989035E-2</v>
      </c>
    </row>
    <row r="3039" spans="7:8" x14ac:dyDescent="0.35">
      <c r="G3039" s="215">
        <v>3032</v>
      </c>
      <c r="H3039" s="16">
        <f t="shared" ca="1" si="55"/>
        <v>1.7800280498662696E-2</v>
      </c>
    </row>
    <row r="3040" spans="7:8" x14ac:dyDescent="0.35">
      <c r="G3040" s="215">
        <v>3033</v>
      </c>
      <c r="H3040" s="16">
        <f t="shared" ca="1" si="55"/>
        <v>-9.0501726645762712E-2</v>
      </c>
    </row>
    <row r="3041" spans="7:8" x14ac:dyDescent="0.35">
      <c r="G3041" s="215">
        <v>3034</v>
      </c>
      <c r="H3041" s="16">
        <f t="shared" ca="1" si="55"/>
        <v>-3.7210707499259463E-2</v>
      </c>
    </row>
    <row r="3042" spans="7:8" x14ac:dyDescent="0.35">
      <c r="G3042" s="215">
        <v>3035</v>
      </c>
      <c r="H3042" s="16">
        <f t="shared" ca="1" si="55"/>
        <v>-4.2583383683819434E-2</v>
      </c>
    </row>
    <row r="3043" spans="7:8" x14ac:dyDescent="0.35">
      <c r="G3043" s="215">
        <v>3036</v>
      </c>
      <c r="H3043" s="16">
        <f t="shared" ca="1" si="55"/>
        <v>2.6635461930030482E-2</v>
      </c>
    </row>
    <row r="3044" spans="7:8" x14ac:dyDescent="0.35">
      <c r="G3044" s="215">
        <v>3037</v>
      </c>
      <c r="H3044" s="16">
        <f t="shared" ca="1" si="55"/>
        <v>2.1907767762224216E-3</v>
      </c>
    </row>
    <row r="3045" spans="7:8" x14ac:dyDescent="0.35">
      <c r="G3045" s="215">
        <v>3038</v>
      </c>
      <c r="H3045" s="16">
        <f t="shared" ca="1" si="55"/>
        <v>3.6521215021554435E-2</v>
      </c>
    </row>
    <row r="3046" spans="7:8" x14ac:dyDescent="0.35">
      <c r="G3046" s="215">
        <v>3039</v>
      </c>
      <c r="H3046" s="16">
        <f t="shared" ca="1" si="55"/>
        <v>1.6385618212836208E-2</v>
      </c>
    </row>
    <row r="3047" spans="7:8" x14ac:dyDescent="0.35">
      <c r="G3047" s="215">
        <v>3040</v>
      </c>
      <c r="H3047" s="16">
        <f t="shared" ca="1" si="55"/>
        <v>-4.3693748525350407E-2</v>
      </c>
    </row>
    <row r="3048" spans="7:8" x14ac:dyDescent="0.35">
      <c r="G3048" s="215">
        <v>3041</v>
      </c>
      <c r="H3048" s="16">
        <f t="shared" ca="1" si="55"/>
        <v>4.0403533085591387E-2</v>
      </c>
    </row>
    <row r="3049" spans="7:8" x14ac:dyDescent="0.35">
      <c r="G3049" s="215">
        <v>3042</v>
      </c>
      <c r="H3049" s="16">
        <f t="shared" ca="1" si="55"/>
        <v>-6.649166853196585E-2</v>
      </c>
    </row>
    <row r="3050" spans="7:8" x14ac:dyDescent="0.35">
      <c r="G3050" s="215">
        <v>3043</v>
      </c>
      <c r="H3050" s="16">
        <f t="shared" ca="1" si="55"/>
        <v>-5.5230541676400263E-2</v>
      </c>
    </row>
    <row r="3051" spans="7:8" x14ac:dyDescent="0.35">
      <c r="G3051" s="215">
        <v>3044</v>
      </c>
      <c r="H3051" s="16">
        <f t="shared" ca="1" si="55"/>
        <v>6.7316662422042969E-2</v>
      </c>
    </row>
    <row r="3052" spans="7:8" x14ac:dyDescent="0.35">
      <c r="G3052" s="215">
        <v>3045</v>
      </c>
      <c r="H3052" s="16">
        <f t="shared" ca="1" si="55"/>
        <v>-2.0427817466979397E-2</v>
      </c>
    </row>
    <row r="3053" spans="7:8" x14ac:dyDescent="0.35">
      <c r="G3053" s="215">
        <v>3046</v>
      </c>
      <c r="H3053" s="16">
        <f t="shared" ca="1" si="55"/>
        <v>7.5154399573403668E-2</v>
      </c>
    </row>
    <row r="3054" spans="7:8" x14ac:dyDescent="0.35">
      <c r="G3054" s="215">
        <v>3047</v>
      </c>
      <c r="H3054" s="16">
        <f t="shared" ca="1" si="55"/>
        <v>-4.6141746180351328E-2</v>
      </c>
    </row>
    <row r="3055" spans="7:8" x14ac:dyDescent="0.35">
      <c r="G3055" s="215">
        <v>3048</v>
      </c>
      <c r="H3055" s="16">
        <f t="shared" ca="1" si="55"/>
        <v>-4.1986459300351539E-2</v>
      </c>
    </row>
    <row r="3056" spans="7:8" x14ac:dyDescent="0.35">
      <c r="G3056" s="215">
        <v>3049</v>
      </c>
      <c r="H3056" s="16">
        <f t="shared" ca="1" si="55"/>
        <v>0.12564623511800585</v>
      </c>
    </row>
    <row r="3057" spans="7:8" x14ac:dyDescent="0.35">
      <c r="G3057" s="215">
        <v>3050</v>
      </c>
      <c r="H3057" s="16">
        <f t="shared" ca="1" si="55"/>
        <v>4.3333878520079402E-2</v>
      </c>
    </row>
    <row r="3058" spans="7:8" x14ac:dyDescent="0.35">
      <c r="G3058" s="215">
        <v>3051</v>
      </c>
      <c r="H3058" s="16">
        <f t="shared" ca="1" si="55"/>
        <v>4.2454955884564174E-2</v>
      </c>
    </row>
    <row r="3059" spans="7:8" x14ac:dyDescent="0.35">
      <c r="G3059" s="215">
        <v>3052</v>
      </c>
      <c r="H3059" s="16">
        <f t="shared" ca="1" si="55"/>
        <v>-3.5880323726780655E-2</v>
      </c>
    </row>
    <row r="3060" spans="7:8" x14ac:dyDescent="0.35">
      <c r="G3060" s="215">
        <v>3053</v>
      </c>
      <c r="H3060" s="16">
        <f t="shared" ca="1" si="55"/>
        <v>2.2078544197618642E-2</v>
      </c>
    </row>
    <row r="3061" spans="7:8" x14ac:dyDescent="0.35">
      <c r="G3061" s="215">
        <v>3054</v>
      </c>
      <c r="H3061" s="16">
        <f t="shared" ca="1" si="55"/>
        <v>-7.2101403993472146E-2</v>
      </c>
    </row>
    <row r="3062" spans="7:8" x14ac:dyDescent="0.35">
      <c r="G3062" s="215">
        <v>3055</v>
      </c>
      <c r="H3062" s="16">
        <f t="shared" ca="1" si="55"/>
        <v>-6.76833867245797E-2</v>
      </c>
    </row>
    <row r="3063" spans="7:8" x14ac:dyDescent="0.35">
      <c r="G3063" s="215">
        <v>3056</v>
      </c>
      <c r="H3063" s="16">
        <f t="shared" ca="1" si="55"/>
        <v>-6.577095529236604E-3</v>
      </c>
    </row>
    <row r="3064" spans="7:8" x14ac:dyDescent="0.35">
      <c r="G3064" s="215">
        <v>3057</v>
      </c>
      <c r="H3064" s="16">
        <f t="shared" ca="1" si="55"/>
        <v>-6.3408013562359145E-2</v>
      </c>
    </row>
    <row r="3065" spans="7:8" x14ac:dyDescent="0.35">
      <c r="G3065" s="215">
        <v>3058</v>
      </c>
      <c r="H3065" s="16">
        <f t="shared" ca="1" si="55"/>
        <v>6.7733328019763991E-2</v>
      </c>
    </row>
    <row r="3066" spans="7:8" x14ac:dyDescent="0.35">
      <c r="G3066" s="215">
        <v>3059</v>
      </c>
      <c r="H3066" s="16">
        <f t="shared" ca="1" si="55"/>
        <v>-0.11108084097555651</v>
      </c>
    </row>
    <row r="3067" spans="7:8" x14ac:dyDescent="0.35">
      <c r="G3067" s="215">
        <v>3060</v>
      </c>
      <c r="H3067" s="16">
        <f t="shared" ca="1" si="55"/>
        <v>9.636704167301996E-2</v>
      </c>
    </row>
    <row r="3068" spans="7:8" x14ac:dyDescent="0.35">
      <c r="G3068" s="215">
        <v>3061</v>
      </c>
      <c r="H3068" s="16">
        <f t="shared" ca="1" si="55"/>
        <v>6.8316231076605977E-2</v>
      </c>
    </row>
    <row r="3069" spans="7:8" x14ac:dyDescent="0.35">
      <c r="G3069" s="215">
        <v>3062</v>
      </c>
      <c r="H3069" s="16">
        <f t="shared" ca="1" si="55"/>
        <v>-0.11732916570710006</v>
      </c>
    </row>
    <row r="3070" spans="7:8" x14ac:dyDescent="0.35">
      <c r="G3070" s="215">
        <v>3063</v>
      </c>
      <c r="H3070" s="16">
        <f t="shared" ca="1" si="55"/>
        <v>0.1444536137399578</v>
      </c>
    </row>
    <row r="3071" spans="7:8" x14ac:dyDescent="0.35">
      <c r="G3071" s="215">
        <v>3064</v>
      </c>
      <c r="H3071" s="16">
        <f t="shared" ca="1" si="55"/>
        <v>3.6642290722867892E-3</v>
      </c>
    </row>
    <row r="3072" spans="7:8" x14ac:dyDescent="0.35">
      <c r="G3072" s="215">
        <v>3065</v>
      </c>
      <c r="H3072" s="16">
        <f t="shared" ca="1" si="55"/>
        <v>-9.25683608483268E-3</v>
      </c>
    </row>
    <row r="3073" spans="7:8" x14ac:dyDescent="0.35">
      <c r="G3073" s="215">
        <v>3066</v>
      </c>
      <c r="H3073" s="16">
        <f t="shared" ca="1" si="55"/>
        <v>-2.1330065244956727E-2</v>
      </c>
    </row>
    <row r="3074" spans="7:8" x14ac:dyDescent="0.35">
      <c r="G3074" s="215">
        <v>3067</v>
      </c>
      <c r="H3074" s="16">
        <f t="shared" ca="1" si="55"/>
        <v>-5.6575596334300107E-2</v>
      </c>
    </row>
    <row r="3075" spans="7:8" x14ac:dyDescent="0.35">
      <c r="G3075" s="215">
        <v>3068</v>
      </c>
      <c r="H3075" s="16">
        <f t="shared" ca="1" si="55"/>
        <v>7.2154666823867194E-3</v>
      </c>
    </row>
    <row r="3076" spans="7:8" x14ac:dyDescent="0.35">
      <c r="G3076" s="215">
        <v>3069</v>
      </c>
      <c r="H3076" s="16">
        <f t="shared" ca="1" si="55"/>
        <v>-5.9121507227470581E-3</v>
      </c>
    </row>
    <row r="3077" spans="7:8" x14ac:dyDescent="0.35">
      <c r="G3077" s="215">
        <v>3070</v>
      </c>
      <c r="H3077" s="16">
        <f t="shared" ca="1" si="55"/>
        <v>2.3274006026982961E-3</v>
      </c>
    </row>
    <row r="3078" spans="7:8" x14ac:dyDescent="0.35">
      <c r="G3078" s="215">
        <v>3071</v>
      </c>
      <c r="H3078" s="16">
        <f t="shared" ca="1" si="55"/>
        <v>0.11980335322466505</v>
      </c>
    </row>
    <row r="3079" spans="7:8" x14ac:dyDescent="0.35">
      <c r="G3079" s="215">
        <v>3072</v>
      </c>
      <c r="H3079" s="16">
        <f t="shared" ca="1" si="55"/>
        <v>-9.3262586710411891E-2</v>
      </c>
    </row>
    <row r="3080" spans="7:8" x14ac:dyDescent="0.35">
      <c r="G3080" s="215">
        <v>3073</v>
      </c>
      <c r="H3080" s="16">
        <f t="shared" ref="H3080:H3143" ca="1" si="56">_xlfn.NORM.INV(RAND(),M$10,M$11)</f>
        <v>-5.1044112351599988E-2</v>
      </c>
    </row>
    <row r="3081" spans="7:8" x14ac:dyDescent="0.35">
      <c r="G3081" s="215">
        <v>3074</v>
      </c>
      <c r="H3081" s="16">
        <f t="shared" ca="1" si="56"/>
        <v>6.9074168474915501E-2</v>
      </c>
    </row>
    <row r="3082" spans="7:8" x14ac:dyDescent="0.35">
      <c r="G3082" s="215">
        <v>3075</v>
      </c>
      <c r="H3082" s="16">
        <f t="shared" ca="1" si="56"/>
        <v>-5.1501283110784349E-2</v>
      </c>
    </row>
    <row r="3083" spans="7:8" x14ac:dyDescent="0.35">
      <c r="G3083" s="215">
        <v>3076</v>
      </c>
      <c r="H3083" s="16">
        <f t="shared" ca="1" si="56"/>
        <v>1.665084925898019E-2</v>
      </c>
    </row>
    <row r="3084" spans="7:8" x14ac:dyDescent="0.35">
      <c r="G3084" s="215">
        <v>3077</v>
      </c>
      <c r="H3084" s="16">
        <f t="shared" ca="1" si="56"/>
        <v>4.9746934482513772E-2</v>
      </c>
    </row>
    <row r="3085" spans="7:8" x14ac:dyDescent="0.35">
      <c r="G3085" s="215">
        <v>3078</v>
      </c>
      <c r="H3085" s="16">
        <f t="shared" ca="1" si="56"/>
        <v>-3.5449963998382919E-2</v>
      </c>
    </row>
    <row r="3086" spans="7:8" x14ac:dyDescent="0.35">
      <c r="G3086" s="215">
        <v>3079</v>
      </c>
      <c r="H3086" s="16">
        <f t="shared" ca="1" si="56"/>
        <v>-4.8494153760552258E-2</v>
      </c>
    </row>
    <row r="3087" spans="7:8" x14ac:dyDescent="0.35">
      <c r="G3087" s="215">
        <v>3080</v>
      </c>
      <c r="H3087" s="16">
        <f t="shared" ca="1" si="56"/>
        <v>5.9345096662047708E-2</v>
      </c>
    </row>
    <row r="3088" spans="7:8" x14ac:dyDescent="0.35">
      <c r="G3088" s="215">
        <v>3081</v>
      </c>
      <c r="H3088" s="16">
        <f t="shared" ca="1" si="56"/>
        <v>1.1690010174940507E-2</v>
      </c>
    </row>
    <row r="3089" spans="7:8" x14ac:dyDescent="0.35">
      <c r="G3089" s="215">
        <v>3082</v>
      </c>
      <c r="H3089" s="16">
        <f t="shared" ca="1" si="56"/>
        <v>-3.1725672466476965E-2</v>
      </c>
    </row>
    <row r="3090" spans="7:8" x14ac:dyDescent="0.35">
      <c r="G3090" s="215">
        <v>3083</v>
      </c>
      <c r="H3090" s="16">
        <f t="shared" ca="1" si="56"/>
        <v>-0.11297644007762475</v>
      </c>
    </row>
    <row r="3091" spans="7:8" x14ac:dyDescent="0.35">
      <c r="G3091" s="215">
        <v>3084</v>
      </c>
      <c r="H3091" s="16">
        <f t="shared" ca="1" si="56"/>
        <v>6.9353646489162785E-2</v>
      </c>
    </row>
    <row r="3092" spans="7:8" x14ac:dyDescent="0.35">
      <c r="G3092" s="215">
        <v>3085</v>
      </c>
      <c r="H3092" s="16">
        <f t="shared" ca="1" si="56"/>
        <v>-8.4592586744018407E-3</v>
      </c>
    </row>
    <row r="3093" spans="7:8" x14ac:dyDescent="0.35">
      <c r="G3093" s="215">
        <v>3086</v>
      </c>
      <c r="H3093" s="16">
        <f t="shared" ca="1" si="56"/>
        <v>-6.8064106346489295E-2</v>
      </c>
    </row>
    <row r="3094" spans="7:8" x14ac:dyDescent="0.35">
      <c r="G3094" s="215">
        <v>3087</v>
      </c>
      <c r="H3094" s="16">
        <f t="shared" ca="1" si="56"/>
        <v>0.12982124866736022</v>
      </c>
    </row>
    <row r="3095" spans="7:8" x14ac:dyDescent="0.35">
      <c r="G3095" s="215">
        <v>3088</v>
      </c>
      <c r="H3095" s="16">
        <f t="shared" ca="1" si="56"/>
        <v>2.62525362564201E-2</v>
      </c>
    </row>
    <row r="3096" spans="7:8" x14ac:dyDescent="0.35">
      <c r="G3096" s="215">
        <v>3089</v>
      </c>
      <c r="H3096" s="16">
        <f t="shared" ca="1" si="56"/>
        <v>2.3606750621047373E-2</v>
      </c>
    </row>
    <row r="3097" spans="7:8" x14ac:dyDescent="0.35">
      <c r="G3097" s="215">
        <v>3090</v>
      </c>
      <c r="H3097" s="16">
        <f t="shared" ca="1" si="56"/>
        <v>8.3745718964807654E-4</v>
      </c>
    </row>
    <row r="3098" spans="7:8" x14ac:dyDescent="0.35">
      <c r="G3098" s="215">
        <v>3091</v>
      </c>
      <c r="H3098" s="16">
        <f t="shared" ca="1" si="56"/>
        <v>-6.4321059032531935E-2</v>
      </c>
    </row>
    <row r="3099" spans="7:8" x14ac:dyDescent="0.35">
      <c r="G3099" s="215">
        <v>3092</v>
      </c>
      <c r="H3099" s="16">
        <f t="shared" ca="1" si="56"/>
        <v>3.8300084265253637E-2</v>
      </c>
    </row>
    <row r="3100" spans="7:8" x14ac:dyDescent="0.35">
      <c r="G3100" s="215">
        <v>3093</v>
      </c>
      <c r="H3100" s="16">
        <f t="shared" ca="1" si="56"/>
        <v>2.0618401624642489E-2</v>
      </c>
    </row>
    <row r="3101" spans="7:8" x14ac:dyDescent="0.35">
      <c r="G3101" s="215">
        <v>3094</v>
      </c>
      <c r="H3101" s="16">
        <f t="shared" ca="1" si="56"/>
        <v>-3.7069203358059619E-3</v>
      </c>
    </row>
    <row r="3102" spans="7:8" x14ac:dyDescent="0.35">
      <c r="G3102" s="215">
        <v>3095</v>
      </c>
      <c r="H3102" s="16">
        <f t="shared" ca="1" si="56"/>
        <v>-5.6511077129787216E-2</v>
      </c>
    </row>
    <row r="3103" spans="7:8" x14ac:dyDescent="0.35">
      <c r="G3103" s="215">
        <v>3096</v>
      </c>
      <c r="H3103" s="16">
        <f t="shared" ca="1" si="56"/>
        <v>-4.2907201899743952E-3</v>
      </c>
    </row>
    <row r="3104" spans="7:8" x14ac:dyDescent="0.35">
      <c r="G3104" s="215">
        <v>3097</v>
      </c>
      <c r="H3104" s="16">
        <f t="shared" ca="1" si="56"/>
        <v>-1.0853351004034503E-2</v>
      </c>
    </row>
    <row r="3105" spans="7:8" x14ac:dyDescent="0.35">
      <c r="G3105" s="215">
        <v>3098</v>
      </c>
      <c r="H3105" s="16">
        <f t="shared" ca="1" si="56"/>
        <v>-0.15815517795746845</v>
      </c>
    </row>
    <row r="3106" spans="7:8" x14ac:dyDescent="0.35">
      <c r="G3106" s="215">
        <v>3099</v>
      </c>
      <c r="H3106" s="16">
        <f t="shared" ca="1" si="56"/>
        <v>1.1689114082394333E-2</v>
      </c>
    </row>
    <row r="3107" spans="7:8" x14ac:dyDescent="0.35">
      <c r="G3107" s="215">
        <v>3100</v>
      </c>
      <c r="H3107" s="16">
        <f t="shared" ca="1" si="56"/>
        <v>5.8648176305397745E-2</v>
      </c>
    </row>
    <row r="3108" spans="7:8" x14ac:dyDescent="0.35">
      <c r="G3108" s="215">
        <v>3101</v>
      </c>
      <c r="H3108" s="16">
        <f t="shared" ca="1" si="56"/>
        <v>3.8137042509461615E-2</v>
      </c>
    </row>
    <row r="3109" spans="7:8" x14ac:dyDescent="0.35">
      <c r="G3109" s="215">
        <v>3102</v>
      </c>
      <c r="H3109" s="16">
        <f t="shared" ca="1" si="56"/>
        <v>0.11215206160634213</v>
      </c>
    </row>
    <row r="3110" spans="7:8" x14ac:dyDescent="0.35">
      <c r="G3110" s="215">
        <v>3103</v>
      </c>
      <c r="H3110" s="16">
        <f t="shared" ca="1" si="56"/>
        <v>8.8915749564981023E-2</v>
      </c>
    </row>
    <row r="3111" spans="7:8" x14ac:dyDescent="0.35">
      <c r="G3111" s="215">
        <v>3104</v>
      </c>
      <c r="H3111" s="16">
        <f t="shared" ca="1" si="56"/>
        <v>-4.0113770840021865E-2</v>
      </c>
    </row>
    <row r="3112" spans="7:8" x14ac:dyDescent="0.35">
      <c r="G3112" s="215">
        <v>3105</v>
      </c>
      <c r="H3112" s="16">
        <f t="shared" ca="1" si="56"/>
        <v>5.9723104730836432E-2</v>
      </c>
    </row>
    <row r="3113" spans="7:8" x14ac:dyDescent="0.35">
      <c r="G3113" s="215">
        <v>3106</v>
      </c>
      <c r="H3113" s="16">
        <f t="shared" ca="1" si="56"/>
        <v>0.14168741367059565</v>
      </c>
    </row>
    <row r="3114" spans="7:8" x14ac:dyDescent="0.35">
      <c r="G3114" s="215">
        <v>3107</v>
      </c>
      <c r="H3114" s="16">
        <f t="shared" ca="1" si="56"/>
        <v>-8.3327547420693343E-2</v>
      </c>
    </row>
    <row r="3115" spans="7:8" x14ac:dyDescent="0.35">
      <c r="G3115" s="215">
        <v>3108</v>
      </c>
      <c r="H3115" s="16">
        <f t="shared" ca="1" si="56"/>
        <v>-3.180731147283003E-2</v>
      </c>
    </row>
    <row r="3116" spans="7:8" x14ac:dyDescent="0.35">
      <c r="G3116" s="215">
        <v>3109</v>
      </c>
      <c r="H3116" s="16">
        <f t="shared" ca="1" si="56"/>
        <v>3.0774005549723125E-2</v>
      </c>
    </row>
    <row r="3117" spans="7:8" x14ac:dyDescent="0.35">
      <c r="G3117" s="215">
        <v>3110</v>
      </c>
      <c r="H3117" s="16">
        <f t="shared" ca="1" si="56"/>
        <v>-3.5996139988456716E-2</v>
      </c>
    </row>
    <row r="3118" spans="7:8" x14ac:dyDescent="0.35">
      <c r="G3118" s="215">
        <v>3111</v>
      </c>
      <c r="H3118" s="16">
        <f t="shared" ca="1" si="56"/>
        <v>4.817001805470951E-2</v>
      </c>
    </row>
    <row r="3119" spans="7:8" x14ac:dyDescent="0.35">
      <c r="G3119" s="215">
        <v>3112</v>
      </c>
      <c r="H3119" s="16">
        <f t="shared" ca="1" si="56"/>
        <v>5.6534185769081336E-3</v>
      </c>
    </row>
    <row r="3120" spans="7:8" x14ac:dyDescent="0.35">
      <c r="G3120" s="215">
        <v>3113</v>
      </c>
      <c r="H3120" s="16">
        <f t="shared" ca="1" si="56"/>
        <v>-5.0548405890200085E-2</v>
      </c>
    </row>
    <row r="3121" spans="7:8" x14ac:dyDescent="0.35">
      <c r="G3121" s="215">
        <v>3114</v>
      </c>
      <c r="H3121" s="16">
        <f t="shared" ca="1" si="56"/>
        <v>-5.6752902150470977E-3</v>
      </c>
    </row>
    <row r="3122" spans="7:8" x14ac:dyDescent="0.35">
      <c r="G3122" s="215">
        <v>3115</v>
      </c>
      <c r="H3122" s="16">
        <f t="shared" ca="1" si="56"/>
        <v>-3.0910257156876227E-2</v>
      </c>
    </row>
    <row r="3123" spans="7:8" x14ac:dyDescent="0.35">
      <c r="G3123" s="215">
        <v>3116</v>
      </c>
      <c r="H3123" s="16">
        <f t="shared" ca="1" si="56"/>
        <v>2.8721579311226295E-2</v>
      </c>
    </row>
    <row r="3124" spans="7:8" x14ac:dyDescent="0.35">
      <c r="G3124" s="215">
        <v>3117</v>
      </c>
      <c r="H3124" s="16">
        <f t="shared" ca="1" si="56"/>
        <v>6.9901386181285607E-2</v>
      </c>
    </row>
    <row r="3125" spans="7:8" x14ac:dyDescent="0.35">
      <c r="G3125" s="215">
        <v>3118</v>
      </c>
      <c r="H3125" s="16">
        <f t="shared" ca="1" si="56"/>
        <v>-5.2405469202454771E-2</v>
      </c>
    </row>
    <row r="3126" spans="7:8" x14ac:dyDescent="0.35">
      <c r="G3126" s="215">
        <v>3119</v>
      </c>
      <c r="H3126" s="16">
        <f t="shared" ca="1" si="56"/>
        <v>5.2961228136692198E-2</v>
      </c>
    </row>
    <row r="3127" spans="7:8" x14ac:dyDescent="0.35">
      <c r="G3127" s="215">
        <v>3120</v>
      </c>
      <c r="H3127" s="16">
        <f t="shared" ca="1" si="56"/>
        <v>-4.2829109648091862E-2</v>
      </c>
    </row>
    <row r="3128" spans="7:8" x14ac:dyDescent="0.35">
      <c r="G3128" s="215">
        <v>3121</v>
      </c>
      <c r="H3128" s="16">
        <f t="shared" ca="1" si="56"/>
        <v>0.16447555577954745</v>
      </c>
    </row>
    <row r="3129" spans="7:8" x14ac:dyDescent="0.35">
      <c r="G3129" s="215">
        <v>3122</v>
      </c>
      <c r="H3129" s="16">
        <f t="shared" ca="1" si="56"/>
        <v>-6.8795372046481604E-2</v>
      </c>
    </row>
    <row r="3130" spans="7:8" x14ac:dyDescent="0.35">
      <c r="G3130" s="215">
        <v>3123</v>
      </c>
      <c r="H3130" s="16">
        <f t="shared" ca="1" si="56"/>
        <v>9.723991988211415E-3</v>
      </c>
    </row>
    <row r="3131" spans="7:8" x14ac:dyDescent="0.35">
      <c r="G3131" s="215">
        <v>3124</v>
      </c>
      <c r="H3131" s="16">
        <f t="shared" ca="1" si="56"/>
        <v>9.2838595089848763E-2</v>
      </c>
    </row>
    <row r="3132" spans="7:8" x14ac:dyDescent="0.35">
      <c r="G3132" s="215">
        <v>3125</v>
      </c>
      <c r="H3132" s="16">
        <f t="shared" ca="1" si="56"/>
        <v>-2.335514161542317E-2</v>
      </c>
    </row>
    <row r="3133" spans="7:8" x14ac:dyDescent="0.35">
      <c r="G3133" s="215">
        <v>3126</v>
      </c>
      <c r="H3133" s="16">
        <f t="shared" ca="1" si="56"/>
        <v>4.4423520824289409E-2</v>
      </c>
    </row>
    <row r="3134" spans="7:8" x14ac:dyDescent="0.35">
      <c r="G3134" s="215">
        <v>3127</v>
      </c>
      <c r="H3134" s="16">
        <f t="shared" ca="1" si="56"/>
        <v>-0.12708417223421756</v>
      </c>
    </row>
    <row r="3135" spans="7:8" x14ac:dyDescent="0.35">
      <c r="G3135" s="215">
        <v>3128</v>
      </c>
      <c r="H3135" s="16">
        <f t="shared" ca="1" si="56"/>
        <v>-9.2180259628794683E-2</v>
      </c>
    </row>
    <row r="3136" spans="7:8" x14ac:dyDescent="0.35">
      <c r="G3136" s="215">
        <v>3129</v>
      </c>
      <c r="H3136" s="16">
        <f t="shared" ca="1" si="56"/>
        <v>2.5144783727090309E-2</v>
      </c>
    </row>
    <row r="3137" spans="7:8" x14ac:dyDescent="0.35">
      <c r="G3137" s="215">
        <v>3130</v>
      </c>
      <c r="H3137" s="16">
        <f t="shared" ca="1" si="56"/>
        <v>-0.13444876801898212</v>
      </c>
    </row>
    <row r="3138" spans="7:8" x14ac:dyDescent="0.35">
      <c r="G3138" s="215">
        <v>3131</v>
      </c>
      <c r="H3138" s="16">
        <f t="shared" ca="1" si="56"/>
        <v>9.584267828919138E-2</v>
      </c>
    </row>
    <row r="3139" spans="7:8" x14ac:dyDescent="0.35">
      <c r="G3139" s="215">
        <v>3132</v>
      </c>
      <c r="H3139" s="16">
        <f t="shared" ca="1" si="56"/>
        <v>-9.905143353561862E-3</v>
      </c>
    </row>
    <row r="3140" spans="7:8" x14ac:dyDescent="0.35">
      <c r="G3140" s="215">
        <v>3133</v>
      </c>
      <c r="H3140" s="16">
        <f t="shared" ca="1" si="56"/>
        <v>0.10514296810950234</v>
      </c>
    </row>
    <row r="3141" spans="7:8" x14ac:dyDescent="0.35">
      <c r="G3141" s="215">
        <v>3134</v>
      </c>
      <c r="H3141" s="16">
        <f t="shared" ca="1" si="56"/>
        <v>3.3688358345959353E-2</v>
      </c>
    </row>
    <row r="3142" spans="7:8" x14ac:dyDescent="0.35">
      <c r="G3142" s="215">
        <v>3135</v>
      </c>
      <c r="H3142" s="16">
        <f t="shared" ca="1" si="56"/>
        <v>3.369024472658258E-2</v>
      </c>
    </row>
    <row r="3143" spans="7:8" x14ac:dyDescent="0.35">
      <c r="G3143" s="215">
        <v>3136</v>
      </c>
      <c r="H3143" s="16">
        <f t="shared" ca="1" si="56"/>
        <v>2.8409582895164986E-2</v>
      </c>
    </row>
    <row r="3144" spans="7:8" x14ac:dyDescent="0.35">
      <c r="G3144" s="215">
        <v>3137</v>
      </c>
      <c r="H3144" s="16">
        <f t="shared" ref="H3144:H3207" ca="1" si="57">_xlfn.NORM.INV(RAND(),M$10,M$11)</f>
        <v>2.9012498135244483E-2</v>
      </c>
    </row>
    <row r="3145" spans="7:8" x14ac:dyDescent="0.35">
      <c r="G3145" s="215">
        <v>3138</v>
      </c>
      <c r="H3145" s="16">
        <f t="shared" ca="1" si="57"/>
        <v>0.10985270459291759</v>
      </c>
    </row>
    <row r="3146" spans="7:8" x14ac:dyDescent="0.35">
      <c r="G3146" s="215">
        <v>3139</v>
      </c>
      <c r="H3146" s="16">
        <f t="shared" ca="1" si="57"/>
        <v>0.11444654133004924</v>
      </c>
    </row>
    <row r="3147" spans="7:8" x14ac:dyDescent="0.35">
      <c r="G3147" s="215">
        <v>3140</v>
      </c>
      <c r="H3147" s="16">
        <f t="shared" ca="1" si="57"/>
        <v>-8.9570080536504088E-2</v>
      </c>
    </row>
    <row r="3148" spans="7:8" x14ac:dyDescent="0.35">
      <c r="G3148" s="215">
        <v>3141</v>
      </c>
      <c r="H3148" s="16">
        <f t="shared" ca="1" si="57"/>
        <v>-1.9222110008994129E-2</v>
      </c>
    </row>
    <row r="3149" spans="7:8" x14ac:dyDescent="0.35">
      <c r="G3149" s="215">
        <v>3142</v>
      </c>
      <c r="H3149" s="16">
        <f t="shared" ca="1" si="57"/>
        <v>7.0395378562393057E-2</v>
      </c>
    </row>
    <row r="3150" spans="7:8" x14ac:dyDescent="0.35">
      <c r="G3150" s="215">
        <v>3143</v>
      </c>
      <c r="H3150" s="16">
        <f t="shared" ca="1" si="57"/>
        <v>-3.7932883674584875E-2</v>
      </c>
    </row>
    <row r="3151" spans="7:8" x14ac:dyDescent="0.35">
      <c r="G3151" s="215">
        <v>3144</v>
      </c>
      <c r="H3151" s="16">
        <f t="shared" ca="1" si="57"/>
        <v>-1.6055450142795292E-2</v>
      </c>
    </row>
    <row r="3152" spans="7:8" x14ac:dyDescent="0.35">
      <c r="G3152" s="215">
        <v>3145</v>
      </c>
      <c r="H3152" s="16">
        <f t="shared" ca="1" si="57"/>
        <v>6.3959368474544823E-2</v>
      </c>
    </row>
    <row r="3153" spans="7:8" x14ac:dyDescent="0.35">
      <c r="G3153" s="215">
        <v>3146</v>
      </c>
      <c r="H3153" s="16">
        <f t="shared" ca="1" si="57"/>
        <v>-1.4902522489105934E-2</v>
      </c>
    </row>
    <row r="3154" spans="7:8" x14ac:dyDescent="0.35">
      <c r="G3154" s="215">
        <v>3147</v>
      </c>
      <c r="H3154" s="16">
        <f t="shared" ca="1" si="57"/>
        <v>-0.10720309677438236</v>
      </c>
    </row>
    <row r="3155" spans="7:8" x14ac:dyDescent="0.35">
      <c r="G3155" s="215">
        <v>3148</v>
      </c>
      <c r="H3155" s="16">
        <f t="shared" ca="1" si="57"/>
        <v>1.5972631315663708E-2</v>
      </c>
    </row>
    <row r="3156" spans="7:8" x14ac:dyDescent="0.35">
      <c r="G3156" s="215">
        <v>3149</v>
      </c>
      <c r="H3156" s="16">
        <f t="shared" ca="1" si="57"/>
        <v>-8.1192288106757132E-2</v>
      </c>
    </row>
    <row r="3157" spans="7:8" x14ac:dyDescent="0.35">
      <c r="G3157" s="215">
        <v>3150</v>
      </c>
      <c r="H3157" s="16">
        <f t="shared" ca="1" si="57"/>
        <v>-0.10007640317558252</v>
      </c>
    </row>
    <row r="3158" spans="7:8" x14ac:dyDescent="0.35">
      <c r="G3158" s="215">
        <v>3151</v>
      </c>
      <c r="H3158" s="16">
        <f t="shared" ca="1" si="57"/>
        <v>3.3114385428306151E-2</v>
      </c>
    </row>
    <row r="3159" spans="7:8" x14ac:dyDescent="0.35">
      <c r="G3159" s="215">
        <v>3152</v>
      </c>
      <c r="H3159" s="16">
        <f t="shared" ca="1" si="57"/>
        <v>-7.9962571099738478E-2</v>
      </c>
    </row>
    <row r="3160" spans="7:8" x14ac:dyDescent="0.35">
      <c r="G3160" s="215">
        <v>3153</v>
      </c>
      <c r="H3160" s="16">
        <f t="shared" ca="1" si="57"/>
        <v>-4.939778247463382E-3</v>
      </c>
    </row>
    <row r="3161" spans="7:8" x14ac:dyDescent="0.35">
      <c r="G3161" s="215">
        <v>3154</v>
      </c>
      <c r="H3161" s="16">
        <f t="shared" ca="1" si="57"/>
        <v>-1.4356558976242103E-3</v>
      </c>
    </row>
    <row r="3162" spans="7:8" x14ac:dyDescent="0.35">
      <c r="G3162" s="215">
        <v>3155</v>
      </c>
      <c r="H3162" s="16">
        <f t="shared" ca="1" si="57"/>
        <v>0.10422744432435758</v>
      </c>
    </row>
    <row r="3163" spans="7:8" x14ac:dyDescent="0.35">
      <c r="G3163" s="215">
        <v>3156</v>
      </c>
      <c r="H3163" s="16">
        <f t="shared" ca="1" si="57"/>
        <v>-0.13091633188389251</v>
      </c>
    </row>
    <row r="3164" spans="7:8" x14ac:dyDescent="0.35">
      <c r="G3164" s="215">
        <v>3157</v>
      </c>
      <c r="H3164" s="16">
        <f t="shared" ca="1" si="57"/>
        <v>0.11897236543404849</v>
      </c>
    </row>
    <row r="3165" spans="7:8" x14ac:dyDescent="0.35">
      <c r="G3165" s="215">
        <v>3158</v>
      </c>
      <c r="H3165" s="16">
        <f t="shared" ca="1" si="57"/>
        <v>-5.5088469524222958E-2</v>
      </c>
    </row>
    <row r="3166" spans="7:8" x14ac:dyDescent="0.35">
      <c r="G3166" s="215">
        <v>3159</v>
      </c>
      <c r="H3166" s="16">
        <f t="shared" ca="1" si="57"/>
        <v>-2.7898926287231087E-2</v>
      </c>
    </row>
    <row r="3167" spans="7:8" x14ac:dyDescent="0.35">
      <c r="G3167" s="215">
        <v>3160</v>
      </c>
      <c r="H3167" s="16">
        <f t="shared" ca="1" si="57"/>
        <v>-2.9072417434682387E-2</v>
      </c>
    </row>
    <row r="3168" spans="7:8" x14ac:dyDescent="0.35">
      <c r="G3168" s="215">
        <v>3161</v>
      </c>
      <c r="H3168" s="16">
        <f t="shared" ca="1" si="57"/>
        <v>9.3630616861837164E-3</v>
      </c>
    </row>
    <row r="3169" spans="7:8" x14ac:dyDescent="0.35">
      <c r="G3169" s="215">
        <v>3162</v>
      </c>
      <c r="H3169" s="16">
        <f t="shared" ca="1" si="57"/>
        <v>3.0609107833192976E-2</v>
      </c>
    </row>
    <row r="3170" spans="7:8" x14ac:dyDescent="0.35">
      <c r="G3170" s="215">
        <v>3163</v>
      </c>
      <c r="H3170" s="16">
        <f t="shared" ca="1" si="57"/>
        <v>2.3270484398408772E-2</v>
      </c>
    </row>
    <row r="3171" spans="7:8" x14ac:dyDescent="0.35">
      <c r="G3171" s="215">
        <v>3164</v>
      </c>
      <c r="H3171" s="16">
        <f t="shared" ca="1" si="57"/>
        <v>3.1267735603938508E-2</v>
      </c>
    </row>
    <row r="3172" spans="7:8" x14ac:dyDescent="0.35">
      <c r="G3172" s="215">
        <v>3165</v>
      </c>
      <c r="H3172" s="16">
        <f t="shared" ca="1" si="57"/>
        <v>-2.9219435952255669E-2</v>
      </c>
    </row>
    <row r="3173" spans="7:8" x14ac:dyDescent="0.35">
      <c r="G3173" s="215">
        <v>3166</v>
      </c>
      <c r="H3173" s="16">
        <f t="shared" ca="1" si="57"/>
        <v>-1.1005238576229866E-2</v>
      </c>
    </row>
    <row r="3174" spans="7:8" x14ac:dyDescent="0.35">
      <c r="G3174" s="215">
        <v>3167</v>
      </c>
      <c r="H3174" s="16">
        <f t="shared" ca="1" si="57"/>
        <v>8.2285796937265315E-2</v>
      </c>
    </row>
    <row r="3175" spans="7:8" x14ac:dyDescent="0.35">
      <c r="G3175" s="215">
        <v>3168</v>
      </c>
      <c r="H3175" s="16">
        <f t="shared" ca="1" si="57"/>
        <v>6.024308970944062E-3</v>
      </c>
    </row>
    <row r="3176" spans="7:8" x14ac:dyDescent="0.35">
      <c r="G3176" s="215">
        <v>3169</v>
      </c>
      <c r="H3176" s="16">
        <f t="shared" ca="1" si="57"/>
        <v>-8.2547128879165377E-2</v>
      </c>
    </row>
    <row r="3177" spans="7:8" x14ac:dyDescent="0.35">
      <c r="G3177" s="215">
        <v>3170</v>
      </c>
      <c r="H3177" s="16">
        <f t="shared" ca="1" si="57"/>
        <v>9.0528016335342763E-3</v>
      </c>
    </row>
    <row r="3178" spans="7:8" x14ac:dyDescent="0.35">
      <c r="G3178" s="215">
        <v>3171</v>
      </c>
      <c r="H3178" s="16">
        <f t="shared" ca="1" si="57"/>
        <v>0.12854060138781015</v>
      </c>
    </row>
    <row r="3179" spans="7:8" x14ac:dyDescent="0.35">
      <c r="G3179" s="215">
        <v>3172</v>
      </c>
      <c r="H3179" s="16">
        <f t="shared" ca="1" si="57"/>
        <v>-1.1441887439508615E-2</v>
      </c>
    </row>
    <row r="3180" spans="7:8" x14ac:dyDescent="0.35">
      <c r="G3180" s="215">
        <v>3173</v>
      </c>
      <c r="H3180" s="16">
        <f t="shared" ca="1" si="57"/>
        <v>7.5866134834951027E-2</v>
      </c>
    </row>
    <row r="3181" spans="7:8" x14ac:dyDescent="0.35">
      <c r="G3181" s="215">
        <v>3174</v>
      </c>
      <c r="H3181" s="16">
        <f t="shared" ca="1" si="57"/>
        <v>4.9896728817369576E-2</v>
      </c>
    </row>
    <row r="3182" spans="7:8" x14ac:dyDescent="0.35">
      <c r="G3182" s="215">
        <v>3175</v>
      </c>
      <c r="H3182" s="16">
        <f t="shared" ca="1" si="57"/>
        <v>0.13510227081224255</v>
      </c>
    </row>
    <row r="3183" spans="7:8" x14ac:dyDescent="0.35">
      <c r="G3183" s="215">
        <v>3176</v>
      </c>
      <c r="H3183" s="16">
        <f t="shared" ca="1" si="57"/>
        <v>-0.14153034642745138</v>
      </c>
    </row>
    <row r="3184" spans="7:8" x14ac:dyDescent="0.35">
      <c r="G3184" s="215">
        <v>3177</v>
      </c>
      <c r="H3184" s="16">
        <f t="shared" ca="1" si="57"/>
        <v>3.7458662475220145E-2</v>
      </c>
    </row>
    <row r="3185" spans="7:8" x14ac:dyDescent="0.35">
      <c r="G3185" s="215">
        <v>3178</v>
      </c>
      <c r="H3185" s="16">
        <f t="shared" ca="1" si="57"/>
        <v>5.4520935017485991E-2</v>
      </c>
    </row>
    <row r="3186" spans="7:8" x14ac:dyDescent="0.35">
      <c r="G3186" s="215">
        <v>3179</v>
      </c>
      <c r="H3186" s="16">
        <f t="shared" ca="1" si="57"/>
        <v>-1.5495768596288408E-3</v>
      </c>
    </row>
    <row r="3187" spans="7:8" x14ac:dyDescent="0.35">
      <c r="G3187" s="215">
        <v>3180</v>
      </c>
      <c r="H3187" s="16">
        <f t="shared" ca="1" si="57"/>
        <v>3.0496002266205899E-2</v>
      </c>
    </row>
    <row r="3188" spans="7:8" x14ac:dyDescent="0.35">
      <c r="G3188" s="215">
        <v>3181</v>
      </c>
      <c r="H3188" s="16">
        <f t="shared" ca="1" si="57"/>
        <v>-4.5174544163256919E-2</v>
      </c>
    </row>
    <row r="3189" spans="7:8" x14ac:dyDescent="0.35">
      <c r="G3189" s="215">
        <v>3182</v>
      </c>
      <c r="H3189" s="16">
        <f t="shared" ca="1" si="57"/>
        <v>-3.6273900802602108E-2</v>
      </c>
    </row>
    <row r="3190" spans="7:8" x14ac:dyDescent="0.35">
      <c r="G3190" s="215">
        <v>3183</v>
      </c>
      <c r="H3190" s="16">
        <f t="shared" ca="1" si="57"/>
        <v>-5.1888130532518978E-2</v>
      </c>
    </row>
    <row r="3191" spans="7:8" x14ac:dyDescent="0.35">
      <c r="G3191" s="215">
        <v>3184</v>
      </c>
      <c r="H3191" s="16">
        <f t="shared" ca="1" si="57"/>
        <v>4.4549856070798713E-2</v>
      </c>
    </row>
    <row r="3192" spans="7:8" x14ac:dyDescent="0.35">
      <c r="G3192" s="215">
        <v>3185</v>
      </c>
      <c r="H3192" s="16">
        <f t="shared" ca="1" si="57"/>
        <v>-6.5704845227868638E-3</v>
      </c>
    </row>
    <row r="3193" spans="7:8" x14ac:dyDescent="0.35">
      <c r="G3193" s="215">
        <v>3186</v>
      </c>
      <c r="H3193" s="16">
        <f t="shared" ca="1" si="57"/>
        <v>3.6752963620228771E-2</v>
      </c>
    </row>
    <row r="3194" spans="7:8" x14ac:dyDescent="0.35">
      <c r="G3194" s="215">
        <v>3187</v>
      </c>
      <c r="H3194" s="16">
        <f t="shared" ca="1" si="57"/>
        <v>2.7492801978020984E-2</v>
      </c>
    </row>
    <row r="3195" spans="7:8" x14ac:dyDescent="0.35">
      <c r="G3195" s="215">
        <v>3188</v>
      </c>
      <c r="H3195" s="16">
        <f t="shared" ca="1" si="57"/>
        <v>0.15547656132104398</v>
      </c>
    </row>
    <row r="3196" spans="7:8" x14ac:dyDescent="0.35">
      <c r="G3196" s="215">
        <v>3189</v>
      </c>
      <c r="H3196" s="16">
        <f t="shared" ca="1" si="57"/>
        <v>6.0233349560159842E-3</v>
      </c>
    </row>
    <row r="3197" spans="7:8" x14ac:dyDescent="0.35">
      <c r="G3197" s="215">
        <v>3190</v>
      </c>
      <c r="H3197" s="16">
        <f t="shared" ca="1" si="57"/>
        <v>3.5820555841425926E-2</v>
      </c>
    </row>
    <row r="3198" spans="7:8" x14ac:dyDescent="0.35">
      <c r="G3198" s="215">
        <v>3191</v>
      </c>
      <c r="H3198" s="16">
        <f t="shared" ca="1" si="57"/>
        <v>-7.5716086875024416E-2</v>
      </c>
    </row>
    <row r="3199" spans="7:8" x14ac:dyDescent="0.35">
      <c r="G3199" s="215">
        <v>3192</v>
      </c>
      <c r="H3199" s="16">
        <f t="shared" ca="1" si="57"/>
        <v>8.8541053995248656E-2</v>
      </c>
    </row>
    <row r="3200" spans="7:8" x14ac:dyDescent="0.35">
      <c r="G3200" s="215">
        <v>3193</v>
      </c>
      <c r="H3200" s="16">
        <f t="shared" ca="1" si="57"/>
        <v>-4.3460054760200359E-2</v>
      </c>
    </row>
    <row r="3201" spans="7:8" x14ac:dyDescent="0.35">
      <c r="G3201" s="215">
        <v>3194</v>
      </c>
      <c r="H3201" s="16">
        <f t="shared" ca="1" si="57"/>
        <v>2.9120436535314289E-2</v>
      </c>
    </row>
    <row r="3202" spans="7:8" x14ac:dyDescent="0.35">
      <c r="G3202" s="215">
        <v>3195</v>
      </c>
      <c r="H3202" s="16">
        <f t="shared" ca="1" si="57"/>
        <v>-8.8735892665247756E-3</v>
      </c>
    </row>
    <row r="3203" spans="7:8" x14ac:dyDescent="0.35">
      <c r="G3203" s="215">
        <v>3196</v>
      </c>
      <c r="H3203" s="16">
        <f t="shared" ca="1" si="57"/>
        <v>-6.5414113937609195E-2</v>
      </c>
    </row>
    <row r="3204" spans="7:8" x14ac:dyDescent="0.35">
      <c r="G3204" s="215">
        <v>3197</v>
      </c>
      <c r="H3204" s="16">
        <f t="shared" ca="1" si="57"/>
        <v>-8.4866895456118724E-2</v>
      </c>
    </row>
    <row r="3205" spans="7:8" x14ac:dyDescent="0.35">
      <c r="G3205" s="215">
        <v>3198</v>
      </c>
      <c r="H3205" s="16">
        <f t="shared" ca="1" si="57"/>
        <v>-5.2461101061059306E-2</v>
      </c>
    </row>
    <row r="3206" spans="7:8" x14ac:dyDescent="0.35">
      <c r="G3206" s="215">
        <v>3199</v>
      </c>
      <c r="H3206" s="16">
        <f t="shared" ca="1" si="57"/>
        <v>-5.5885648712031277E-2</v>
      </c>
    </row>
    <row r="3207" spans="7:8" x14ac:dyDescent="0.35">
      <c r="G3207" s="215">
        <v>3200</v>
      </c>
      <c r="H3207" s="16">
        <f t="shared" ca="1" si="57"/>
        <v>-5.409821268745818E-2</v>
      </c>
    </row>
    <row r="3208" spans="7:8" x14ac:dyDescent="0.35">
      <c r="G3208" s="215">
        <v>3201</v>
      </c>
      <c r="H3208" s="16">
        <f t="shared" ref="H3208:H3271" ca="1" si="58">_xlfn.NORM.INV(RAND(),M$10,M$11)</f>
        <v>2.0528757585192708E-2</v>
      </c>
    </row>
    <row r="3209" spans="7:8" x14ac:dyDescent="0.35">
      <c r="G3209" s="215">
        <v>3202</v>
      </c>
      <c r="H3209" s="16">
        <f t="shared" ca="1" si="58"/>
        <v>4.7030720951763541E-2</v>
      </c>
    </row>
    <row r="3210" spans="7:8" x14ac:dyDescent="0.35">
      <c r="G3210" s="215">
        <v>3203</v>
      </c>
      <c r="H3210" s="16">
        <f t="shared" ca="1" si="58"/>
        <v>0.10589465685693322</v>
      </c>
    </row>
    <row r="3211" spans="7:8" x14ac:dyDescent="0.35">
      <c r="G3211" s="215">
        <v>3204</v>
      </c>
      <c r="H3211" s="16">
        <f t="shared" ca="1" si="58"/>
        <v>9.4226216385929915E-2</v>
      </c>
    </row>
    <row r="3212" spans="7:8" x14ac:dyDescent="0.35">
      <c r="G3212" s="215">
        <v>3205</v>
      </c>
      <c r="H3212" s="16">
        <f t="shared" ca="1" si="58"/>
        <v>-5.80355061274615E-3</v>
      </c>
    </row>
    <row r="3213" spans="7:8" x14ac:dyDescent="0.35">
      <c r="G3213" s="215">
        <v>3206</v>
      </c>
      <c r="H3213" s="16">
        <f t="shared" ca="1" si="58"/>
        <v>-3.1347942847987906E-2</v>
      </c>
    </row>
    <row r="3214" spans="7:8" x14ac:dyDescent="0.35">
      <c r="G3214" s="215">
        <v>3207</v>
      </c>
      <c r="H3214" s="16">
        <f t="shared" ca="1" si="58"/>
        <v>-0.13351753254402882</v>
      </c>
    </row>
    <row r="3215" spans="7:8" x14ac:dyDescent="0.35">
      <c r="G3215" s="215">
        <v>3208</v>
      </c>
      <c r="H3215" s="16">
        <f t="shared" ca="1" si="58"/>
        <v>1.4507464444993127E-2</v>
      </c>
    </row>
    <row r="3216" spans="7:8" x14ac:dyDescent="0.35">
      <c r="G3216" s="215">
        <v>3209</v>
      </c>
      <c r="H3216" s="16">
        <f t="shared" ca="1" si="58"/>
        <v>5.4834921178408668E-3</v>
      </c>
    </row>
    <row r="3217" spans="7:8" x14ac:dyDescent="0.35">
      <c r="G3217" s="215">
        <v>3210</v>
      </c>
      <c r="H3217" s="16">
        <f t="shared" ca="1" si="58"/>
        <v>4.5377184203558976E-2</v>
      </c>
    </row>
    <row r="3218" spans="7:8" x14ac:dyDescent="0.35">
      <c r="G3218" s="215">
        <v>3211</v>
      </c>
      <c r="H3218" s="16">
        <f t="shared" ca="1" si="58"/>
        <v>-2.6444057688722145E-2</v>
      </c>
    </row>
    <row r="3219" spans="7:8" x14ac:dyDescent="0.35">
      <c r="G3219" s="215">
        <v>3212</v>
      </c>
      <c r="H3219" s="16">
        <f t="shared" ca="1" si="58"/>
        <v>-2.7242099717133369E-2</v>
      </c>
    </row>
    <row r="3220" spans="7:8" x14ac:dyDescent="0.35">
      <c r="G3220" s="215">
        <v>3213</v>
      </c>
      <c r="H3220" s="16">
        <f t="shared" ca="1" si="58"/>
        <v>-5.9917135697550125E-2</v>
      </c>
    </row>
    <row r="3221" spans="7:8" x14ac:dyDescent="0.35">
      <c r="G3221" s="215">
        <v>3214</v>
      </c>
      <c r="H3221" s="16">
        <f t="shared" ca="1" si="58"/>
        <v>-4.4154170159179815E-2</v>
      </c>
    </row>
    <row r="3222" spans="7:8" x14ac:dyDescent="0.35">
      <c r="G3222" s="215">
        <v>3215</v>
      </c>
      <c r="H3222" s="16">
        <f t="shared" ca="1" si="58"/>
        <v>1.5417142490423471E-3</v>
      </c>
    </row>
    <row r="3223" spans="7:8" x14ac:dyDescent="0.35">
      <c r="G3223" s="215">
        <v>3216</v>
      </c>
      <c r="H3223" s="16">
        <f t="shared" ca="1" si="58"/>
        <v>9.1263407322569531E-4</v>
      </c>
    </row>
    <row r="3224" spans="7:8" x14ac:dyDescent="0.35">
      <c r="G3224" s="215">
        <v>3217</v>
      </c>
      <c r="H3224" s="16">
        <f t="shared" ca="1" si="58"/>
        <v>8.0920417698381319E-2</v>
      </c>
    </row>
    <row r="3225" spans="7:8" x14ac:dyDescent="0.35">
      <c r="G3225" s="215">
        <v>3218</v>
      </c>
      <c r="H3225" s="16">
        <f t="shared" ca="1" si="58"/>
        <v>-4.9849579431497162E-2</v>
      </c>
    </row>
    <row r="3226" spans="7:8" x14ac:dyDescent="0.35">
      <c r="G3226" s="215">
        <v>3219</v>
      </c>
      <c r="H3226" s="16">
        <f t="shared" ca="1" si="58"/>
        <v>-3.3548662562385062E-2</v>
      </c>
    </row>
    <row r="3227" spans="7:8" x14ac:dyDescent="0.35">
      <c r="G3227" s="215">
        <v>3220</v>
      </c>
      <c r="H3227" s="16">
        <f t="shared" ca="1" si="58"/>
        <v>0.14872343796516688</v>
      </c>
    </row>
    <row r="3228" spans="7:8" x14ac:dyDescent="0.35">
      <c r="G3228" s="215">
        <v>3221</v>
      </c>
      <c r="H3228" s="16">
        <f t="shared" ca="1" si="58"/>
        <v>1.8853710248911949E-2</v>
      </c>
    </row>
    <row r="3229" spans="7:8" x14ac:dyDescent="0.35">
      <c r="G3229" s="215">
        <v>3222</v>
      </c>
      <c r="H3229" s="16">
        <f t="shared" ca="1" si="58"/>
        <v>-0.14075501283512035</v>
      </c>
    </row>
    <row r="3230" spans="7:8" x14ac:dyDescent="0.35">
      <c r="G3230" s="215">
        <v>3223</v>
      </c>
      <c r="H3230" s="16">
        <f t="shared" ca="1" si="58"/>
        <v>0.28217499131067786</v>
      </c>
    </row>
    <row r="3231" spans="7:8" x14ac:dyDescent="0.35">
      <c r="G3231" s="215">
        <v>3224</v>
      </c>
      <c r="H3231" s="16">
        <f t="shared" ca="1" si="58"/>
        <v>6.965787693946944E-2</v>
      </c>
    </row>
    <row r="3232" spans="7:8" x14ac:dyDescent="0.35">
      <c r="G3232" s="215">
        <v>3225</v>
      </c>
      <c r="H3232" s="16">
        <f t="shared" ca="1" si="58"/>
        <v>7.9853596099663401E-2</v>
      </c>
    </row>
    <row r="3233" spans="7:8" x14ac:dyDescent="0.35">
      <c r="G3233" s="215">
        <v>3226</v>
      </c>
      <c r="H3233" s="16">
        <f t="shared" ca="1" si="58"/>
        <v>2.5226205598119576E-2</v>
      </c>
    </row>
    <row r="3234" spans="7:8" x14ac:dyDescent="0.35">
      <c r="G3234" s="215">
        <v>3227</v>
      </c>
      <c r="H3234" s="16">
        <f t="shared" ca="1" si="58"/>
        <v>8.0478499793167069E-4</v>
      </c>
    </row>
    <row r="3235" spans="7:8" x14ac:dyDescent="0.35">
      <c r="G3235" s="215">
        <v>3228</v>
      </c>
      <c r="H3235" s="16">
        <f t="shared" ca="1" si="58"/>
        <v>0.11023443553329648</v>
      </c>
    </row>
    <row r="3236" spans="7:8" x14ac:dyDescent="0.35">
      <c r="G3236" s="215">
        <v>3229</v>
      </c>
      <c r="H3236" s="16">
        <f t="shared" ca="1" si="58"/>
        <v>-8.5950666694696573E-2</v>
      </c>
    </row>
    <row r="3237" spans="7:8" x14ac:dyDescent="0.35">
      <c r="G3237" s="215">
        <v>3230</v>
      </c>
      <c r="H3237" s="16">
        <f t="shared" ca="1" si="58"/>
        <v>6.8381561020020562E-2</v>
      </c>
    </row>
    <row r="3238" spans="7:8" x14ac:dyDescent="0.35">
      <c r="G3238" s="215">
        <v>3231</v>
      </c>
      <c r="H3238" s="16">
        <f t="shared" ca="1" si="58"/>
        <v>3.6774241246149891E-2</v>
      </c>
    </row>
    <row r="3239" spans="7:8" x14ac:dyDescent="0.35">
      <c r="G3239" s="215">
        <v>3232</v>
      </c>
      <c r="H3239" s="16">
        <f t="shared" ca="1" si="58"/>
        <v>-8.5357308261299863E-2</v>
      </c>
    </row>
    <row r="3240" spans="7:8" x14ac:dyDescent="0.35">
      <c r="G3240" s="215">
        <v>3233</v>
      </c>
      <c r="H3240" s="16">
        <f t="shared" ca="1" si="58"/>
        <v>-4.658228783837394E-2</v>
      </c>
    </row>
    <row r="3241" spans="7:8" x14ac:dyDescent="0.35">
      <c r="G3241" s="215">
        <v>3234</v>
      </c>
      <c r="H3241" s="16">
        <f t="shared" ca="1" si="58"/>
        <v>-1.7330048350325984E-2</v>
      </c>
    </row>
    <row r="3242" spans="7:8" x14ac:dyDescent="0.35">
      <c r="G3242" s="215">
        <v>3235</v>
      </c>
      <c r="H3242" s="16">
        <f t="shared" ca="1" si="58"/>
        <v>0.1203121107001244</v>
      </c>
    </row>
    <row r="3243" spans="7:8" x14ac:dyDescent="0.35">
      <c r="G3243" s="215">
        <v>3236</v>
      </c>
      <c r="H3243" s="16">
        <f t="shared" ca="1" si="58"/>
        <v>-2.6014313677718569E-2</v>
      </c>
    </row>
    <row r="3244" spans="7:8" x14ac:dyDescent="0.35">
      <c r="G3244" s="215">
        <v>3237</v>
      </c>
      <c r="H3244" s="16">
        <f t="shared" ca="1" si="58"/>
        <v>-3.1800741687693451E-2</v>
      </c>
    </row>
    <row r="3245" spans="7:8" x14ac:dyDescent="0.35">
      <c r="G3245" s="215">
        <v>3238</v>
      </c>
      <c r="H3245" s="16">
        <f t="shared" ca="1" si="58"/>
        <v>8.1897197139381636E-2</v>
      </c>
    </row>
    <row r="3246" spans="7:8" x14ac:dyDescent="0.35">
      <c r="G3246" s="215">
        <v>3239</v>
      </c>
      <c r="H3246" s="16">
        <f t="shared" ca="1" si="58"/>
        <v>-4.6158346959048663E-2</v>
      </c>
    </row>
    <row r="3247" spans="7:8" x14ac:dyDescent="0.35">
      <c r="G3247" s="215">
        <v>3240</v>
      </c>
      <c r="H3247" s="16">
        <f t="shared" ca="1" si="58"/>
        <v>-8.2570631097374655E-2</v>
      </c>
    </row>
    <row r="3248" spans="7:8" x14ac:dyDescent="0.35">
      <c r="G3248" s="215">
        <v>3241</v>
      </c>
      <c r="H3248" s="16">
        <f t="shared" ca="1" si="58"/>
        <v>0.12092923762292651</v>
      </c>
    </row>
    <row r="3249" spans="7:8" x14ac:dyDescent="0.35">
      <c r="G3249" s="215">
        <v>3242</v>
      </c>
      <c r="H3249" s="16">
        <f t="shared" ca="1" si="58"/>
        <v>3.3394923049576489E-2</v>
      </c>
    </row>
    <row r="3250" spans="7:8" x14ac:dyDescent="0.35">
      <c r="G3250" s="215">
        <v>3243</v>
      </c>
      <c r="H3250" s="16">
        <f t="shared" ca="1" si="58"/>
        <v>-0.11000440553134244</v>
      </c>
    </row>
    <row r="3251" spans="7:8" x14ac:dyDescent="0.35">
      <c r="G3251" s="215">
        <v>3244</v>
      </c>
      <c r="H3251" s="16">
        <f t="shared" ca="1" si="58"/>
        <v>0.13156705351598721</v>
      </c>
    </row>
    <row r="3252" spans="7:8" x14ac:dyDescent="0.35">
      <c r="G3252" s="215">
        <v>3245</v>
      </c>
      <c r="H3252" s="16">
        <f t="shared" ca="1" si="58"/>
        <v>-2.0488470180955055E-2</v>
      </c>
    </row>
    <row r="3253" spans="7:8" x14ac:dyDescent="0.35">
      <c r="G3253" s="215">
        <v>3246</v>
      </c>
      <c r="H3253" s="16">
        <f t="shared" ca="1" si="58"/>
        <v>4.2621902486109933E-2</v>
      </c>
    </row>
    <row r="3254" spans="7:8" x14ac:dyDescent="0.35">
      <c r="G3254" s="215">
        <v>3247</v>
      </c>
      <c r="H3254" s="16">
        <f t="shared" ca="1" si="58"/>
        <v>5.2378281308965741E-2</v>
      </c>
    </row>
    <row r="3255" spans="7:8" x14ac:dyDescent="0.35">
      <c r="G3255" s="215">
        <v>3248</v>
      </c>
      <c r="H3255" s="16">
        <f t="shared" ca="1" si="58"/>
        <v>-6.2735700505203898E-2</v>
      </c>
    </row>
    <row r="3256" spans="7:8" x14ac:dyDescent="0.35">
      <c r="G3256" s="215">
        <v>3249</v>
      </c>
      <c r="H3256" s="16">
        <f t="shared" ca="1" si="58"/>
        <v>-6.708987324367853E-2</v>
      </c>
    </row>
    <row r="3257" spans="7:8" x14ac:dyDescent="0.35">
      <c r="G3257" s="215">
        <v>3250</v>
      </c>
      <c r="H3257" s="16">
        <f t="shared" ca="1" si="58"/>
        <v>-4.3985259971399057E-3</v>
      </c>
    </row>
    <row r="3258" spans="7:8" x14ac:dyDescent="0.35">
      <c r="G3258" s="215">
        <v>3251</v>
      </c>
      <c r="H3258" s="16">
        <f t="shared" ca="1" si="58"/>
        <v>-3.1513956295041612E-2</v>
      </c>
    </row>
    <row r="3259" spans="7:8" x14ac:dyDescent="0.35">
      <c r="G3259" s="215">
        <v>3252</v>
      </c>
      <c r="H3259" s="16">
        <f t="shared" ca="1" si="58"/>
        <v>2.3096088133729407E-2</v>
      </c>
    </row>
    <row r="3260" spans="7:8" x14ac:dyDescent="0.35">
      <c r="G3260" s="215">
        <v>3253</v>
      </c>
      <c r="H3260" s="16">
        <f t="shared" ca="1" si="58"/>
        <v>1.0290630491755557E-2</v>
      </c>
    </row>
    <row r="3261" spans="7:8" x14ac:dyDescent="0.35">
      <c r="G3261" s="215">
        <v>3254</v>
      </c>
      <c r="H3261" s="16">
        <f t="shared" ca="1" si="58"/>
        <v>3.8631302139762111E-2</v>
      </c>
    </row>
    <row r="3262" spans="7:8" x14ac:dyDescent="0.35">
      <c r="G3262" s="215">
        <v>3255</v>
      </c>
      <c r="H3262" s="16">
        <f t="shared" ca="1" si="58"/>
        <v>0.11582274225849605</v>
      </c>
    </row>
    <row r="3263" spans="7:8" x14ac:dyDescent="0.35">
      <c r="G3263" s="215">
        <v>3256</v>
      </c>
      <c r="H3263" s="16">
        <f t="shared" ca="1" si="58"/>
        <v>3.6466964480632219E-2</v>
      </c>
    </row>
    <row r="3264" spans="7:8" x14ac:dyDescent="0.35">
      <c r="G3264" s="215">
        <v>3257</v>
      </c>
      <c r="H3264" s="16">
        <f t="shared" ca="1" si="58"/>
        <v>-1.6979489642673439E-2</v>
      </c>
    </row>
    <row r="3265" spans="7:8" x14ac:dyDescent="0.35">
      <c r="G3265" s="215">
        <v>3258</v>
      </c>
      <c r="H3265" s="16">
        <f t="shared" ca="1" si="58"/>
        <v>2.6585745471480279E-2</v>
      </c>
    </row>
    <row r="3266" spans="7:8" x14ac:dyDescent="0.35">
      <c r="G3266" s="215">
        <v>3259</v>
      </c>
      <c r="H3266" s="16">
        <f t="shared" ca="1" si="58"/>
        <v>8.2982222099792127E-2</v>
      </c>
    </row>
    <row r="3267" spans="7:8" x14ac:dyDescent="0.35">
      <c r="G3267" s="215">
        <v>3260</v>
      </c>
      <c r="H3267" s="16">
        <f t="shared" ca="1" si="58"/>
        <v>-1.6192828136889399E-2</v>
      </c>
    </row>
    <row r="3268" spans="7:8" x14ac:dyDescent="0.35">
      <c r="G3268" s="215">
        <v>3261</v>
      </c>
      <c r="H3268" s="16">
        <f t="shared" ca="1" si="58"/>
        <v>-2.2212766585288948E-2</v>
      </c>
    </row>
    <row r="3269" spans="7:8" x14ac:dyDescent="0.35">
      <c r="G3269" s="215">
        <v>3262</v>
      </c>
      <c r="H3269" s="16">
        <f t="shared" ca="1" si="58"/>
        <v>3.2888579589082062E-2</v>
      </c>
    </row>
    <row r="3270" spans="7:8" x14ac:dyDescent="0.35">
      <c r="G3270" s="215">
        <v>3263</v>
      </c>
      <c r="H3270" s="16">
        <f t="shared" ca="1" si="58"/>
        <v>0.10296858200552599</v>
      </c>
    </row>
    <row r="3271" spans="7:8" x14ac:dyDescent="0.35">
      <c r="G3271" s="215">
        <v>3264</v>
      </c>
      <c r="H3271" s="16">
        <f t="shared" ca="1" si="58"/>
        <v>-9.6616412765400353E-2</v>
      </c>
    </row>
    <row r="3272" spans="7:8" x14ac:dyDescent="0.35">
      <c r="G3272" s="215">
        <v>3265</v>
      </c>
      <c r="H3272" s="16">
        <f t="shared" ref="H3272:H3335" ca="1" si="59">_xlfn.NORM.INV(RAND(),M$10,M$11)</f>
        <v>-0.11423192106976127</v>
      </c>
    </row>
    <row r="3273" spans="7:8" x14ac:dyDescent="0.35">
      <c r="G3273" s="215">
        <v>3266</v>
      </c>
      <c r="H3273" s="16">
        <f t="shared" ca="1" si="59"/>
        <v>5.336544394212063E-2</v>
      </c>
    </row>
    <row r="3274" spans="7:8" x14ac:dyDescent="0.35">
      <c r="G3274" s="215">
        <v>3267</v>
      </c>
      <c r="H3274" s="16">
        <f t="shared" ca="1" si="59"/>
        <v>4.8125785011248076E-2</v>
      </c>
    </row>
    <row r="3275" spans="7:8" x14ac:dyDescent="0.35">
      <c r="G3275" s="215">
        <v>3268</v>
      </c>
      <c r="H3275" s="16">
        <f t="shared" ca="1" si="59"/>
        <v>3.8813333064648039E-3</v>
      </c>
    </row>
    <row r="3276" spans="7:8" x14ac:dyDescent="0.35">
      <c r="G3276" s="215">
        <v>3269</v>
      </c>
      <c r="H3276" s="16">
        <f t="shared" ca="1" si="59"/>
        <v>7.7848237928499167E-2</v>
      </c>
    </row>
    <row r="3277" spans="7:8" x14ac:dyDescent="0.35">
      <c r="G3277" s="215">
        <v>3270</v>
      </c>
      <c r="H3277" s="16">
        <f t="shared" ca="1" si="59"/>
        <v>8.1007027316329125E-2</v>
      </c>
    </row>
    <row r="3278" spans="7:8" x14ac:dyDescent="0.35">
      <c r="G3278" s="215">
        <v>3271</v>
      </c>
      <c r="H3278" s="16">
        <f t="shared" ca="1" si="59"/>
        <v>1.3621328320919862E-2</v>
      </c>
    </row>
    <row r="3279" spans="7:8" x14ac:dyDescent="0.35">
      <c r="G3279" s="215">
        <v>3272</v>
      </c>
      <c r="H3279" s="16">
        <f t="shared" ca="1" si="59"/>
        <v>-6.9641475879683112E-2</v>
      </c>
    </row>
    <row r="3280" spans="7:8" x14ac:dyDescent="0.35">
      <c r="G3280" s="215">
        <v>3273</v>
      </c>
      <c r="H3280" s="16">
        <f t="shared" ca="1" si="59"/>
        <v>6.3344929305397368E-2</v>
      </c>
    </row>
    <row r="3281" spans="7:8" x14ac:dyDescent="0.35">
      <c r="G3281" s="215">
        <v>3274</v>
      </c>
      <c r="H3281" s="16">
        <f t="shared" ca="1" si="59"/>
        <v>6.4434695347168072E-2</v>
      </c>
    </row>
    <row r="3282" spans="7:8" x14ac:dyDescent="0.35">
      <c r="G3282" s="215">
        <v>3275</v>
      </c>
      <c r="H3282" s="16">
        <f t="shared" ca="1" si="59"/>
        <v>-6.0202977831227203E-2</v>
      </c>
    </row>
    <row r="3283" spans="7:8" x14ac:dyDescent="0.35">
      <c r="G3283" s="215">
        <v>3276</v>
      </c>
      <c r="H3283" s="16">
        <f t="shared" ca="1" si="59"/>
        <v>0.10759890446411184</v>
      </c>
    </row>
    <row r="3284" spans="7:8" x14ac:dyDescent="0.35">
      <c r="G3284" s="215">
        <v>3277</v>
      </c>
      <c r="H3284" s="16">
        <f t="shared" ca="1" si="59"/>
        <v>0.20589677794103914</v>
      </c>
    </row>
    <row r="3285" spans="7:8" x14ac:dyDescent="0.35">
      <c r="G3285" s="215">
        <v>3278</v>
      </c>
      <c r="H3285" s="16">
        <f t="shared" ca="1" si="59"/>
        <v>2.0453560411013517E-2</v>
      </c>
    </row>
    <row r="3286" spans="7:8" x14ac:dyDescent="0.35">
      <c r="G3286" s="215">
        <v>3279</v>
      </c>
      <c r="H3286" s="16">
        <f t="shared" ca="1" si="59"/>
        <v>0.13467362079084563</v>
      </c>
    </row>
    <row r="3287" spans="7:8" x14ac:dyDescent="0.35">
      <c r="G3287" s="215">
        <v>3280</v>
      </c>
      <c r="H3287" s="16">
        <f t="shared" ca="1" si="59"/>
        <v>-1.7196589830323829E-2</v>
      </c>
    </row>
    <row r="3288" spans="7:8" x14ac:dyDescent="0.35">
      <c r="G3288" s="215">
        <v>3281</v>
      </c>
      <c r="H3288" s="16">
        <f t="shared" ca="1" si="59"/>
        <v>4.1520293096388619E-2</v>
      </c>
    </row>
    <row r="3289" spans="7:8" x14ac:dyDescent="0.35">
      <c r="G3289" s="215">
        <v>3282</v>
      </c>
      <c r="H3289" s="16">
        <f t="shared" ca="1" si="59"/>
        <v>4.2271708819263461E-2</v>
      </c>
    </row>
    <row r="3290" spans="7:8" x14ac:dyDescent="0.35">
      <c r="G3290" s="215">
        <v>3283</v>
      </c>
      <c r="H3290" s="16">
        <f t="shared" ca="1" si="59"/>
        <v>5.5692250178810396E-2</v>
      </c>
    </row>
    <row r="3291" spans="7:8" x14ac:dyDescent="0.35">
      <c r="G3291" s="215">
        <v>3284</v>
      </c>
      <c r="H3291" s="16">
        <f t="shared" ca="1" si="59"/>
        <v>-8.7996539185065267E-2</v>
      </c>
    </row>
    <row r="3292" spans="7:8" x14ac:dyDescent="0.35">
      <c r="G3292" s="215">
        <v>3285</v>
      </c>
      <c r="H3292" s="16">
        <f t="shared" ca="1" si="59"/>
        <v>6.7741961813735124E-2</v>
      </c>
    </row>
    <row r="3293" spans="7:8" x14ac:dyDescent="0.35">
      <c r="G3293" s="215">
        <v>3286</v>
      </c>
      <c r="H3293" s="16">
        <f t="shared" ca="1" si="59"/>
        <v>7.5266593561915798E-2</v>
      </c>
    </row>
    <row r="3294" spans="7:8" x14ac:dyDescent="0.35">
      <c r="G3294" s="215">
        <v>3287</v>
      </c>
      <c r="H3294" s="16">
        <f t="shared" ca="1" si="59"/>
        <v>-6.393788110789389E-2</v>
      </c>
    </row>
    <row r="3295" spans="7:8" x14ac:dyDescent="0.35">
      <c r="G3295" s="215">
        <v>3288</v>
      </c>
      <c r="H3295" s="16">
        <f t="shared" ca="1" si="59"/>
        <v>0.12945826849974806</v>
      </c>
    </row>
    <row r="3296" spans="7:8" x14ac:dyDescent="0.35">
      <c r="G3296" s="215">
        <v>3289</v>
      </c>
      <c r="H3296" s="16">
        <f t="shared" ca="1" si="59"/>
        <v>-7.3086514662635882E-2</v>
      </c>
    </row>
    <row r="3297" spans="7:8" x14ac:dyDescent="0.35">
      <c r="G3297" s="215">
        <v>3290</v>
      </c>
      <c r="H3297" s="16">
        <f t="shared" ca="1" si="59"/>
        <v>3.3427698155172048E-2</v>
      </c>
    </row>
    <row r="3298" spans="7:8" x14ac:dyDescent="0.35">
      <c r="G3298" s="215">
        <v>3291</v>
      </c>
      <c r="H3298" s="16">
        <f t="shared" ca="1" si="59"/>
        <v>-1.9600080242907301E-3</v>
      </c>
    </row>
    <row r="3299" spans="7:8" x14ac:dyDescent="0.35">
      <c r="G3299" s="215">
        <v>3292</v>
      </c>
      <c r="H3299" s="16">
        <f t="shared" ca="1" si="59"/>
        <v>5.1250322266766069E-2</v>
      </c>
    </row>
    <row r="3300" spans="7:8" x14ac:dyDescent="0.35">
      <c r="G3300" s="215">
        <v>3293</v>
      </c>
      <c r="H3300" s="16">
        <f t="shared" ca="1" si="59"/>
        <v>4.3919070048522885E-2</v>
      </c>
    </row>
    <row r="3301" spans="7:8" x14ac:dyDescent="0.35">
      <c r="G3301" s="215">
        <v>3294</v>
      </c>
      <c r="H3301" s="16">
        <f t="shared" ca="1" si="59"/>
        <v>-3.126136802232278E-2</v>
      </c>
    </row>
    <row r="3302" spans="7:8" x14ac:dyDescent="0.35">
      <c r="G3302" s="215">
        <v>3295</v>
      </c>
      <c r="H3302" s="16">
        <f t="shared" ca="1" si="59"/>
        <v>-1.6071761691434958E-2</v>
      </c>
    </row>
    <row r="3303" spans="7:8" x14ac:dyDescent="0.35">
      <c r="G3303" s="215">
        <v>3296</v>
      </c>
      <c r="H3303" s="16">
        <f t="shared" ca="1" si="59"/>
        <v>-4.153988027388502E-3</v>
      </c>
    </row>
    <row r="3304" spans="7:8" x14ac:dyDescent="0.35">
      <c r="G3304" s="215">
        <v>3297</v>
      </c>
      <c r="H3304" s="16">
        <f t="shared" ca="1" si="59"/>
        <v>0.11633204268135977</v>
      </c>
    </row>
    <row r="3305" spans="7:8" x14ac:dyDescent="0.35">
      <c r="G3305" s="215">
        <v>3298</v>
      </c>
      <c r="H3305" s="16">
        <f t="shared" ca="1" si="59"/>
        <v>-0.12692981728946193</v>
      </c>
    </row>
    <row r="3306" spans="7:8" x14ac:dyDescent="0.35">
      <c r="G3306" s="215">
        <v>3299</v>
      </c>
      <c r="H3306" s="16">
        <f t="shared" ca="1" si="59"/>
        <v>-6.2227694331612252E-3</v>
      </c>
    </row>
    <row r="3307" spans="7:8" x14ac:dyDescent="0.35">
      <c r="G3307" s="215">
        <v>3300</v>
      </c>
      <c r="H3307" s="16">
        <f t="shared" ca="1" si="59"/>
        <v>3.354396377718203E-3</v>
      </c>
    </row>
    <row r="3308" spans="7:8" x14ac:dyDescent="0.35">
      <c r="G3308" s="215">
        <v>3301</v>
      </c>
      <c r="H3308" s="16">
        <f t="shared" ca="1" si="59"/>
        <v>5.2352258774288576E-2</v>
      </c>
    </row>
    <row r="3309" spans="7:8" x14ac:dyDescent="0.35">
      <c r="G3309" s="215">
        <v>3302</v>
      </c>
      <c r="H3309" s="16">
        <f t="shared" ca="1" si="59"/>
        <v>3.6617654968642596E-2</v>
      </c>
    </row>
    <row r="3310" spans="7:8" x14ac:dyDescent="0.35">
      <c r="G3310" s="215">
        <v>3303</v>
      </c>
      <c r="H3310" s="16">
        <f t="shared" ca="1" si="59"/>
        <v>0.10989409817219814</v>
      </c>
    </row>
    <row r="3311" spans="7:8" x14ac:dyDescent="0.35">
      <c r="G3311" s="215">
        <v>3304</v>
      </c>
      <c r="H3311" s="16">
        <f t="shared" ca="1" si="59"/>
        <v>-9.6117244998418644E-3</v>
      </c>
    </row>
    <row r="3312" spans="7:8" x14ac:dyDescent="0.35">
      <c r="G3312" s="215">
        <v>3305</v>
      </c>
      <c r="H3312" s="16">
        <f t="shared" ca="1" si="59"/>
        <v>1.1251402049042437E-2</v>
      </c>
    </row>
    <row r="3313" spans="7:8" x14ac:dyDescent="0.35">
      <c r="G3313" s="215">
        <v>3306</v>
      </c>
      <c r="H3313" s="16">
        <f t="shared" ca="1" si="59"/>
        <v>2.9259242401288275E-2</v>
      </c>
    </row>
    <row r="3314" spans="7:8" x14ac:dyDescent="0.35">
      <c r="G3314" s="215">
        <v>3307</v>
      </c>
      <c r="H3314" s="16">
        <f t="shared" ca="1" si="59"/>
        <v>-0.15464753376190013</v>
      </c>
    </row>
    <row r="3315" spans="7:8" x14ac:dyDescent="0.35">
      <c r="G3315" s="215">
        <v>3308</v>
      </c>
      <c r="H3315" s="16">
        <f t="shared" ca="1" si="59"/>
        <v>6.3206461924205662E-2</v>
      </c>
    </row>
    <row r="3316" spans="7:8" x14ac:dyDescent="0.35">
      <c r="G3316" s="215">
        <v>3309</v>
      </c>
      <c r="H3316" s="16">
        <f t="shared" ca="1" si="59"/>
        <v>-6.1380557744373232E-2</v>
      </c>
    </row>
    <row r="3317" spans="7:8" x14ac:dyDescent="0.35">
      <c r="G3317" s="215">
        <v>3310</v>
      </c>
      <c r="H3317" s="16">
        <f t="shared" ca="1" si="59"/>
        <v>4.9863217917026567E-2</v>
      </c>
    </row>
    <row r="3318" spans="7:8" x14ac:dyDescent="0.35">
      <c r="G3318" s="215">
        <v>3311</v>
      </c>
      <c r="H3318" s="16">
        <f t="shared" ca="1" si="59"/>
        <v>3.6463824052242952E-2</v>
      </c>
    </row>
    <row r="3319" spans="7:8" x14ac:dyDescent="0.35">
      <c r="G3319" s="215">
        <v>3312</v>
      </c>
      <c r="H3319" s="16">
        <f t="shared" ca="1" si="59"/>
        <v>1.6912975360673124E-2</v>
      </c>
    </row>
    <row r="3320" spans="7:8" x14ac:dyDescent="0.35">
      <c r="G3320" s="215">
        <v>3313</v>
      </c>
      <c r="H3320" s="16">
        <f t="shared" ca="1" si="59"/>
        <v>5.8226412158044458E-2</v>
      </c>
    </row>
    <row r="3321" spans="7:8" x14ac:dyDescent="0.35">
      <c r="G3321" s="215">
        <v>3314</v>
      </c>
      <c r="H3321" s="16">
        <f t="shared" ca="1" si="59"/>
        <v>9.4993725439393675E-2</v>
      </c>
    </row>
    <row r="3322" spans="7:8" x14ac:dyDescent="0.35">
      <c r="G3322" s="215">
        <v>3315</v>
      </c>
      <c r="H3322" s="16">
        <f t="shared" ca="1" si="59"/>
        <v>-0.19787758363527141</v>
      </c>
    </row>
    <row r="3323" spans="7:8" x14ac:dyDescent="0.35">
      <c r="G3323" s="215">
        <v>3316</v>
      </c>
      <c r="H3323" s="16">
        <f t="shared" ca="1" si="59"/>
        <v>-1.49132260579143E-2</v>
      </c>
    </row>
    <row r="3324" spans="7:8" x14ac:dyDescent="0.35">
      <c r="G3324" s="215">
        <v>3317</v>
      </c>
      <c r="H3324" s="16">
        <f t="shared" ca="1" si="59"/>
        <v>4.2038723502323065E-2</v>
      </c>
    </row>
    <row r="3325" spans="7:8" x14ac:dyDescent="0.35">
      <c r="G3325" s="215">
        <v>3318</v>
      </c>
      <c r="H3325" s="16">
        <f t="shared" ca="1" si="59"/>
        <v>0.14542908068655672</v>
      </c>
    </row>
    <row r="3326" spans="7:8" x14ac:dyDescent="0.35">
      <c r="G3326" s="215">
        <v>3319</v>
      </c>
      <c r="H3326" s="16">
        <f t="shared" ca="1" si="59"/>
        <v>0.10601144265743663</v>
      </c>
    </row>
    <row r="3327" spans="7:8" x14ac:dyDescent="0.35">
      <c r="G3327" s="215">
        <v>3320</v>
      </c>
      <c r="H3327" s="16">
        <f t="shared" ca="1" si="59"/>
        <v>-4.9809565489988453E-2</v>
      </c>
    </row>
    <row r="3328" spans="7:8" x14ac:dyDescent="0.35">
      <c r="G3328" s="215">
        <v>3321</v>
      </c>
      <c r="H3328" s="16">
        <f t="shared" ca="1" si="59"/>
        <v>1.6857028112016989E-2</v>
      </c>
    </row>
    <row r="3329" spans="7:8" x14ac:dyDescent="0.35">
      <c r="G3329" s="215">
        <v>3322</v>
      </c>
      <c r="H3329" s="16">
        <f t="shared" ca="1" si="59"/>
        <v>0.10107432568045016</v>
      </c>
    </row>
    <row r="3330" spans="7:8" x14ac:dyDescent="0.35">
      <c r="G3330" s="215">
        <v>3323</v>
      </c>
      <c r="H3330" s="16">
        <f t="shared" ca="1" si="59"/>
        <v>-6.8285858340326661E-2</v>
      </c>
    </row>
    <row r="3331" spans="7:8" x14ac:dyDescent="0.35">
      <c r="G3331" s="215">
        <v>3324</v>
      </c>
      <c r="H3331" s="16">
        <f t="shared" ca="1" si="59"/>
        <v>-8.3989675805157038E-2</v>
      </c>
    </row>
    <row r="3332" spans="7:8" x14ac:dyDescent="0.35">
      <c r="G3332" s="215">
        <v>3325</v>
      </c>
      <c r="H3332" s="16">
        <f t="shared" ca="1" si="59"/>
        <v>8.1839754708338992E-3</v>
      </c>
    </row>
    <row r="3333" spans="7:8" x14ac:dyDescent="0.35">
      <c r="G3333" s="215">
        <v>3326</v>
      </c>
      <c r="H3333" s="16">
        <f t="shared" ca="1" si="59"/>
        <v>7.1508293852519014E-2</v>
      </c>
    </row>
    <row r="3334" spans="7:8" x14ac:dyDescent="0.35">
      <c r="G3334" s="215">
        <v>3327</v>
      </c>
      <c r="H3334" s="16">
        <f t="shared" ca="1" si="59"/>
        <v>5.0994171487237297E-2</v>
      </c>
    </row>
    <row r="3335" spans="7:8" x14ac:dyDescent="0.35">
      <c r="G3335" s="215">
        <v>3328</v>
      </c>
      <c r="H3335" s="16">
        <f t="shared" ca="1" si="59"/>
        <v>5.1936687377831206E-2</v>
      </c>
    </row>
    <row r="3336" spans="7:8" x14ac:dyDescent="0.35">
      <c r="G3336" s="215">
        <v>3329</v>
      </c>
      <c r="H3336" s="16">
        <f t="shared" ref="H3336:H3399" ca="1" si="60">_xlfn.NORM.INV(RAND(),M$10,M$11)</f>
        <v>-8.2670238443661823E-2</v>
      </c>
    </row>
    <row r="3337" spans="7:8" x14ac:dyDescent="0.35">
      <c r="G3337" s="215">
        <v>3330</v>
      </c>
      <c r="H3337" s="16">
        <f t="shared" ca="1" si="60"/>
        <v>2.0575701880085544E-2</v>
      </c>
    </row>
    <row r="3338" spans="7:8" x14ac:dyDescent="0.35">
      <c r="G3338" s="215">
        <v>3331</v>
      </c>
      <c r="H3338" s="16">
        <f t="shared" ca="1" si="60"/>
        <v>6.3950354514536026E-2</v>
      </c>
    </row>
    <row r="3339" spans="7:8" x14ac:dyDescent="0.35">
      <c r="G3339" s="215">
        <v>3332</v>
      </c>
      <c r="H3339" s="16">
        <f t="shared" ca="1" si="60"/>
        <v>-5.8470705707495789E-4</v>
      </c>
    </row>
    <row r="3340" spans="7:8" x14ac:dyDescent="0.35">
      <c r="G3340" s="215">
        <v>3333</v>
      </c>
      <c r="H3340" s="16">
        <f t="shared" ca="1" si="60"/>
        <v>-2.0507527926484196E-2</v>
      </c>
    </row>
    <row r="3341" spans="7:8" x14ac:dyDescent="0.35">
      <c r="G3341" s="215">
        <v>3334</v>
      </c>
      <c r="H3341" s="16">
        <f t="shared" ca="1" si="60"/>
        <v>-5.9004927879703933E-2</v>
      </c>
    </row>
    <row r="3342" spans="7:8" x14ac:dyDescent="0.35">
      <c r="G3342" s="215">
        <v>3335</v>
      </c>
      <c r="H3342" s="16">
        <f t="shared" ca="1" si="60"/>
        <v>-9.3717173605722084E-2</v>
      </c>
    </row>
    <row r="3343" spans="7:8" x14ac:dyDescent="0.35">
      <c r="G3343" s="215">
        <v>3336</v>
      </c>
      <c r="H3343" s="16">
        <f t="shared" ca="1" si="60"/>
        <v>0.1027125722738839</v>
      </c>
    </row>
    <row r="3344" spans="7:8" x14ac:dyDescent="0.35">
      <c r="G3344" s="215">
        <v>3337</v>
      </c>
      <c r="H3344" s="16">
        <f t="shared" ca="1" si="60"/>
        <v>2.5443005033303937E-2</v>
      </c>
    </row>
    <row r="3345" spans="7:8" x14ac:dyDescent="0.35">
      <c r="G3345" s="215">
        <v>3338</v>
      </c>
      <c r="H3345" s="16">
        <f t="shared" ca="1" si="60"/>
        <v>0.14182692901456531</v>
      </c>
    </row>
    <row r="3346" spans="7:8" x14ac:dyDescent="0.35">
      <c r="G3346" s="215">
        <v>3339</v>
      </c>
      <c r="H3346" s="16">
        <f t="shared" ca="1" si="60"/>
        <v>-1.8088006415546878E-2</v>
      </c>
    </row>
    <row r="3347" spans="7:8" x14ac:dyDescent="0.35">
      <c r="G3347" s="215">
        <v>3340</v>
      </c>
      <c r="H3347" s="16">
        <f t="shared" ca="1" si="60"/>
        <v>-1.7202291993839887E-2</v>
      </c>
    </row>
    <row r="3348" spans="7:8" x14ac:dyDescent="0.35">
      <c r="G3348" s="215">
        <v>3341</v>
      </c>
      <c r="H3348" s="16">
        <f t="shared" ca="1" si="60"/>
        <v>-4.3484690614867288E-2</v>
      </c>
    </row>
    <row r="3349" spans="7:8" x14ac:dyDescent="0.35">
      <c r="G3349" s="215">
        <v>3342</v>
      </c>
      <c r="H3349" s="16">
        <f t="shared" ca="1" si="60"/>
        <v>3.4159931174158144E-2</v>
      </c>
    </row>
    <row r="3350" spans="7:8" x14ac:dyDescent="0.35">
      <c r="G3350" s="215">
        <v>3343</v>
      </c>
      <c r="H3350" s="16">
        <f t="shared" ca="1" si="60"/>
        <v>0.13256971686175176</v>
      </c>
    </row>
    <row r="3351" spans="7:8" x14ac:dyDescent="0.35">
      <c r="G3351" s="215">
        <v>3344</v>
      </c>
      <c r="H3351" s="16">
        <f t="shared" ca="1" si="60"/>
        <v>-2.691099191929253E-2</v>
      </c>
    </row>
    <row r="3352" spans="7:8" x14ac:dyDescent="0.35">
      <c r="G3352" s="215">
        <v>3345</v>
      </c>
      <c r="H3352" s="16">
        <f t="shared" ca="1" si="60"/>
        <v>4.9820015778436158E-2</v>
      </c>
    </row>
    <row r="3353" spans="7:8" x14ac:dyDescent="0.35">
      <c r="G3353" s="215">
        <v>3346</v>
      </c>
      <c r="H3353" s="16">
        <f t="shared" ca="1" si="60"/>
        <v>-2.9810273554849543E-2</v>
      </c>
    </row>
    <row r="3354" spans="7:8" x14ac:dyDescent="0.35">
      <c r="G3354" s="215">
        <v>3347</v>
      </c>
      <c r="H3354" s="16">
        <f t="shared" ca="1" si="60"/>
        <v>-5.3484301058080538E-2</v>
      </c>
    </row>
    <row r="3355" spans="7:8" x14ac:dyDescent="0.35">
      <c r="G3355" s="215">
        <v>3348</v>
      </c>
      <c r="H3355" s="16">
        <f t="shared" ca="1" si="60"/>
        <v>-8.006585808550408E-2</v>
      </c>
    </row>
    <row r="3356" spans="7:8" x14ac:dyDescent="0.35">
      <c r="G3356" s="215">
        <v>3349</v>
      </c>
      <c r="H3356" s="16">
        <f t="shared" ca="1" si="60"/>
        <v>9.2716723748538357E-2</v>
      </c>
    </row>
    <row r="3357" spans="7:8" x14ac:dyDescent="0.35">
      <c r="G3357" s="215">
        <v>3350</v>
      </c>
      <c r="H3357" s="16">
        <f t="shared" ca="1" si="60"/>
        <v>0.16215143372132734</v>
      </c>
    </row>
    <row r="3358" spans="7:8" x14ac:dyDescent="0.35">
      <c r="G3358" s="215">
        <v>3351</v>
      </c>
      <c r="H3358" s="16">
        <f t="shared" ca="1" si="60"/>
        <v>-2.2400452441136181E-2</v>
      </c>
    </row>
    <row r="3359" spans="7:8" x14ac:dyDescent="0.35">
      <c r="G3359" s="215">
        <v>3352</v>
      </c>
      <c r="H3359" s="16">
        <f t="shared" ca="1" si="60"/>
        <v>-9.8217178769562222E-2</v>
      </c>
    </row>
    <row r="3360" spans="7:8" x14ac:dyDescent="0.35">
      <c r="G3360" s="215">
        <v>3353</v>
      </c>
      <c r="H3360" s="16">
        <f t="shared" ca="1" si="60"/>
        <v>0.10098667247807845</v>
      </c>
    </row>
    <row r="3361" spans="7:8" x14ac:dyDescent="0.35">
      <c r="G3361" s="215">
        <v>3354</v>
      </c>
      <c r="H3361" s="16">
        <f t="shared" ca="1" si="60"/>
        <v>-3.5343070026126203E-2</v>
      </c>
    </row>
    <row r="3362" spans="7:8" x14ac:dyDescent="0.35">
      <c r="G3362" s="215">
        <v>3355</v>
      </c>
      <c r="H3362" s="16">
        <f t="shared" ca="1" si="60"/>
        <v>4.4484227652782968E-2</v>
      </c>
    </row>
    <row r="3363" spans="7:8" x14ac:dyDescent="0.35">
      <c r="G3363" s="215">
        <v>3356</v>
      </c>
      <c r="H3363" s="16">
        <f t="shared" ca="1" si="60"/>
        <v>-1.7967837149010166E-2</v>
      </c>
    </row>
    <row r="3364" spans="7:8" x14ac:dyDescent="0.35">
      <c r="G3364" s="215">
        <v>3357</v>
      </c>
      <c r="H3364" s="16">
        <f t="shared" ca="1" si="60"/>
        <v>8.7241186279715263E-2</v>
      </c>
    </row>
    <row r="3365" spans="7:8" x14ac:dyDescent="0.35">
      <c r="G3365" s="215">
        <v>3358</v>
      </c>
      <c r="H3365" s="16">
        <f t="shared" ca="1" si="60"/>
        <v>7.2472862567743893E-2</v>
      </c>
    </row>
    <row r="3366" spans="7:8" x14ac:dyDescent="0.35">
      <c r="G3366" s="215">
        <v>3359</v>
      </c>
      <c r="H3366" s="16">
        <f t="shared" ca="1" si="60"/>
        <v>-6.8622652701593456E-2</v>
      </c>
    </row>
    <row r="3367" spans="7:8" x14ac:dyDescent="0.35">
      <c r="G3367" s="215">
        <v>3360</v>
      </c>
      <c r="H3367" s="16">
        <f t="shared" ca="1" si="60"/>
        <v>-3.7926017013065236E-2</v>
      </c>
    </row>
    <row r="3368" spans="7:8" x14ac:dyDescent="0.35">
      <c r="G3368" s="215">
        <v>3361</v>
      </c>
      <c r="H3368" s="16">
        <f t="shared" ca="1" si="60"/>
        <v>4.4101556488357022E-2</v>
      </c>
    </row>
    <row r="3369" spans="7:8" x14ac:dyDescent="0.35">
      <c r="G3369" s="215">
        <v>3362</v>
      </c>
      <c r="H3369" s="16">
        <f t="shared" ca="1" si="60"/>
        <v>1.3394339506839662E-2</v>
      </c>
    </row>
    <row r="3370" spans="7:8" x14ac:dyDescent="0.35">
      <c r="G3370" s="215">
        <v>3363</v>
      </c>
      <c r="H3370" s="16">
        <f t="shared" ca="1" si="60"/>
        <v>-2.9677509498290882E-2</v>
      </c>
    </row>
    <row r="3371" spans="7:8" x14ac:dyDescent="0.35">
      <c r="G3371" s="215">
        <v>3364</v>
      </c>
      <c r="H3371" s="16">
        <f t="shared" ca="1" si="60"/>
        <v>4.6947115374226259E-2</v>
      </c>
    </row>
    <row r="3372" spans="7:8" x14ac:dyDescent="0.35">
      <c r="G3372" s="215">
        <v>3365</v>
      </c>
      <c r="H3372" s="16">
        <f t="shared" ca="1" si="60"/>
        <v>1.762966887692486E-2</v>
      </c>
    </row>
    <row r="3373" spans="7:8" x14ac:dyDescent="0.35">
      <c r="G3373" s="215">
        <v>3366</v>
      </c>
      <c r="H3373" s="16">
        <f t="shared" ca="1" si="60"/>
        <v>2.7830237769218027E-2</v>
      </c>
    </row>
    <row r="3374" spans="7:8" x14ac:dyDescent="0.35">
      <c r="G3374" s="215">
        <v>3367</v>
      </c>
      <c r="H3374" s="16">
        <f t="shared" ca="1" si="60"/>
        <v>-1.167953295036726E-2</v>
      </c>
    </row>
    <row r="3375" spans="7:8" x14ac:dyDescent="0.35">
      <c r="G3375" s="215">
        <v>3368</v>
      </c>
      <c r="H3375" s="16">
        <f t="shared" ca="1" si="60"/>
        <v>2.6803236752066226E-2</v>
      </c>
    </row>
    <row r="3376" spans="7:8" x14ac:dyDescent="0.35">
      <c r="G3376" s="215">
        <v>3369</v>
      </c>
      <c r="H3376" s="16">
        <f t="shared" ca="1" si="60"/>
        <v>3.8153274145947456E-2</v>
      </c>
    </row>
    <row r="3377" spans="7:8" x14ac:dyDescent="0.35">
      <c r="G3377" s="215">
        <v>3370</v>
      </c>
      <c r="H3377" s="16">
        <f t="shared" ca="1" si="60"/>
        <v>0.11219587392989315</v>
      </c>
    </row>
    <row r="3378" spans="7:8" x14ac:dyDescent="0.35">
      <c r="G3378" s="215">
        <v>3371</v>
      </c>
      <c r="H3378" s="16">
        <f t="shared" ca="1" si="60"/>
        <v>-3.9187156775027987E-2</v>
      </c>
    </row>
    <row r="3379" spans="7:8" x14ac:dyDescent="0.35">
      <c r="G3379" s="215">
        <v>3372</v>
      </c>
      <c r="H3379" s="16">
        <f t="shared" ca="1" si="60"/>
        <v>0.10878354925626667</v>
      </c>
    </row>
    <row r="3380" spans="7:8" x14ac:dyDescent="0.35">
      <c r="G3380" s="215">
        <v>3373</v>
      </c>
      <c r="H3380" s="16">
        <f t="shared" ca="1" si="60"/>
        <v>0.10382444843397386</v>
      </c>
    </row>
    <row r="3381" spans="7:8" x14ac:dyDescent="0.35">
      <c r="G3381" s="215">
        <v>3374</v>
      </c>
      <c r="H3381" s="16">
        <f t="shared" ca="1" si="60"/>
        <v>-8.0711159738052193E-2</v>
      </c>
    </row>
    <row r="3382" spans="7:8" x14ac:dyDescent="0.35">
      <c r="G3382" s="215">
        <v>3375</v>
      </c>
      <c r="H3382" s="16">
        <f t="shared" ca="1" si="60"/>
        <v>0.1105016173412265</v>
      </c>
    </row>
    <row r="3383" spans="7:8" x14ac:dyDescent="0.35">
      <c r="G3383" s="215">
        <v>3376</v>
      </c>
      <c r="H3383" s="16">
        <f t="shared" ca="1" si="60"/>
        <v>6.8574892251853731E-2</v>
      </c>
    </row>
    <row r="3384" spans="7:8" x14ac:dyDescent="0.35">
      <c r="G3384" s="215">
        <v>3377</v>
      </c>
      <c r="H3384" s="16">
        <f t="shared" ca="1" si="60"/>
        <v>-2.1166775774768578E-2</v>
      </c>
    </row>
    <row r="3385" spans="7:8" x14ac:dyDescent="0.35">
      <c r="G3385" s="215">
        <v>3378</v>
      </c>
      <c r="H3385" s="16">
        <f t="shared" ca="1" si="60"/>
        <v>-0.16336277236730748</v>
      </c>
    </row>
    <row r="3386" spans="7:8" x14ac:dyDescent="0.35">
      <c r="G3386" s="215">
        <v>3379</v>
      </c>
      <c r="H3386" s="16">
        <f t="shared" ca="1" si="60"/>
        <v>0.1149471138347273</v>
      </c>
    </row>
    <row r="3387" spans="7:8" x14ac:dyDescent="0.35">
      <c r="G3387" s="215">
        <v>3380</v>
      </c>
      <c r="H3387" s="16">
        <f t="shared" ca="1" si="60"/>
        <v>-0.13542231654543915</v>
      </c>
    </row>
    <row r="3388" spans="7:8" x14ac:dyDescent="0.35">
      <c r="G3388" s="215">
        <v>3381</v>
      </c>
      <c r="H3388" s="16">
        <f t="shared" ca="1" si="60"/>
        <v>6.6544209203669782E-2</v>
      </c>
    </row>
    <row r="3389" spans="7:8" x14ac:dyDescent="0.35">
      <c r="G3389" s="215">
        <v>3382</v>
      </c>
      <c r="H3389" s="16">
        <f t="shared" ca="1" si="60"/>
        <v>-2.9444470958842024E-2</v>
      </c>
    </row>
    <row r="3390" spans="7:8" x14ac:dyDescent="0.35">
      <c r="G3390" s="215">
        <v>3383</v>
      </c>
      <c r="H3390" s="16">
        <f t="shared" ca="1" si="60"/>
        <v>-8.3387040651489025E-3</v>
      </c>
    </row>
    <row r="3391" spans="7:8" x14ac:dyDescent="0.35">
      <c r="G3391" s="215">
        <v>3384</v>
      </c>
      <c r="H3391" s="16">
        <f t="shared" ca="1" si="60"/>
        <v>0.12931892740796333</v>
      </c>
    </row>
    <row r="3392" spans="7:8" x14ac:dyDescent="0.35">
      <c r="G3392" s="215">
        <v>3385</v>
      </c>
      <c r="H3392" s="16">
        <f t="shared" ca="1" si="60"/>
        <v>3.7075219636176882E-2</v>
      </c>
    </row>
    <row r="3393" spans="7:8" x14ac:dyDescent="0.35">
      <c r="G3393" s="215">
        <v>3386</v>
      </c>
      <c r="H3393" s="16">
        <f t="shared" ca="1" si="60"/>
        <v>-0.11285526953610406</v>
      </c>
    </row>
    <row r="3394" spans="7:8" x14ac:dyDescent="0.35">
      <c r="G3394" s="215">
        <v>3387</v>
      </c>
      <c r="H3394" s="16">
        <f t="shared" ca="1" si="60"/>
        <v>2.1712476947790878E-2</v>
      </c>
    </row>
    <row r="3395" spans="7:8" x14ac:dyDescent="0.35">
      <c r="G3395" s="215">
        <v>3388</v>
      </c>
      <c r="H3395" s="16">
        <f t="shared" ca="1" si="60"/>
        <v>1.294070288673229E-2</v>
      </c>
    </row>
    <row r="3396" spans="7:8" x14ac:dyDescent="0.35">
      <c r="G3396" s="215">
        <v>3389</v>
      </c>
      <c r="H3396" s="16">
        <f t="shared" ca="1" si="60"/>
        <v>0.10080725103975739</v>
      </c>
    </row>
    <row r="3397" spans="7:8" x14ac:dyDescent="0.35">
      <c r="G3397" s="215">
        <v>3390</v>
      </c>
      <c r="H3397" s="16">
        <f t="shared" ca="1" si="60"/>
        <v>0.21114003033095546</v>
      </c>
    </row>
    <row r="3398" spans="7:8" x14ac:dyDescent="0.35">
      <c r="G3398" s="215">
        <v>3391</v>
      </c>
      <c r="H3398" s="16">
        <f t="shared" ca="1" si="60"/>
        <v>-2.1507635363587869E-2</v>
      </c>
    </row>
    <row r="3399" spans="7:8" x14ac:dyDescent="0.35">
      <c r="G3399" s="215">
        <v>3392</v>
      </c>
      <c r="H3399" s="16">
        <f t="shared" ca="1" si="60"/>
        <v>0.12767261253838424</v>
      </c>
    </row>
    <row r="3400" spans="7:8" x14ac:dyDescent="0.35">
      <c r="G3400" s="215">
        <v>3393</v>
      </c>
      <c r="H3400" s="16">
        <f t="shared" ref="H3400:H3463" ca="1" si="61">_xlfn.NORM.INV(RAND(),M$10,M$11)</f>
        <v>-7.9171064134864896E-2</v>
      </c>
    </row>
    <row r="3401" spans="7:8" x14ac:dyDescent="0.35">
      <c r="G3401" s="215">
        <v>3394</v>
      </c>
      <c r="H3401" s="16">
        <f t="shared" ca="1" si="61"/>
        <v>0.17438441963463472</v>
      </c>
    </row>
    <row r="3402" spans="7:8" x14ac:dyDescent="0.35">
      <c r="G3402" s="215">
        <v>3395</v>
      </c>
      <c r="H3402" s="16">
        <f t="shared" ca="1" si="61"/>
        <v>-6.5106113034781254E-2</v>
      </c>
    </row>
    <row r="3403" spans="7:8" x14ac:dyDescent="0.35">
      <c r="G3403" s="215">
        <v>3396</v>
      </c>
      <c r="H3403" s="16">
        <f t="shared" ca="1" si="61"/>
        <v>8.8558884453092832E-2</v>
      </c>
    </row>
    <row r="3404" spans="7:8" x14ac:dyDescent="0.35">
      <c r="G3404" s="215">
        <v>3397</v>
      </c>
      <c r="H3404" s="16">
        <f t="shared" ca="1" si="61"/>
        <v>-1.4801364806154418E-2</v>
      </c>
    </row>
    <row r="3405" spans="7:8" x14ac:dyDescent="0.35">
      <c r="G3405" s="215">
        <v>3398</v>
      </c>
      <c r="H3405" s="16">
        <f t="shared" ca="1" si="61"/>
        <v>-2.5946577892599968E-2</v>
      </c>
    </row>
    <row r="3406" spans="7:8" x14ac:dyDescent="0.35">
      <c r="G3406" s="215">
        <v>3399</v>
      </c>
      <c r="H3406" s="16">
        <f t="shared" ca="1" si="61"/>
        <v>6.1282873998661405E-2</v>
      </c>
    </row>
    <row r="3407" spans="7:8" x14ac:dyDescent="0.35">
      <c r="G3407" s="215">
        <v>3400</v>
      </c>
      <c r="H3407" s="16">
        <f t="shared" ca="1" si="61"/>
        <v>2.2669682957019731E-2</v>
      </c>
    </row>
    <row r="3408" spans="7:8" x14ac:dyDescent="0.35">
      <c r="G3408" s="215">
        <v>3401</v>
      </c>
      <c r="H3408" s="16">
        <f t="shared" ca="1" si="61"/>
        <v>-4.6821178794943713E-2</v>
      </c>
    </row>
    <row r="3409" spans="7:8" x14ac:dyDescent="0.35">
      <c r="G3409" s="215">
        <v>3402</v>
      </c>
      <c r="H3409" s="16">
        <f t="shared" ca="1" si="61"/>
        <v>-5.8340861544169648E-2</v>
      </c>
    </row>
    <row r="3410" spans="7:8" x14ac:dyDescent="0.35">
      <c r="G3410" s="215">
        <v>3403</v>
      </c>
      <c r="H3410" s="16">
        <f t="shared" ca="1" si="61"/>
        <v>-4.4411044431898097E-2</v>
      </c>
    </row>
    <row r="3411" spans="7:8" x14ac:dyDescent="0.35">
      <c r="G3411" s="215">
        <v>3404</v>
      </c>
      <c r="H3411" s="16">
        <f t="shared" ca="1" si="61"/>
        <v>-0.1377133248277923</v>
      </c>
    </row>
    <row r="3412" spans="7:8" x14ac:dyDescent="0.35">
      <c r="G3412" s="215">
        <v>3405</v>
      </c>
      <c r="H3412" s="16">
        <f t="shared" ca="1" si="61"/>
        <v>-7.6206284049552694E-2</v>
      </c>
    </row>
    <row r="3413" spans="7:8" x14ac:dyDescent="0.35">
      <c r="G3413" s="215">
        <v>3406</v>
      </c>
      <c r="H3413" s="16">
        <f t="shared" ca="1" si="61"/>
        <v>0.11381474401567547</v>
      </c>
    </row>
    <row r="3414" spans="7:8" x14ac:dyDescent="0.35">
      <c r="G3414" s="215">
        <v>3407</v>
      </c>
      <c r="H3414" s="16">
        <f t="shared" ca="1" si="61"/>
        <v>0.10314845768456946</v>
      </c>
    </row>
    <row r="3415" spans="7:8" x14ac:dyDescent="0.35">
      <c r="G3415" s="215">
        <v>3408</v>
      </c>
      <c r="H3415" s="16">
        <f t="shared" ca="1" si="61"/>
        <v>-8.5295280565291148E-2</v>
      </c>
    </row>
    <row r="3416" spans="7:8" x14ac:dyDescent="0.35">
      <c r="G3416" s="215">
        <v>3409</v>
      </c>
      <c r="H3416" s="16">
        <f t="shared" ca="1" si="61"/>
        <v>-1.2076937462016928E-2</v>
      </c>
    </row>
    <row r="3417" spans="7:8" x14ac:dyDescent="0.35">
      <c r="G3417" s="215">
        <v>3410</v>
      </c>
      <c r="H3417" s="16">
        <f t="shared" ca="1" si="61"/>
        <v>1.3500545064230707E-2</v>
      </c>
    </row>
    <row r="3418" spans="7:8" x14ac:dyDescent="0.35">
      <c r="G3418" s="215">
        <v>3411</v>
      </c>
      <c r="H3418" s="16">
        <f t="shared" ca="1" si="61"/>
        <v>9.694786717004665E-2</v>
      </c>
    </row>
    <row r="3419" spans="7:8" x14ac:dyDescent="0.35">
      <c r="G3419" s="215">
        <v>3412</v>
      </c>
      <c r="H3419" s="16">
        <f t="shared" ca="1" si="61"/>
        <v>1.8803062760788729E-2</v>
      </c>
    </row>
    <row r="3420" spans="7:8" x14ac:dyDescent="0.35">
      <c r="G3420" s="215">
        <v>3413</v>
      </c>
      <c r="H3420" s="16">
        <f t="shared" ca="1" si="61"/>
        <v>7.2655577706933802E-2</v>
      </c>
    </row>
    <row r="3421" spans="7:8" x14ac:dyDescent="0.35">
      <c r="G3421" s="215">
        <v>3414</v>
      </c>
      <c r="H3421" s="16">
        <f t="shared" ca="1" si="61"/>
        <v>3.5394673560010456E-2</v>
      </c>
    </row>
    <row r="3422" spans="7:8" x14ac:dyDescent="0.35">
      <c r="G3422" s="215">
        <v>3415</v>
      </c>
      <c r="H3422" s="16">
        <f t="shared" ca="1" si="61"/>
        <v>-5.6973258936440105E-2</v>
      </c>
    </row>
    <row r="3423" spans="7:8" x14ac:dyDescent="0.35">
      <c r="G3423" s="215">
        <v>3416</v>
      </c>
      <c r="H3423" s="16">
        <f t="shared" ca="1" si="61"/>
        <v>0.14902455751603549</v>
      </c>
    </row>
    <row r="3424" spans="7:8" x14ac:dyDescent="0.35">
      <c r="G3424" s="215">
        <v>3417</v>
      </c>
      <c r="H3424" s="16">
        <f t="shared" ca="1" si="61"/>
        <v>4.54407776804059E-2</v>
      </c>
    </row>
    <row r="3425" spans="7:8" x14ac:dyDescent="0.35">
      <c r="G3425" s="215">
        <v>3418</v>
      </c>
      <c r="H3425" s="16">
        <f t="shared" ca="1" si="61"/>
        <v>3.5372915957532725E-2</v>
      </c>
    </row>
    <row r="3426" spans="7:8" x14ac:dyDescent="0.35">
      <c r="G3426" s="215">
        <v>3419</v>
      </c>
      <c r="H3426" s="16">
        <f t="shared" ca="1" si="61"/>
        <v>0.15732706980128106</v>
      </c>
    </row>
    <row r="3427" spans="7:8" x14ac:dyDescent="0.35">
      <c r="G3427" s="215">
        <v>3420</v>
      </c>
      <c r="H3427" s="16">
        <f t="shared" ca="1" si="61"/>
        <v>-6.8634946434120825E-2</v>
      </c>
    </row>
    <row r="3428" spans="7:8" x14ac:dyDescent="0.35">
      <c r="G3428" s="215">
        <v>3421</v>
      </c>
      <c r="H3428" s="16">
        <f t="shared" ca="1" si="61"/>
        <v>6.681291515187808E-2</v>
      </c>
    </row>
    <row r="3429" spans="7:8" x14ac:dyDescent="0.35">
      <c r="G3429" s="215">
        <v>3422</v>
      </c>
      <c r="H3429" s="16">
        <f t="shared" ca="1" si="61"/>
        <v>0.12178026138644531</v>
      </c>
    </row>
    <row r="3430" spans="7:8" x14ac:dyDescent="0.35">
      <c r="G3430" s="215">
        <v>3423</v>
      </c>
      <c r="H3430" s="16">
        <f t="shared" ca="1" si="61"/>
        <v>0.12771909576029444</v>
      </c>
    </row>
    <row r="3431" spans="7:8" x14ac:dyDescent="0.35">
      <c r="G3431" s="215">
        <v>3424</v>
      </c>
      <c r="H3431" s="16">
        <f t="shared" ca="1" si="61"/>
        <v>9.9272220165318569E-3</v>
      </c>
    </row>
    <row r="3432" spans="7:8" x14ac:dyDescent="0.35">
      <c r="G3432" s="215">
        <v>3425</v>
      </c>
      <c r="H3432" s="16">
        <f t="shared" ca="1" si="61"/>
        <v>-0.10950840857635194</v>
      </c>
    </row>
    <row r="3433" spans="7:8" x14ac:dyDescent="0.35">
      <c r="G3433" s="215">
        <v>3426</v>
      </c>
      <c r="H3433" s="16">
        <f t="shared" ca="1" si="61"/>
        <v>0.30964111022609814</v>
      </c>
    </row>
    <row r="3434" spans="7:8" x14ac:dyDescent="0.35">
      <c r="G3434" s="215">
        <v>3427</v>
      </c>
      <c r="H3434" s="16">
        <f t="shared" ca="1" si="61"/>
        <v>0.14812063060061076</v>
      </c>
    </row>
    <row r="3435" spans="7:8" x14ac:dyDescent="0.35">
      <c r="G3435" s="215">
        <v>3428</v>
      </c>
      <c r="H3435" s="16">
        <f t="shared" ca="1" si="61"/>
        <v>9.6223960194483496E-2</v>
      </c>
    </row>
    <row r="3436" spans="7:8" x14ac:dyDescent="0.35">
      <c r="G3436" s="215">
        <v>3429</v>
      </c>
      <c r="H3436" s="16">
        <f t="shared" ca="1" si="61"/>
        <v>-1.4780466750599078E-2</v>
      </c>
    </row>
    <row r="3437" spans="7:8" x14ac:dyDescent="0.35">
      <c r="G3437" s="215">
        <v>3430</v>
      </c>
      <c r="H3437" s="16">
        <f t="shared" ca="1" si="61"/>
        <v>0.14632648900552092</v>
      </c>
    </row>
    <row r="3438" spans="7:8" x14ac:dyDescent="0.35">
      <c r="G3438" s="215">
        <v>3431</v>
      </c>
      <c r="H3438" s="16">
        <f t="shared" ca="1" si="61"/>
        <v>-8.4023911469261109E-2</v>
      </c>
    </row>
    <row r="3439" spans="7:8" x14ac:dyDescent="0.35">
      <c r="G3439" s="215">
        <v>3432</v>
      </c>
      <c r="H3439" s="16">
        <f t="shared" ca="1" si="61"/>
        <v>4.3305429272417553E-2</v>
      </c>
    </row>
    <row r="3440" spans="7:8" x14ac:dyDescent="0.35">
      <c r="G3440" s="215">
        <v>3433</v>
      </c>
      <c r="H3440" s="16">
        <f t="shared" ca="1" si="61"/>
        <v>9.3232546641924853E-3</v>
      </c>
    </row>
    <row r="3441" spans="7:8" x14ac:dyDescent="0.35">
      <c r="G3441" s="215">
        <v>3434</v>
      </c>
      <c r="H3441" s="16">
        <f t="shared" ca="1" si="61"/>
        <v>7.4829008088581214E-2</v>
      </c>
    </row>
    <row r="3442" spans="7:8" x14ac:dyDescent="0.35">
      <c r="G3442" s="215">
        <v>3435</v>
      </c>
      <c r="H3442" s="16">
        <f t="shared" ca="1" si="61"/>
        <v>1.5703687424092935E-2</v>
      </c>
    </row>
    <row r="3443" spans="7:8" x14ac:dyDescent="0.35">
      <c r="G3443" s="215">
        <v>3436</v>
      </c>
      <c r="H3443" s="16">
        <f t="shared" ca="1" si="61"/>
        <v>1.7966000945135219E-2</v>
      </c>
    </row>
    <row r="3444" spans="7:8" x14ac:dyDescent="0.35">
      <c r="G3444" s="215">
        <v>3437</v>
      </c>
      <c r="H3444" s="16">
        <f t="shared" ca="1" si="61"/>
        <v>2.0053026715948094E-2</v>
      </c>
    </row>
    <row r="3445" spans="7:8" x14ac:dyDescent="0.35">
      <c r="G3445" s="215">
        <v>3438</v>
      </c>
      <c r="H3445" s="16">
        <f t="shared" ca="1" si="61"/>
        <v>1.0306325802156811E-2</v>
      </c>
    </row>
    <row r="3446" spans="7:8" x14ac:dyDescent="0.35">
      <c r="G3446" s="215">
        <v>3439</v>
      </c>
      <c r="H3446" s="16">
        <f t="shared" ca="1" si="61"/>
        <v>4.1165471145926343E-2</v>
      </c>
    </row>
    <row r="3447" spans="7:8" x14ac:dyDescent="0.35">
      <c r="G3447" s="215">
        <v>3440</v>
      </c>
      <c r="H3447" s="16">
        <f t="shared" ca="1" si="61"/>
        <v>0.11940193900700333</v>
      </c>
    </row>
    <row r="3448" spans="7:8" x14ac:dyDescent="0.35">
      <c r="G3448" s="215">
        <v>3441</v>
      </c>
      <c r="H3448" s="16">
        <f t="shared" ca="1" si="61"/>
        <v>8.2275864057706039E-2</v>
      </c>
    </row>
    <row r="3449" spans="7:8" x14ac:dyDescent="0.35">
      <c r="G3449" s="215">
        <v>3442</v>
      </c>
      <c r="H3449" s="16">
        <f t="shared" ca="1" si="61"/>
        <v>-0.11157695382125693</v>
      </c>
    </row>
    <row r="3450" spans="7:8" x14ac:dyDescent="0.35">
      <c r="G3450" s="215">
        <v>3443</v>
      </c>
      <c r="H3450" s="16">
        <f t="shared" ca="1" si="61"/>
        <v>-7.2912149282846631E-2</v>
      </c>
    </row>
    <row r="3451" spans="7:8" x14ac:dyDescent="0.35">
      <c r="G3451" s="215">
        <v>3444</v>
      </c>
      <c r="H3451" s="16">
        <f t="shared" ca="1" si="61"/>
        <v>-6.6165286469997392E-2</v>
      </c>
    </row>
    <row r="3452" spans="7:8" x14ac:dyDescent="0.35">
      <c r="G3452" s="215">
        <v>3445</v>
      </c>
      <c r="H3452" s="16">
        <f t="shared" ca="1" si="61"/>
        <v>-9.6211984741306766E-2</v>
      </c>
    </row>
    <row r="3453" spans="7:8" x14ac:dyDescent="0.35">
      <c r="G3453" s="215">
        <v>3446</v>
      </c>
      <c r="H3453" s="16">
        <f t="shared" ca="1" si="61"/>
        <v>3.8127902764755264E-2</v>
      </c>
    </row>
    <row r="3454" spans="7:8" x14ac:dyDescent="0.35">
      <c r="G3454" s="215">
        <v>3447</v>
      </c>
      <c r="H3454" s="16">
        <f t="shared" ca="1" si="61"/>
        <v>2.4367716128176665E-2</v>
      </c>
    </row>
    <row r="3455" spans="7:8" x14ac:dyDescent="0.35">
      <c r="G3455" s="215">
        <v>3448</v>
      </c>
      <c r="H3455" s="16">
        <f t="shared" ca="1" si="61"/>
        <v>0.12470098951264941</v>
      </c>
    </row>
    <row r="3456" spans="7:8" x14ac:dyDescent="0.35">
      <c r="G3456" s="215">
        <v>3449</v>
      </c>
      <c r="H3456" s="16">
        <f t="shared" ca="1" si="61"/>
        <v>3.8607449940997074E-2</v>
      </c>
    </row>
    <row r="3457" spans="7:8" x14ac:dyDescent="0.35">
      <c r="G3457" s="215">
        <v>3450</v>
      </c>
      <c r="H3457" s="16">
        <f t="shared" ca="1" si="61"/>
        <v>2.1864059573488796E-2</v>
      </c>
    </row>
    <row r="3458" spans="7:8" x14ac:dyDescent="0.35">
      <c r="G3458" s="215">
        <v>3451</v>
      </c>
      <c r="H3458" s="16">
        <f t="shared" ca="1" si="61"/>
        <v>-3.2884168885353005E-2</v>
      </c>
    </row>
    <row r="3459" spans="7:8" x14ac:dyDescent="0.35">
      <c r="G3459" s="215">
        <v>3452</v>
      </c>
      <c r="H3459" s="16">
        <f t="shared" ca="1" si="61"/>
        <v>-5.2634736645793927E-3</v>
      </c>
    </row>
    <row r="3460" spans="7:8" x14ac:dyDescent="0.35">
      <c r="G3460" s="215">
        <v>3453</v>
      </c>
      <c r="H3460" s="16">
        <f t="shared" ca="1" si="61"/>
        <v>2.7996703501845473E-2</v>
      </c>
    </row>
    <row r="3461" spans="7:8" x14ac:dyDescent="0.35">
      <c r="G3461" s="215">
        <v>3454</v>
      </c>
      <c r="H3461" s="16">
        <f t="shared" ca="1" si="61"/>
        <v>0.14588019599875934</v>
      </c>
    </row>
    <row r="3462" spans="7:8" x14ac:dyDescent="0.35">
      <c r="G3462" s="215">
        <v>3455</v>
      </c>
      <c r="H3462" s="16">
        <f t="shared" ca="1" si="61"/>
        <v>0.10817888652061043</v>
      </c>
    </row>
    <row r="3463" spans="7:8" x14ac:dyDescent="0.35">
      <c r="G3463" s="215">
        <v>3456</v>
      </c>
      <c r="H3463" s="16">
        <f t="shared" ca="1" si="61"/>
        <v>4.8796194031166626E-2</v>
      </c>
    </row>
    <row r="3464" spans="7:8" x14ac:dyDescent="0.35">
      <c r="G3464" s="215">
        <v>3457</v>
      </c>
      <c r="H3464" s="16">
        <f t="shared" ref="H3464:H3527" ca="1" si="62">_xlfn.NORM.INV(RAND(),M$10,M$11)</f>
        <v>9.3907848601758909E-2</v>
      </c>
    </row>
    <row r="3465" spans="7:8" x14ac:dyDescent="0.35">
      <c r="G3465" s="215">
        <v>3458</v>
      </c>
      <c r="H3465" s="16">
        <f t="shared" ca="1" si="62"/>
        <v>-8.9999827132445073E-2</v>
      </c>
    </row>
    <row r="3466" spans="7:8" x14ac:dyDescent="0.35">
      <c r="G3466" s="215">
        <v>3459</v>
      </c>
      <c r="H3466" s="16">
        <f t="shared" ca="1" si="62"/>
        <v>-5.9132602168068732E-2</v>
      </c>
    </row>
    <row r="3467" spans="7:8" x14ac:dyDescent="0.35">
      <c r="G3467" s="215">
        <v>3460</v>
      </c>
      <c r="H3467" s="16">
        <f t="shared" ca="1" si="62"/>
        <v>1.2738462550212623E-2</v>
      </c>
    </row>
    <row r="3468" spans="7:8" x14ac:dyDescent="0.35">
      <c r="G3468" s="215">
        <v>3461</v>
      </c>
      <c r="H3468" s="16">
        <f t="shared" ca="1" si="62"/>
        <v>-4.9954850152714822E-2</v>
      </c>
    </row>
    <row r="3469" spans="7:8" x14ac:dyDescent="0.35">
      <c r="G3469" s="215">
        <v>3462</v>
      </c>
      <c r="H3469" s="16">
        <f t="shared" ca="1" si="62"/>
        <v>-8.5975185978991397E-2</v>
      </c>
    </row>
    <row r="3470" spans="7:8" x14ac:dyDescent="0.35">
      <c r="G3470" s="215">
        <v>3463</v>
      </c>
      <c r="H3470" s="16">
        <f t="shared" ca="1" si="62"/>
        <v>-4.8978742370181794E-2</v>
      </c>
    </row>
    <row r="3471" spans="7:8" x14ac:dyDescent="0.35">
      <c r="G3471" s="215">
        <v>3464</v>
      </c>
      <c r="H3471" s="16">
        <f t="shared" ca="1" si="62"/>
        <v>-0.13785414881582575</v>
      </c>
    </row>
    <row r="3472" spans="7:8" x14ac:dyDescent="0.35">
      <c r="G3472" s="215">
        <v>3465</v>
      </c>
      <c r="H3472" s="16">
        <f t="shared" ca="1" si="62"/>
        <v>-2.2023919618968508E-2</v>
      </c>
    </row>
    <row r="3473" spans="7:8" x14ac:dyDescent="0.35">
      <c r="G3473" s="215">
        <v>3466</v>
      </c>
      <c r="H3473" s="16">
        <f t="shared" ca="1" si="62"/>
        <v>-6.8185000945879939E-2</v>
      </c>
    </row>
    <row r="3474" spans="7:8" x14ac:dyDescent="0.35">
      <c r="G3474" s="215">
        <v>3467</v>
      </c>
      <c r="H3474" s="16">
        <f t="shared" ca="1" si="62"/>
        <v>0.14665685757296679</v>
      </c>
    </row>
    <row r="3475" spans="7:8" x14ac:dyDescent="0.35">
      <c r="G3475" s="215">
        <v>3468</v>
      </c>
      <c r="H3475" s="16">
        <f t="shared" ca="1" si="62"/>
        <v>-1.1297934171850411E-2</v>
      </c>
    </row>
    <row r="3476" spans="7:8" x14ac:dyDescent="0.35">
      <c r="G3476" s="215">
        <v>3469</v>
      </c>
      <c r="H3476" s="16">
        <f t="shared" ca="1" si="62"/>
        <v>2.5112535007083148E-3</v>
      </c>
    </row>
    <row r="3477" spans="7:8" x14ac:dyDescent="0.35">
      <c r="G3477" s="215">
        <v>3470</v>
      </c>
      <c r="H3477" s="16">
        <f t="shared" ca="1" si="62"/>
        <v>0.12918677100263889</v>
      </c>
    </row>
    <row r="3478" spans="7:8" x14ac:dyDescent="0.35">
      <c r="G3478" s="215">
        <v>3471</v>
      </c>
      <c r="H3478" s="16">
        <f t="shared" ca="1" si="62"/>
        <v>0.10172662993542048</v>
      </c>
    </row>
    <row r="3479" spans="7:8" x14ac:dyDescent="0.35">
      <c r="G3479" s="215">
        <v>3472</v>
      </c>
      <c r="H3479" s="16">
        <f t="shared" ca="1" si="62"/>
        <v>0.12868408420678187</v>
      </c>
    </row>
    <row r="3480" spans="7:8" x14ac:dyDescent="0.35">
      <c r="G3480" s="215">
        <v>3473</v>
      </c>
      <c r="H3480" s="16">
        <f t="shared" ca="1" si="62"/>
        <v>2.4570298037091824E-2</v>
      </c>
    </row>
    <row r="3481" spans="7:8" x14ac:dyDescent="0.35">
      <c r="G3481" s="215">
        <v>3474</v>
      </c>
      <c r="H3481" s="16">
        <f t="shared" ca="1" si="62"/>
        <v>5.9095655736784478E-2</v>
      </c>
    </row>
    <row r="3482" spans="7:8" x14ac:dyDescent="0.35">
      <c r="G3482" s="215">
        <v>3475</v>
      </c>
      <c r="H3482" s="16">
        <f t="shared" ca="1" si="62"/>
        <v>-0.11236174945883577</v>
      </c>
    </row>
    <row r="3483" spans="7:8" x14ac:dyDescent="0.35">
      <c r="G3483" s="215">
        <v>3476</v>
      </c>
      <c r="H3483" s="16">
        <f t="shared" ca="1" si="62"/>
        <v>-7.9206463792058854E-2</v>
      </c>
    </row>
    <row r="3484" spans="7:8" x14ac:dyDescent="0.35">
      <c r="G3484" s="215">
        <v>3477</v>
      </c>
      <c r="H3484" s="16">
        <f t="shared" ca="1" si="62"/>
        <v>-0.15939452955161262</v>
      </c>
    </row>
    <row r="3485" spans="7:8" x14ac:dyDescent="0.35">
      <c r="G3485" s="215">
        <v>3478</v>
      </c>
      <c r="H3485" s="16">
        <f t="shared" ca="1" si="62"/>
        <v>-3.9536830683945076E-2</v>
      </c>
    </row>
    <row r="3486" spans="7:8" x14ac:dyDescent="0.35">
      <c r="G3486" s="215">
        <v>3479</v>
      </c>
      <c r="H3486" s="16">
        <f t="shared" ca="1" si="62"/>
        <v>8.3731551456382967E-3</v>
      </c>
    </row>
    <row r="3487" spans="7:8" x14ac:dyDescent="0.35">
      <c r="G3487" s="215">
        <v>3480</v>
      </c>
      <c r="H3487" s="16">
        <f t="shared" ca="1" si="62"/>
        <v>-4.3858870795578084E-2</v>
      </c>
    </row>
    <row r="3488" spans="7:8" x14ac:dyDescent="0.35">
      <c r="G3488" s="215">
        <v>3481</v>
      </c>
      <c r="H3488" s="16">
        <f t="shared" ca="1" si="62"/>
        <v>-1.7490365499242155E-2</v>
      </c>
    </row>
    <row r="3489" spans="7:8" x14ac:dyDescent="0.35">
      <c r="G3489" s="215">
        <v>3482</v>
      </c>
      <c r="H3489" s="16">
        <f t="shared" ca="1" si="62"/>
        <v>0.15859201104149548</v>
      </c>
    </row>
    <row r="3490" spans="7:8" x14ac:dyDescent="0.35">
      <c r="G3490" s="215">
        <v>3483</v>
      </c>
      <c r="H3490" s="16">
        <f t="shared" ca="1" si="62"/>
        <v>0.10660647406802855</v>
      </c>
    </row>
    <row r="3491" spans="7:8" x14ac:dyDescent="0.35">
      <c r="G3491" s="215">
        <v>3484</v>
      </c>
      <c r="H3491" s="16">
        <f t="shared" ca="1" si="62"/>
        <v>1.0763488646197927E-2</v>
      </c>
    </row>
    <row r="3492" spans="7:8" x14ac:dyDescent="0.35">
      <c r="G3492" s="215">
        <v>3485</v>
      </c>
      <c r="H3492" s="16">
        <f t="shared" ca="1" si="62"/>
        <v>-4.1451949649431566E-2</v>
      </c>
    </row>
    <row r="3493" spans="7:8" x14ac:dyDescent="0.35">
      <c r="G3493" s="215">
        <v>3486</v>
      </c>
      <c r="H3493" s="16">
        <f t="shared" ca="1" si="62"/>
        <v>5.5460897187267294E-2</v>
      </c>
    </row>
    <row r="3494" spans="7:8" x14ac:dyDescent="0.35">
      <c r="G3494" s="215">
        <v>3487</v>
      </c>
      <c r="H3494" s="16">
        <f t="shared" ca="1" si="62"/>
        <v>7.8775057527410333E-2</v>
      </c>
    </row>
    <row r="3495" spans="7:8" x14ac:dyDescent="0.35">
      <c r="G3495" s="215">
        <v>3488</v>
      </c>
      <c r="H3495" s="16">
        <f t="shared" ca="1" si="62"/>
        <v>0.10886059230231103</v>
      </c>
    </row>
    <row r="3496" spans="7:8" x14ac:dyDescent="0.35">
      <c r="G3496" s="215">
        <v>3489</v>
      </c>
      <c r="H3496" s="16">
        <f t="shared" ca="1" si="62"/>
        <v>-2.098850620710058E-2</v>
      </c>
    </row>
    <row r="3497" spans="7:8" x14ac:dyDescent="0.35">
      <c r="G3497" s="215">
        <v>3490</v>
      </c>
      <c r="H3497" s="16">
        <f t="shared" ca="1" si="62"/>
        <v>0.12396041654772466</v>
      </c>
    </row>
    <row r="3498" spans="7:8" x14ac:dyDescent="0.35">
      <c r="G3498" s="215">
        <v>3491</v>
      </c>
      <c r="H3498" s="16">
        <f t="shared" ca="1" si="62"/>
        <v>7.3135115741477852E-2</v>
      </c>
    </row>
    <row r="3499" spans="7:8" x14ac:dyDescent="0.35">
      <c r="G3499" s="215">
        <v>3492</v>
      </c>
      <c r="H3499" s="16">
        <f t="shared" ca="1" si="62"/>
        <v>1.1277643696856222E-4</v>
      </c>
    </row>
    <row r="3500" spans="7:8" x14ac:dyDescent="0.35">
      <c r="G3500" s="215">
        <v>3493</v>
      </c>
      <c r="H3500" s="16">
        <f t="shared" ca="1" si="62"/>
        <v>-5.941019960466698E-2</v>
      </c>
    </row>
    <row r="3501" spans="7:8" x14ac:dyDescent="0.35">
      <c r="G3501" s="215">
        <v>3494</v>
      </c>
      <c r="H3501" s="16">
        <f t="shared" ca="1" si="62"/>
        <v>3.0444406647013651E-2</v>
      </c>
    </row>
    <row r="3502" spans="7:8" x14ac:dyDescent="0.35">
      <c r="G3502" s="215">
        <v>3495</v>
      </c>
      <c r="H3502" s="16">
        <f t="shared" ca="1" si="62"/>
        <v>9.3758589885365048E-2</v>
      </c>
    </row>
    <row r="3503" spans="7:8" x14ac:dyDescent="0.35">
      <c r="G3503" s="215">
        <v>3496</v>
      </c>
      <c r="H3503" s="16">
        <f t="shared" ca="1" si="62"/>
        <v>9.9197997574359577E-4</v>
      </c>
    </row>
    <row r="3504" spans="7:8" x14ac:dyDescent="0.35">
      <c r="G3504" s="215">
        <v>3497</v>
      </c>
      <c r="H3504" s="16">
        <f t="shared" ca="1" si="62"/>
        <v>-9.2252246595270343E-3</v>
      </c>
    </row>
    <row r="3505" spans="7:8" x14ac:dyDescent="0.35">
      <c r="G3505" s="215">
        <v>3498</v>
      </c>
      <c r="H3505" s="16">
        <f t="shared" ca="1" si="62"/>
        <v>4.6055976802483245E-2</v>
      </c>
    </row>
    <row r="3506" spans="7:8" x14ac:dyDescent="0.35">
      <c r="G3506" s="215">
        <v>3499</v>
      </c>
      <c r="H3506" s="16">
        <f t="shared" ca="1" si="62"/>
        <v>2.2507022361062716E-2</v>
      </c>
    </row>
    <row r="3507" spans="7:8" x14ac:dyDescent="0.35">
      <c r="G3507" s="215">
        <v>3500</v>
      </c>
      <c r="H3507" s="16">
        <f t="shared" ca="1" si="62"/>
        <v>4.6156420617350979E-2</v>
      </c>
    </row>
    <row r="3508" spans="7:8" x14ac:dyDescent="0.35">
      <c r="G3508" s="215">
        <v>3501</v>
      </c>
      <c r="H3508" s="16">
        <f t="shared" ca="1" si="62"/>
        <v>6.2260503842645448E-2</v>
      </c>
    </row>
    <row r="3509" spans="7:8" x14ac:dyDescent="0.35">
      <c r="G3509" s="215">
        <v>3502</v>
      </c>
      <c r="H3509" s="16">
        <f t="shared" ca="1" si="62"/>
        <v>9.2417695610215539E-2</v>
      </c>
    </row>
    <row r="3510" spans="7:8" x14ac:dyDescent="0.35">
      <c r="G3510" s="215">
        <v>3503</v>
      </c>
      <c r="H3510" s="16">
        <f t="shared" ca="1" si="62"/>
        <v>-5.4417620574766165E-2</v>
      </c>
    </row>
    <row r="3511" spans="7:8" x14ac:dyDescent="0.35">
      <c r="G3511" s="215">
        <v>3504</v>
      </c>
      <c r="H3511" s="16">
        <f t="shared" ca="1" si="62"/>
        <v>0.11315886540054057</v>
      </c>
    </row>
    <row r="3512" spans="7:8" x14ac:dyDescent="0.35">
      <c r="G3512" s="215">
        <v>3505</v>
      </c>
      <c r="H3512" s="16">
        <f t="shared" ca="1" si="62"/>
        <v>8.4308507162485807E-2</v>
      </c>
    </row>
    <row r="3513" spans="7:8" x14ac:dyDescent="0.35">
      <c r="G3513" s="215">
        <v>3506</v>
      </c>
      <c r="H3513" s="16">
        <f t="shared" ca="1" si="62"/>
        <v>0.12184328297550766</v>
      </c>
    </row>
    <row r="3514" spans="7:8" x14ac:dyDescent="0.35">
      <c r="G3514" s="215">
        <v>3507</v>
      </c>
      <c r="H3514" s="16">
        <f t="shared" ca="1" si="62"/>
        <v>6.3521441375764945E-2</v>
      </c>
    </row>
    <row r="3515" spans="7:8" x14ac:dyDescent="0.35">
      <c r="G3515" s="215">
        <v>3508</v>
      </c>
      <c r="H3515" s="16">
        <f t="shared" ca="1" si="62"/>
        <v>5.0289952233768268E-2</v>
      </c>
    </row>
    <row r="3516" spans="7:8" x14ac:dyDescent="0.35">
      <c r="G3516" s="215">
        <v>3509</v>
      </c>
      <c r="H3516" s="16">
        <f t="shared" ca="1" si="62"/>
        <v>-1.2057911345701774E-2</v>
      </c>
    </row>
    <row r="3517" spans="7:8" x14ac:dyDescent="0.35">
      <c r="G3517" s="215">
        <v>3510</v>
      </c>
      <c r="H3517" s="16">
        <f t="shared" ca="1" si="62"/>
        <v>-6.1530673918144749E-2</v>
      </c>
    </row>
    <row r="3518" spans="7:8" x14ac:dyDescent="0.35">
      <c r="G3518" s="215">
        <v>3511</v>
      </c>
      <c r="H3518" s="16">
        <f t="shared" ca="1" si="62"/>
        <v>9.1420048967332704E-2</v>
      </c>
    </row>
    <row r="3519" spans="7:8" x14ac:dyDescent="0.35">
      <c r="G3519" s="215">
        <v>3512</v>
      </c>
      <c r="H3519" s="16">
        <f t="shared" ca="1" si="62"/>
        <v>-0.10955599449552246</v>
      </c>
    </row>
    <row r="3520" spans="7:8" x14ac:dyDescent="0.35">
      <c r="G3520" s="215">
        <v>3513</v>
      </c>
      <c r="H3520" s="16">
        <f t="shared" ca="1" si="62"/>
        <v>-2.6722074251117365E-2</v>
      </c>
    </row>
    <row r="3521" spans="7:8" x14ac:dyDescent="0.35">
      <c r="G3521" s="215">
        <v>3514</v>
      </c>
      <c r="H3521" s="16">
        <f t="shared" ca="1" si="62"/>
        <v>-2.4785383440662435E-2</v>
      </c>
    </row>
    <row r="3522" spans="7:8" x14ac:dyDescent="0.35">
      <c r="G3522" s="215">
        <v>3515</v>
      </c>
      <c r="H3522" s="16">
        <f t="shared" ca="1" si="62"/>
        <v>-1.417696433474451E-2</v>
      </c>
    </row>
    <row r="3523" spans="7:8" x14ac:dyDescent="0.35">
      <c r="G3523" s="215">
        <v>3516</v>
      </c>
      <c r="H3523" s="16">
        <f t="shared" ca="1" si="62"/>
        <v>-9.4926646226895992E-3</v>
      </c>
    </row>
    <row r="3524" spans="7:8" x14ac:dyDescent="0.35">
      <c r="G3524" s="215">
        <v>3517</v>
      </c>
      <c r="H3524" s="16">
        <f t="shared" ca="1" si="62"/>
        <v>3.3642623563529157E-3</v>
      </c>
    </row>
    <row r="3525" spans="7:8" x14ac:dyDescent="0.35">
      <c r="G3525" s="215">
        <v>3518</v>
      </c>
      <c r="H3525" s="16">
        <f t="shared" ca="1" si="62"/>
        <v>-2.4500396850146381E-3</v>
      </c>
    </row>
    <row r="3526" spans="7:8" x14ac:dyDescent="0.35">
      <c r="G3526" s="215">
        <v>3519</v>
      </c>
      <c r="H3526" s="16">
        <f t="shared" ca="1" si="62"/>
        <v>2.4586666272364312E-2</v>
      </c>
    </row>
    <row r="3527" spans="7:8" x14ac:dyDescent="0.35">
      <c r="G3527" s="215">
        <v>3520</v>
      </c>
      <c r="H3527" s="16">
        <f t="shared" ca="1" si="62"/>
        <v>-1.9459044893134516E-2</v>
      </c>
    </row>
    <row r="3528" spans="7:8" x14ac:dyDescent="0.35">
      <c r="G3528" s="215">
        <v>3521</v>
      </c>
      <c r="H3528" s="16">
        <f t="shared" ref="H3528:H3591" ca="1" si="63">_xlfn.NORM.INV(RAND(),M$10,M$11)</f>
        <v>1.4844609733503565E-2</v>
      </c>
    </row>
    <row r="3529" spans="7:8" x14ac:dyDescent="0.35">
      <c r="G3529" s="215">
        <v>3522</v>
      </c>
      <c r="H3529" s="16">
        <f t="shared" ca="1" si="63"/>
        <v>0.13963632092533718</v>
      </c>
    </row>
    <row r="3530" spans="7:8" x14ac:dyDescent="0.35">
      <c r="G3530" s="215">
        <v>3523</v>
      </c>
      <c r="H3530" s="16">
        <f t="shared" ca="1" si="63"/>
        <v>0.11357239212557213</v>
      </c>
    </row>
    <row r="3531" spans="7:8" x14ac:dyDescent="0.35">
      <c r="G3531" s="215">
        <v>3524</v>
      </c>
      <c r="H3531" s="16">
        <f t="shared" ca="1" si="63"/>
        <v>-2.4525692060476136E-2</v>
      </c>
    </row>
    <row r="3532" spans="7:8" x14ac:dyDescent="0.35">
      <c r="G3532" s="215">
        <v>3525</v>
      </c>
      <c r="H3532" s="16">
        <f t="shared" ca="1" si="63"/>
        <v>7.6661034633698069E-2</v>
      </c>
    </row>
    <row r="3533" spans="7:8" x14ac:dyDescent="0.35">
      <c r="G3533" s="215">
        <v>3526</v>
      </c>
      <c r="H3533" s="16">
        <f t="shared" ca="1" si="63"/>
        <v>6.6349962562068487E-2</v>
      </c>
    </row>
    <row r="3534" spans="7:8" x14ac:dyDescent="0.35">
      <c r="G3534" s="215">
        <v>3527</v>
      </c>
      <c r="H3534" s="16">
        <f t="shared" ca="1" si="63"/>
        <v>4.4496718423402554E-3</v>
      </c>
    </row>
    <row r="3535" spans="7:8" x14ac:dyDescent="0.35">
      <c r="G3535" s="215">
        <v>3528</v>
      </c>
      <c r="H3535" s="16">
        <f t="shared" ca="1" si="63"/>
        <v>-7.6227699824174378E-2</v>
      </c>
    </row>
    <row r="3536" spans="7:8" x14ac:dyDescent="0.35">
      <c r="G3536" s="215">
        <v>3529</v>
      </c>
      <c r="H3536" s="16">
        <f t="shared" ca="1" si="63"/>
        <v>8.4842621544182414E-2</v>
      </c>
    </row>
    <row r="3537" spans="7:8" x14ac:dyDescent="0.35">
      <c r="G3537" s="215">
        <v>3530</v>
      </c>
      <c r="H3537" s="16">
        <f t="shared" ca="1" si="63"/>
        <v>7.5440253168571766E-2</v>
      </c>
    </row>
    <row r="3538" spans="7:8" x14ac:dyDescent="0.35">
      <c r="G3538" s="215">
        <v>3531</v>
      </c>
      <c r="H3538" s="16">
        <f t="shared" ca="1" si="63"/>
        <v>2.798627025843977E-2</v>
      </c>
    </row>
    <row r="3539" spans="7:8" x14ac:dyDescent="0.35">
      <c r="G3539" s="215">
        <v>3532</v>
      </c>
      <c r="H3539" s="16">
        <f t="shared" ca="1" si="63"/>
        <v>-0.11795028858022996</v>
      </c>
    </row>
    <row r="3540" spans="7:8" x14ac:dyDescent="0.35">
      <c r="G3540" s="215">
        <v>3533</v>
      </c>
      <c r="H3540" s="16">
        <f t="shared" ca="1" si="63"/>
        <v>-2.7865344962811709E-3</v>
      </c>
    </row>
    <row r="3541" spans="7:8" x14ac:dyDescent="0.35">
      <c r="G3541" s="215">
        <v>3534</v>
      </c>
      <c r="H3541" s="16">
        <f t="shared" ca="1" si="63"/>
        <v>5.3212139512761644E-2</v>
      </c>
    </row>
    <row r="3542" spans="7:8" x14ac:dyDescent="0.35">
      <c r="G3542" s="215">
        <v>3535</v>
      </c>
      <c r="H3542" s="16">
        <f t="shared" ca="1" si="63"/>
        <v>1.5168536269033464E-2</v>
      </c>
    </row>
    <row r="3543" spans="7:8" x14ac:dyDescent="0.35">
      <c r="G3543" s="215">
        <v>3536</v>
      </c>
      <c r="H3543" s="16">
        <f t="shared" ca="1" si="63"/>
        <v>-8.1633828754747624E-3</v>
      </c>
    </row>
    <row r="3544" spans="7:8" x14ac:dyDescent="0.35">
      <c r="G3544" s="215">
        <v>3537</v>
      </c>
      <c r="H3544" s="16">
        <f t="shared" ca="1" si="63"/>
        <v>-9.41078201647296E-2</v>
      </c>
    </row>
    <row r="3545" spans="7:8" x14ac:dyDescent="0.35">
      <c r="G3545" s="215">
        <v>3538</v>
      </c>
      <c r="H3545" s="16">
        <f t="shared" ca="1" si="63"/>
        <v>8.1474158373437827E-2</v>
      </c>
    </row>
    <row r="3546" spans="7:8" x14ac:dyDescent="0.35">
      <c r="G3546" s="215">
        <v>3539</v>
      </c>
      <c r="H3546" s="16">
        <f t="shared" ca="1" si="63"/>
        <v>-0.11288766483289436</v>
      </c>
    </row>
    <row r="3547" spans="7:8" x14ac:dyDescent="0.35">
      <c r="G3547" s="215">
        <v>3540</v>
      </c>
      <c r="H3547" s="16">
        <f t="shared" ca="1" si="63"/>
        <v>-8.5971436004221372E-2</v>
      </c>
    </row>
    <row r="3548" spans="7:8" x14ac:dyDescent="0.35">
      <c r="G3548" s="215">
        <v>3541</v>
      </c>
      <c r="H3548" s="16">
        <f t="shared" ca="1" si="63"/>
        <v>0.14837715058610823</v>
      </c>
    </row>
    <row r="3549" spans="7:8" x14ac:dyDescent="0.35">
      <c r="G3549" s="215">
        <v>3542</v>
      </c>
      <c r="H3549" s="16">
        <f t="shared" ca="1" si="63"/>
        <v>-1.3959316474168842E-2</v>
      </c>
    </row>
    <row r="3550" spans="7:8" x14ac:dyDescent="0.35">
      <c r="G3550" s="215">
        <v>3543</v>
      </c>
      <c r="H3550" s="16">
        <f t="shared" ca="1" si="63"/>
        <v>-5.9879898530045675E-2</v>
      </c>
    </row>
    <row r="3551" spans="7:8" x14ac:dyDescent="0.35">
      <c r="G3551" s="215">
        <v>3544</v>
      </c>
      <c r="H3551" s="16">
        <f t="shared" ca="1" si="63"/>
        <v>-0.13547238735327552</v>
      </c>
    </row>
    <row r="3552" spans="7:8" x14ac:dyDescent="0.35">
      <c r="G3552" s="215">
        <v>3545</v>
      </c>
      <c r="H3552" s="16">
        <f t="shared" ca="1" si="63"/>
        <v>-8.0350705763490751E-2</v>
      </c>
    </row>
    <row r="3553" spans="7:8" x14ac:dyDescent="0.35">
      <c r="G3553" s="215">
        <v>3546</v>
      </c>
      <c r="H3553" s="16">
        <f t="shared" ca="1" si="63"/>
        <v>6.0254473637943562E-2</v>
      </c>
    </row>
    <row r="3554" spans="7:8" x14ac:dyDescent="0.35">
      <c r="G3554" s="215">
        <v>3547</v>
      </c>
      <c r="H3554" s="16">
        <f t="shared" ca="1" si="63"/>
        <v>6.2185557073308806E-2</v>
      </c>
    </row>
    <row r="3555" spans="7:8" x14ac:dyDescent="0.35">
      <c r="G3555" s="215">
        <v>3548</v>
      </c>
      <c r="H3555" s="16">
        <f t="shared" ca="1" si="63"/>
        <v>5.9958375512621717E-2</v>
      </c>
    </row>
    <row r="3556" spans="7:8" x14ac:dyDescent="0.35">
      <c r="G3556" s="215">
        <v>3549</v>
      </c>
      <c r="H3556" s="16">
        <f t="shared" ca="1" si="63"/>
        <v>2.5861723256868412E-2</v>
      </c>
    </row>
    <row r="3557" spans="7:8" x14ac:dyDescent="0.35">
      <c r="G3557" s="215">
        <v>3550</v>
      </c>
      <c r="H3557" s="16">
        <f t="shared" ca="1" si="63"/>
        <v>5.1063902933835108E-3</v>
      </c>
    </row>
    <row r="3558" spans="7:8" x14ac:dyDescent="0.35">
      <c r="G3558" s="215">
        <v>3551</v>
      </c>
      <c r="H3558" s="16">
        <f t="shared" ca="1" si="63"/>
        <v>9.296868244296265E-2</v>
      </c>
    </row>
    <row r="3559" spans="7:8" x14ac:dyDescent="0.35">
      <c r="G3559" s="215">
        <v>3552</v>
      </c>
      <c r="H3559" s="16">
        <f t="shared" ca="1" si="63"/>
        <v>0.1260598059725786</v>
      </c>
    </row>
    <row r="3560" spans="7:8" x14ac:dyDescent="0.35">
      <c r="G3560" s="215">
        <v>3553</v>
      </c>
      <c r="H3560" s="16">
        <f t="shared" ca="1" si="63"/>
        <v>5.6974149670320287E-2</v>
      </c>
    </row>
    <row r="3561" spans="7:8" x14ac:dyDescent="0.35">
      <c r="G3561" s="215">
        <v>3554</v>
      </c>
      <c r="H3561" s="16">
        <f t="shared" ca="1" si="63"/>
        <v>-3.0313546066627933E-2</v>
      </c>
    </row>
    <row r="3562" spans="7:8" x14ac:dyDescent="0.35">
      <c r="G3562" s="215">
        <v>3555</v>
      </c>
      <c r="H3562" s="16">
        <f t="shared" ca="1" si="63"/>
        <v>-2.3243044908147031E-2</v>
      </c>
    </row>
    <row r="3563" spans="7:8" x14ac:dyDescent="0.35">
      <c r="G3563" s="215">
        <v>3556</v>
      </c>
      <c r="H3563" s="16">
        <f t="shared" ca="1" si="63"/>
        <v>-2.2697970259862654E-2</v>
      </c>
    </row>
    <row r="3564" spans="7:8" x14ac:dyDescent="0.35">
      <c r="G3564" s="215">
        <v>3557</v>
      </c>
      <c r="H3564" s="16">
        <f t="shared" ca="1" si="63"/>
        <v>-4.7165711792634665E-2</v>
      </c>
    </row>
    <row r="3565" spans="7:8" x14ac:dyDescent="0.35">
      <c r="G3565" s="215">
        <v>3558</v>
      </c>
      <c r="H3565" s="16">
        <f t="shared" ca="1" si="63"/>
        <v>1.2495485555352457E-2</v>
      </c>
    </row>
    <row r="3566" spans="7:8" x14ac:dyDescent="0.35">
      <c r="G3566" s="215">
        <v>3559</v>
      </c>
      <c r="H3566" s="16">
        <f t="shared" ca="1" si="63"/>
        <v>-1.7153414865043196E-2</v>
      </c>
    </row>
    <row r="3567" spans="7:8" x14ac:dyDescent="0.35">
      <c r="G3567" s="215">
        <v>3560</v>
      </c>
      <c r="H3567" s="16">
        <f t="shared" ca="1" si="63"/>
        <v>-8.0863642205791925E-3</v>
      </c>
    </row>
    <row r="3568" spans="7:8" x14ac:dyDescent="0.35">
      <c r="G3568" s="215">
        <v>3561</v>
      </c>
      <c r="H3568" s="16">
        <f t="shared" ca="1" si="63"/>
        <v>-5.3554652829074095E-2</v>
      </c>
    </row>
    <row r="3569" spans="7:8" x14ac:dyDescent="0.35">
      <c r="G3569" s="215">
        <v>3562</v>
      </c>
      <c r="H3569" s="16">
        <f t="shared" ca="1" si="63"/>
        <v>0.12464754595956079</v>
      </c>
    </row>
    <row r="3570" spans="7:8" x14ac:dyDescent="0.35">
      <c r="G3570" s="215">
        <v>3563</v>
      </c>
      <c r="H3570" s="16">
        <f t="shared" ca="1" si="63"/>
        <v>-0.13867989420182064</v>
      </c>
    </row>
    <row r="3571" spans="7:8" x14ac:dyDescent="0.35">
      <c r="G3571" s="215">
        <v>3564</v>
      </c>
      <c r="H3571" s="16">
        <f t="shared" ca="1" si="63"/>
        <v>7.3300209834157581E-2</v>
      </c>
    </row>
    <row r="3572" spans="7:8" x14ac:dyDescent="0.35">
      <c r="G3572" s="215">
        <v>3565</v>
      </c>
      <c r="H3572" s="16">
        <f t="shared" ca="1" si="63"/>
        <v>9.1216029237584664E-2</v>
      </c>
    </row>
    <row r="3573" spans="7:8" x14ac:dyDescent="0.35">
      <c r="G3573" s="215">
        <v>3566</v>
      </c>
      <c r="H3573" s="16">
        <f t="shared" ca="1" si="63"/>
        <v>-4.3715446811553774E-2</v>
      </c>
    </row>
    <row r="3574" spans="7:8" x14ac:dyDescent="0.35">
      <c r="G3574" s="215">
        <v>3567</v>
      </c>
      <c r="H3574" s="16">
        <f t="shared" ca="1" si="63"/>
        <v>8.0786627703410122E-2</v>
      </c>
    </row>
    <row r="3575" spans="7:8" x14ac:dyDescent="0.35">
      <c r="G3575" s="215">
        <v>3568</v>
      </c>
      <c r="H3575" s="16">
        <f t="shared" ca="1" si="63"/>
        <v>0.12213288734023707</v>
      </c>
    </row>
    <row r="3576" spans="7:8" x14ac:dyDescent="0.35">
      <c r="G3576" s="215">
        <v>3569</v>
      </c>
      <c r="H3576" s="16">
        <f t="shared" ca="1" si="63"/>
        <v>7.7932835939849524E-2</v>
      </c>
    </row>
    <row r="3577" spans="7:8" x14ac:dyDescent="0.35">
      <c r="G3577" s="215">
        <v>3570</v>
      </c>
      <c r="H3577" s="16">
        <f t="shared" ca="1" si="63"/>
        <v>3.0017165687741047E-2</v>
      </c>
    </row>
    <row r="3578" spans="7:8" x14ac:dyDescent="0.35">
      <c r="G3578" s="215">
        <v>3571</v>
      </c>
      <c r="H3578" s="16">
        <f t="shared" ca="1" si="63"/>
        <v>-6.2782257314743281E-2</v>
      </c>
    </row>
    <row r="3579" spans="7:8" x14ac:dyDescent="0.35">
      <c r="G3579" s="215">
        <v>3572</v>
      </c>
      <c r="H3579" s="16">
        <f t="shared" ca="1" si="63"/>
        <v>-0.15159702482174156</v>
      </c>
    </row>
    <row r="3580" spans="7:8" x14ac:dyDescent="0.35">
      <c r="G3580" s="215">
        <v>3573</v>
      </c>
      <c r="H3580" s="16">
        <f t="shared" ca="1" si="63"/>
        <v>5.5219774007214908E-2</v>
      </c>
    </row>
    <row r="3581" spans="7:8" x14ac:dyDescent="0.35">
      <c r="G3581" s="215">
        <v>3574</v>
      </c>
      <c r="H3581" s="16">
        <f t="shared" ca="1" si="63"/>
        <v>5.1730953521723688E-2</v>
      </c>
    </row>
    <row r="3582" spans="7:8" x14ac:dyDescent="0.35">
      <c r="G3582" s="215">
        <v>3575</v>
      </c>
      <c r="H3582" s="16">
        <f t="shared" ca="1" si="63"/>
        <v>-5.3234194853317901E-2</v>
      </c>
    </row>
    <row r="3583" spans="7:8" x14ac:dyDescent="0.35">
      <c r="G3583" s="215">
        <v>3576</v>
      </c>
      <c r="H3583" s="16">
        <f t="shared" ca="1" si="63"/>
        <v>-2.2470298985531875E-2</v>
      </c>
    </row>
    <row r="3584" spans="7:8" x14ac:dyDescent="0.35">
      <c r="G3584" s="215">
        <v>3577</v>
      </c>
      <c r="H3584" s="16">
        <f t="shared" ca="1" si="63"/>
        <v>6.7237972436600013E-2</v>
      </c>
    </row>
    <row r="3585" spans="7:8" x14ac:dyDescent="0.35">
      <c r="G3585" s="215">
        <v>3578</v>
      </c>
      <c r="H3585" s="16">
        <f t="shared" ca="1" si="63"/>
        <v>5.048723622975311E-2</v>
      </c>
    </row>
    <row r="3586" spans="7:8" x14ac:dyDescent="0.35">
      <c r="G3586" s="215">
        <v>3579</v>
      </c>
      <c r="H3586" s="16">
        <f t="shared" ca="1" si="63"/>
        <v>7.4364214014199116E-3</v>
      </c>
    </row>
    <row r="3587" spans="7:8" x14ac:dyDescent="0.35">
      <c r="G3587" s="215">
        <v>3580</v>
      </c>
      <c r="H3587" s="16">
        <f t="shared" ca="1" si="63"/>
        <v>-6.2636810831985593E-2</v>
      </c>
    </row>
    <row r="3588" spans="7:8" x14ac:dyDescent="0.35">
      <c r="G3588" s="215">
        <v>3581</v>
      </c>
      <c r="H3588" s="16">
        <f t="shared" ca="1" si="63"/>
        <v>-0.15791149370874785</v>
      </c>
    </row>
    <row r="3589" spans="7:8" x14ac:dyDescent="0.35">
      <c r="G3589" s="215">
        <v>3582</v>
      </c>
      <c r="H3589" s="16">
        <f t="shared" ca="1" si="63"/>
        <v>9.3099161281636186E-2</v>
      </c>
    </row>
    <row r="3590" spans="7:8" x14ac:dyDescent="0.35">
      <c r="G3590" s="215">
        <v>3583</v>
      </c>
      <c r="H3590" s="16">
        <f t="shared" ca="1" si="63"/>
        <v>-4.8416492694830122E-3</v>
      </c>
    </row>
    <row r="3591" spans="7:8" x14ac:dyDescent="0.35">
      <c r="G3591" s="215">
        <v>3584</v>
      </c>
      <c r="H3591" s="16">
        <f t="shared" ca="1" si="63"/>
        <v>-8.8565327765031551E-2</v>
      </c>
    </row>
    <row r="3592" spans="7:8" x14ac:dyDescent="0.35">
      <c r="G3592" s="215">
        <v>3585</v>
      </c>
      <c r="H3592" s="16">
        <f t="shared" ref="H3592:H3655" ca="1" si="64">_xlfn.NORM.INV(RAND(),M$10,M$11)</f>
        <v>-1.1382207420679649E-2</v>
      </c>
    </row>
    <row r="3593" spans="7:8" x14ac:dyDescent="0.35">
      <c r="G3593" s="215">
        <v>3586</v>
      </c>
      <c r="H3593" s="16">
        <f t="shared" ca="1" si="64"/>
        <v>-8.8916007844128148E-2</v>
      </c>
    </row>
    <row r="3594" spans="7:8" x14ac:dyDescent="0.35">
      <c r="G3594" s="215">
        <v>3587</v>
      </c>
      <c r="H3594" s="16">
        <f t="shared" ca="1" si="64"/>
        <v>-6.8237803516229392E-2</v>
      </c>
    </row>
    <row r="3595" spans="7:8" x14ac:dyDescent="0.35">
      <c r="G3595" s="215">
        <v>3588</v>
      </c>
      <c r="H3595" s="16">
        <f t="shared" ca="1" si="64"/>
        <v>-4.8235948145546256E-2</v>
      </c>
    </row>
    <row r="3596" spans="7:8" x14ac:dyDescent="0.35">
      <c r="G3596" s="215">
        <v>3589</v>
      </c>
      <c r="H3596" s="16">
        <f t="shared" ca="1" si="64"/>
        <v>7.6908480517239752E-2</v>
      </c>
    </row>
    <row r="3597" spans="7:8" x14ac:dyDescent="0.35">
      <c r="G3597" s="215">
        <v>3590</v>
      </c>
      <c r="H3597" s="16">
        <f t="shared" ca="1" si="64"/>
        <v>0.18355217592705791</v>
      </c>
    </row>
    <row r="3598" spans="7:8" x14ac:dyDescent="0.35">
      <c r="G3598" s="215">
        <v>3591</v>
      </c>
      <c r="H3598" s="16">
        <f t="shared" ca="1" si="64"/>
        <v>-5.2196555747020937E-2</v>
      </c>
    </row>
    <row r="3599" spans="7:8" x14ac:dyDescent="0.35">
      <c r="G3599" s="215">
        <v>3592</v>
      </c>
      <c r="H3599" s="16">
        <f t="shared" ca="1" si="64"/>
        <v>-0.15930589915296464</v>
      </c>
    </row>
    <row r="3600" spans="7:8" x14ac:dyDescent="0.35">
      <c r="G3600" s="215">
        <v>3593</v>
      </c>
      <c r="H3600" s="16">
        <f t="shared" ca="1" si="64"/>
        <v>8.4703266506267992E-3</v>
      </c>
    </row>
    <row r="3601" spans="7:8" x14ac:dyDescent="0.35">
      <c r="G3601" s="215">
        <v>3594</v>
      </c>
      <c r="H3601" s="16">
        <f t="shared" ca="1" si="64"/>
        <v>-3.0954164443558373E-2</v>
      </c>
    </row>
    <row r="3602" spans="7:8" x14ac:dyDescent="0.35">
      <c r="G3602" s="215">
        <v>3595</v>
      </c>
      <c r="H3602" s="16">
        <f t="shared" ca="1" si="64"/>
        <v>1.3198959729124089E-2</v>
      </c>
    </row>
    <row r="3603" spans="7:8" x14ac:dyDescent="0.35">
      <c r="G3603" s="215">
        <v>3596</v>
      </c>
      <c r="H3603" s="16">
        <f t="shared" ca="1" si="64"/>
        <v>-5.0214025418222855E-2</v>
      </c>
    </row>
    <row r="3604" spans="7:8" x14ac:dyDescent="0.35">
      <c r="G3604" s="215">
        <v>3597</v>
      </c>
      <c r="H3604" s="16">
        <f t="shared" ca="1" si="64"/>
        <v>-6.6704193125263253E-2</v>
      </c>
    </row>
    <row r="3605" spans="7:8" x14ac:dyDescent="0.35">
      <c r="G3605" s="215">
        <v>3598</v>
      </c>
      <c r="H3605" s="16">
        <f t="shared" ca="1" si="64"/>
        <v>6.3752914989586532E-2</v>
      </c>
    </row>
    <row r="3606" spans="7:8" x14ac:dyDescent="0.35">
      <c r="G3606" s="215">
        <v>3599</v>
      </c>
      <c r="H3606" s="16">
        <f t="shared" ca="1" si="64"/>
        <v>-2.7368685816204535E-2</v>
      </c>
    </row>
    <row r="3607" spans="7:8" x14ac:dyDescent="0.35">
      <c r="G3607" s="215">
        <v>3600</v>
      </c>
      <c r="H3607" s="16">
        <f t="shared" ca="1" si="64"/>
        <v>3.3015501386331865E-2</v>
      </c>
    </row>
    <row r="3608" spans="7:8" x14ac:dyDescent="0.35">
      <c r="G3608" s="215">
        <v>3601</v>
      </c>
      <c r="H3608" s="16">
        <f t="shared" ca="1" si="64"/>
        <v>-3.2637457599381151E-2</v>
      </c>
    </row>
    <row r="3609" spans="7:8" x14ac:dyDescent="0.35">
      <c r="G3609" s="215">
        <v>3602</v>
      </c>
      <c r="H3609" s="16">
        <f t="shared" ca="1" si="64"/>
        <v>-2.2540749776603249E-2</v>
      </c>
    </row>
    <row r="3610" spans="7:8" x14ac:dyDescent="0.35">
      <c r="G3610" s="215">
        <v>3603</v>
      </c>
      <c r="H3610" s="16">
        <f t="shared" ca="1" si="64"/>
        <v>1.2699536612113042E-2</v>
      </c>
    </row>
    <row r="3611" spans="7:8" x14ac:dyDescent="0.35">
      <c r="G3611" s="215">
        <v>3604</v>
      </c>
      <c r="H3611" s="16">
        <f t="shared" ca="1" si="64"/>
        <v>3.5019412299149469E-2</v>
      </c>
    </row>
    <row r="3612" spans="7:8" x14ac:dyDescent="0.35">
      <c r="G3612" s="215">
        <v>3605</v>
      </c>
      <c r="H3612" s="16">
        <f t="shared" ca="1" si="64"/>
        <v>6.0514522234699178E-2</v>
      </c>
    </row>
    <row r="3613" spans="7:8" x14ac:dyDescent="0.35">
      <c r="G3613" s="215">
        <v>3606</v>
      </c>
      <c r="H3613" s="16">
        <f t="shared" ca="1" si="64"/>
        <v>-0.16035007879983829</v>
      </c>
    </row>
    <row r="3614" spans="7:8" x14ac:dyDescent="0.35">
      <c r="G3614" s="215">
        <v>3607</v>
      </c>
      <c r="H3614" s="16">
        <f t="shared" ca="1" si="64"/>
        <v>-4.3588197554147431E-2</v>
      </c>
    </row>
    <row r="3615" spans="7:8" x14ac:dyDescent="0.35">
      <c r="G3615" s="215">
        <v>3608</v>
      </c>
      <c r="H3615" s="16">
        <f t="shared" ca="1" si="64"/>
        <v>-2.5468825953472867E-2</v>
      </c>
    </row>
    <row r="3616" spans="7:8" x14ac:dyDescent="0.35">
      <c r="G3616" s="215">
        <v>3609</v>
      </c>
      <c r="H3616" s="16">
        <f t="shared" ca="1" si="64"/>
        <v>4.6850959608552831E-2</v>
      </c>
    </row>
    <row r="3617" spans="7:8" x14ac:dyDescent="0.35">
      <c r="G3617" s="215">
        <v>3610</v>
      </c>
      <c r="H3617" s="16">
        <f t="shared" ca="1" si="64"/>
        <v>-2.6908348614821966E-2</v>
      </c>
    </row>
    <row r="3618" spans="7:8" x14ac:dyDescent="0.35">
      <c r="G3618" s="215">
        <v>3611</v>
      </c>
      <c r="H3618" s="16">
        <f t="shared" ca="1" si="64"/>
        <v>-3.9734229606186666E-2</v>
      </c>
    </row>
    <row r="3619" spans="7:8" x14ac:dyDescent="0.35">
      <c r="G3619" s="215">
        <v>3612</v>
      </c>
      <c r="H3619" s="16">
        <f t="shared" ca="1" si="64"/>
        <v>-1.2220904566975093E-2</v>
      </c>
    </row>
    <row r="3620" spans="7:8" x14ac:dyDescent="0.35">
      <c r="G3620" s="215">
        <v>3613</v>
      </c>
      <c r="H3620" s="16">
        <f t="shared" ca="1" si="64"/>
        <v>-5.2876583096792926E-2</v>
      </c>
    </row>
    <row r="3621" spans="7:8" x14ac:dyDescent="0.35">
      <c r="G3621" s="215">
        <v>3614</v>
      </c>
      <c r="H3621" s="16">
        <f t="shared" ca="1" si="64"/>
        <v>7.1823933549643712E-2</v>
      </c>
    </row>
    <row r="3622" spans="7:8" x14ac:dyDescent="0.35">
      <c r="G3622" s="215">
        <v>3615</v>
      </c>
      <c r="H3622" s="16">
        <f t="shared" ca="1" si="64"/>
        <v>7.9011789555705939E-2</v>
      </c>
    </row>
    <row r="3623" spans="7:8" x14ac:dyDescent="0.35">
      <c r="G3623" s="215">
        <v>3616</v>
      </c>
      <c r="H3623" s="16">
        <f t="shared" ca="1" si="64"/>
        <v>0.13123544109342231</v>
      </c>
    </row>
    <row r="3624" spans="7:8" x14ac:dyDescent="0.35">
      <c r="G3624" s="215">
        <v>3617</v>
      </c>
      <c r="H3624" s="16">
        <f t="shared" ca="1" si="64"/>
        <v>2.2246538925961498E-2</v>
      </c>
    </row>
    <row r="3625" spans="7:8" x14ac:dyDescent="0.35">
      <c r="G3625" s="215">
        <v>3618</v>
      </c>
      <c r="H3625" s="16">
        <f t="shared" ca="1" si="64"/>
        <v>5.5722631015299562E-2</v>
      </c>
    </row>
    <row r="3626" spans="7:8" x14ac:dyDescent="0.35">
      <c r="G3626" s="215">
        <v>3619</v>
      </c>
      <c r="H3626" s="16">
        <f t="shared" ca="1" si="64"/>
        <v>-9.4943477528165302E-2</v>
      </c>
    </row>
    <row r="3627" spans="7:8" x14ac:dyDescent="0.35">
      <c r="G3627" s="215">
        <v>3620</v>
      </c>
      <c r="H3627" s="16">
        <f t="shared" ca="1" si="64"/>
        <v>-7.353793360198059E-2</v>
      </c>
    </row>
    <row r="3628" spans="7:8" x14ac:dyDescent="0.35">
      <c r="G3628" s="215">
        <v>3621</v>
      </c>
      <c r="H3628" s="16">
        <f t="shared" ca="1" si="64"/>
        <v>9.5301428431476334E-3</v>
      </c>
    </row>
    <row r="3629" spans="7:8" x14ac:dyDescent="0.35">
      <c r="G3629" s="215">
        <v>3622</v>
      </c>
      <c r="H3629" s="16">
        <f t="shared" ca="1" si="64"/>
        <v>-2.7422971570791755E-3</v>
      </c>
    </row>
    <row r="3630" spans="7:8" x14ac:dyDescent="0.35">
      <c r="G3630" s="215">
        <v>3623</v>
      </c>
      <c r="H3630" s="16">
        <f t="shared" ca="1" si="64"/>
        <v>-3.2086185799412525E-2</v>
      </c>
    </row>
    <row r="3631" spans="7:8" x14ac:dyDescent="0.35">
      <c r="G3631" s="215">
        <v>3624</v>
      </c>
      <c r="H3631" s="16">
        <f t="shared" ca="1" si="64"/>
        <v>5.0253693825880949E-2</v>
      </c>
    </row>
    <row r="3632" spans="7:8" x14ac:dyDescent="0.35">
      <c r="G3632" s="215">
        <v>3625</v>
      </c>
      <c r="H3632" s="16">
        <f t="shared" ca="1" si="64"/>
        <v>7.6431883152651495E-2</v>
      </c>
    </row>
    <row r="3633" spans="7:8" x14ac:dyDescent="0.35">
      <c r="G3633" s="215">
        <v>3626</v>
      </c>
      <c r="H3633" s="16">
        <f t="shared" ca="1" si="64"/>
        <v>5.6000024433046636E-2</v>
      </c>
    </row>
    <row r="3634" spans="7:8" x14ac:dyDescent="0.35">
      <c r="G3634" s="215">
        <v>3627</v>
      </c>
      <c r="H3634" s="16">
        <f t="shared" ca="1" si="64"/>
        <v>-0.16900808534549691</v>
      </c>
    </row>
    <row r="3635" spans="7:8" x14ac:dyDescent="0.35">
      <c r="G3635" s="215">
        <v>3628</v>
      </c>
      <c r="H3635" s="16">
        <f t="shared" ca="1" si="64"/>
        <v>6.9156971976056608E-2</v>
      </c>
    </row>
    <row r="3636" spans="7:8" x14ac:dyDescent="0.35">
      <c r="G3636" s="215">
        <v>3629</v>
      </c>
      <c r="H3636" s="16">
        <f t="shared" ca="1" si="64"/>
        <v>-2.6535260295669206E-2</v>
      </c>
    </row>
    <row r="3637" spans="7:8" x14ac:dyDescent="0.35">
      <c r="G3637" s="215">
        <v>3630</v>
      </c>
      <c r="H3637" s="16">
        <f t="shared" ca="1" si="64"/>
        <v>-1.7782846568316388E-2</v>
      </c>
    </row>
    <row r="3638" spans="7:8" x14ac:dyDescent="0.35">
      <c r="G3638" s="215">
        <v>3631</v>
      </c>
      <c r="H3638" s="16">
        <f t="shared" ca="1" si="64"/>
        <v>-2.0813170792554642E-2</v>
      </c>
    </row>
    <row r="3639" spans="7:8" x14ac:dyDescent="0.35">
      <c r="G3639" s="215">
        <v>3632</v>
      </c>
      <c r="H3639" s="16">
        <f t="shared" ca="1" si="64"/>
        <v>8.42109779583948E-2</v>
      </c>
    </row>
    <row r="3640" spans="7:8" x14ac:dyDescent="0.35">
      <c r="G3640" s="215">
        <v>3633</v>
      </c>
      <c r="H3640" s="16">
        <f t="shared" ca="1" si="64"/>
        <v>3.9353857241353735E-2</v>
      </c>
    </row>
    <row r="3641" spans="7:8" x14ac:dyDescent="0.35">
      <c r="G3641" s="215">
        <v>3634</v>
      </c>
      <c r="H3641" s="16">
        <f t="shared" ca="1" si="64"/>
        <v>4.1421574555526544E-2</v>
      </c>
    </row>
    <row r="3642" spans="7:8" x14ac:dyDescent="0.35">
      <c r="G3642" s="215">
        <v>3635</v>
      </c>
      <c r="H3642" s="16">
        <f t="shared" ca="1" si="64"/>
        <v>4.3817539062776162E-2</v>
      </c>
    </row>
    <row r="3643" spans="7:8" x14ac:dyDescent="0.35">
      <c r="G3643" s="215">
        <v>3636</v>
      </c>
      <c r="H3643" s="16">
        <f t="shared" ca="1" si="64"/>
        <v>7.6729616747461538E-2</v>
      </c>
    </row>
    <row r="3644" spans="7:8" x14ac:dyDescent="0.35">
      <c r="G3644" s="215">
        <v>3637</v>
      </c>
      <c r="H3644" s="16">
        <f t="shared" ca="1" si="64"/>
        <v>-6.625997705940416E-2</v>
      </c>
    </row>
    <row r="3645" spans="7:8" x14ac:dyDescent="0.35">
      <c r="G3645" s="215">
        <v>3638</v>
      </c>
      <c r="H3645" s="16">
        <f t="shared" ca="1" si="64"/>
        <v>3.437812682851521E-2</v>
      </c>
    </row>
    <row r="3646" spans="7:8" x14ac:dyDescent="0.35">
      <c r="G3646" s="215">
        <v>3639</v>
      </c>
      <c r="H3646" s="16">
        <f t="shared" ca="1" si="64"/>
        <v>-6.135436685537253E-3</v>
      </c>
    </row>
    <row r="3647" spans="7:8" x14ac:dyDescent="0.35">
      <c r="G3647" s="215">
        <v>3640</v>
      </c>
      <c r="H3647" s="16">
        <f t="shared" ca="1" si="64"/>
        <v>5.085191071949402E-2</v>
      </c>
    </row>
    <row r="3648" spans="7:8" x14ac:dyDescent="0.35">
      <c r="G3648" s="215">
        <v>3641</v>
      </c>
      <c r="H3648" s="16">
        <f t="shared" ca="1" si="64"/>
        <v>-5.5146231860394995E-3</v>
      </c>
    </row>
    <row r="3649" spans="7:8" x14ac:dyDescent="0.35">
      <c r="G3649" s="215">
        <v>3642</v>
      </c>
      <c r="H3649" s="16">
        <f t="shared" ca="1" si="64"/>
        <v>6.4449696792694217E-2</v>
      </c>
    </row>
    <row r="3650" spans="7:8" x14ac:dyDescent="0.35">
      <c r="G3650" s="215">
        <v>3643</v>
      </c>
      <c r="H3650" s="16">
        <f t="shared" ca="1" si="64"/>
        <v>0.10104167144664702</v>
      </c>
    </row>
    <row r="3651" spans="7:8" x14ac:dyDescent="0.35">
      <c r="G3651" s="215">
        <v>3644</v>
      </c>
      <c r="H3651" s="16">
        <f t="shared" ca="1" si="64"/>
        <v>0.14493059252769122</v>
      </c>
    </row>
    <row r="3652" spans="7:8" x14ac:dyDescent="0.35">
      <c r="G3652" s="215">
        <v>3645</v>
      </c>
      <c r="H3652" s="16">
        <f t="shared" ca="1" si="64"/>
        <v>0.11426563673705048</v>
      </c>
    </row>
    <row r="3653" spans="7:8" x14ac:dyDescent="0.35">
      <c r="G3653" s="215">
        <v>3646</v>
      </c>
      <c r="H3653" s="16">
        <f t="shared" ca="1" si="64"/>
        <v>-6.0517423657185897E-3</v>
      </c>
    </row>
    <row r="3654" spans="7:8" x14ac:dyDescent="0.35">
      <c r="G3654" s="215">
        <v>3647</v>
      </c>
      <c r="H3654" s="16">
        <f t="shared" ca="1" si="64"/>
        <v>1.8063178690127246E-2</v>
      </c>
    </row>
    <row r="3655" spans="7:8" x14ac:dyDescent="0.35">
      <c r="G3655" s="215">
        <v>3648</v>
      </c>
      <c r="H3655" s="16">
        <f t="shared" ca="1" si="64"/>
        <v>-4.7836151271089838E-2</v>
      </c>
    </row>
    <row r="3656" spans="7:8" x14ac:dyDescent="0.35">
      <c r="G3656" s="215">
        <v>3649</v>
      </c>
      <c r="H3656" s="16">
        <f t="shared" ref="H3656:H3719" ca="1" si="65">_xlfn.NORM.INV(RAND(),M$10,M$11)</f>
        <v>-5.6674999988514579E-2</v>
      </c>
    </row>
    <row r="3657" spans="7:8" x14ac:dyDescent="0.35">
      <c r="G3657" s="215">
        <v>3650</v>
      </c>
      <c r="H3657" s="16">
        <f t="shared" ca="1" si="65"/>
        <v>-4.7472288988360922E-2</v>
      </c>
    </row>
    <row r="3658" spans="7:8" x14ac:dyDescent="0.35">
      <c r="G3658" s="215">
        <v>3651</v>
      </c>
      <c r="H3658" s="16">
        <f t="shared" ca="1" si="65"/>
        <v>1.9953509018946769E-3</v>
      </c>
    </row>
    <row r="3659" spans="7:8" x14ac:dyDescent="0.35">
      <c r="G3659" s="215">
        <v>3652</v>
      </c>
      <c r="H3659" s="16">
        <f t="shared" ca="1" si="65"/>
        <v>-5.7370667698382088E-2</v>
      </c>
    </row>
    <row r="3660" spans="7:8" x14ac:dyDescent="0.35">
      <c r="G3660" s="215">
        <v>3653</v>
      </c>
      <c r="H3660" s="16">
        <f t="shared" ca="1" si="65"/>
        <v>0.16490050921900917</v>
      </c>
    </row>
    <row r="3661" spans="7:8" x14ac:dyDescent="0.35">
      <c r="G3661" s="215">
        <v>3654</v>
      </c>
      <c r="H3661" s="16">
        <f t="shared" ca="1" si="65"/>
        <v>-7.8473003610638359E-2</v>
      </c>
    </row>
    <row r="3662" spans="7:8" x14ac:dyDescent="0.35">
      <c r="G3662" s="215">
        <v>3655</v>
      </c>
      <c r="H3662" s="16">
        <f t="shared" ca="1" si="65"/>
        <v>0.2263045632086009</v>
      </c>
    </row>
    <row r="3663" spans="7:8" x14ac:dyDescent="0.35">
      <c r="G3663" s="215">
        <v>3656</v>
      </c>
      <c r="H3663" s="16">
        <f t="shared" ca="1" si="65"/>
        <v>1.7239137294980739E-2</v>
      </c>
    </row>
    <row r="3664" spans="7:8" x14ac:dyDescent="0.35">
      <c r="G3664" s="215">
        <v>3657</v>
      </c>
      <c r="H3664" s="16">
        <f t="shared" ca="1" si="65"/>
        <v>-4.5232998021813603E-2</v>
      </c>
    </row>
    <row r="3665" spans="7:8" x14ac:dyDescent="0.35">
      <c r="G3665" s="215">
        <v>3658</v>
      </c>
      <c r="H3665" s="16">
        <f t="shared" ca="1" si="65"/>
        <v>5.9121173290625521E-3</v>
      </c>
    </row>
    <row r="3666" spans="7:8" x14ac:dyDescent="0.35">
      <c r="G3666" s="215">
        <v>3659</v>
      </c>
      <c r="H3666" s="16">
        <f t="shared" ca="1" si="65"/>
        <v>-6.6367968363504198E-2</v>
      </c>
    </row>
    <row r="3667" spans="7:8" x14ac:dyDescent="0.35">
      <c r="G3667" s="215">
        <v>3660</v>
      </c>
      <c r="H3667" s="16">
        <f t="shared" ca="1" si="65"/>
        <v>-2.2198552974579015E-2</v>
      </c>
    </row>
    <row r="3668" spans="7:8" x14ac:dyDescent="0.35">
      <c r="G3668" s="215">
        <v>3661</v>
      </c>
      <c r="H3668" s="16">
        <f t="shared" ca="1" si="65"/>
        <v>0.13800682283865534</v>
      </c>
    </row>
    <row r="3669" spans="7:8" x14ac:dyDescent="0.35">
      <c r="G3669" s="215">
        <v>3662</v>
      </c>
      <c r="H3669" s="16">
        <f t="shared" ca="1" si="65"/>
        <v>-6.0886782093005867E-2</v>
      </c>
    </row>
    <row r="3670" spans="7:8" x14ac:dyDescent="0.35">
      <c r="G3670" s="215">
        <v>3663</v>
      </c>
      <c r="H3670" s="16">
        <f t="shared" ca="1" si="65"/>
        <v>8.6507863488991768E-2</v>
      </c>
    </row>
    <row r="3671" spans="7:8" x14ac:dyDescent="0.35">
      <c r="G3671" s="215">
        <v>3664</v>
      </c>
      <c r="H3671" s="16">
        <f t="shared" ca="1" si="65"/>
        <v>1.6726521148319948E-2</v>
      </c>
    </row>
    <row r="3672" spans="7:8" x14ac:dyDescent="0.35">
      <c r="G3672" s="215">
        <v>3665</v>
      </c>
      <c r="H3672" s="16">
        <f t="shared" ca="1" si="65"/>
        <v>-5.9573090986991928E-2</v>
      </c>
    </row>
    <row r="3673" spans="7:8" x14ac:dyDescent="0.35">
      <c r="G3673" s="215">
        <v>3666</v>
      </c>
      <c r="H3673" s="16">
        <f t="shared" ca="1" si="65"/>
        <v>1.9901899732488383E-2</v>
      </c>
    </row>
    <row r="3674" spans="7:8" x14ac:dyDescent="0.35">
      <c r="G3674" s="215">
        <v>3667</v>
      </c>
      <c r="H3674" s="16">
        <f t="shared" ca="1" si="65"/>
        <v>-1.9348856878711688E-2</v>
      </c>
    </row>
    <row r="3675" spans="7:8" x14ac:dyDescent="0.35">
      <c r="G3675" s="215">
        <v>3668</v>
      </c>
      <c r="H3675" s="16">
        <f t="shared" ca="1" si="65"/>
        <v>1.9986963151486081E-3</v>
      </c>
    </row>
    <row r="3676" spans="7:8" x14ac:dyDescent="0.35">
      <c r="G3676" s="215">
        <v>3669</v>
      </c>
      <c r="H3676" s="16">
        <f t="shared" ca="1" si="65"/>
        <v>-4.1002136120172367E-2</v>
      </c>
    </row>
    <row r="3677" spans="7:8" x14ac:dyDescent="0.35">
      <c r="G3677" s="215">
        <v>3670</v>
      </c>
      <c r="H3677" s="16">
        <f t="shared" ca="1" si="65"/>
        <v>-9.153486377762865E-2</v>
      </c>
    </row>
    <row r="3678" spans="7:8" x14ac:dyDescent="0.35">
      <c r="G3678" s="215">
        <v>3671</v>
      </c>
      <c r="H3678" s="16">
        <f t="shared" ca="1" si="65"/>
        <v>-8.9434548220514998E-3</v>
      </c>
    </row>
    <row r="3679" spans="7:8" x14ac:dyDescent="0.35">
      <c r="G3679" s="215">
        <v>3672</v>
      </c>
      <c r="H3679" s="16">
        <f t="shared" ca="1" si="65"/>
        <v>-3.3538755927427708E-3</v>
      </c>
    </row>
    <row r="3680" spans="7:8" x14ac:dyDescent="0.35">
      <c r="G3680" s="215">
        <v>3673</v>
      </c>
      <c r="H3680" s="16">
        <f t="shared" ca="1" si="65"/>
        <v>-9.5163138594859392E-2</v>
      </c>
    </row>
    <row r="3681" spans="7:8" x14ac:dyDescent="0.35">
      <c r="G3681" s="215">
        <v>3674</v>
      </c>
      <c r="H3681" s="16">
        <f t="shared" ca="1" si="65"/>
        <v>1.2626363254617714E-3</v>
      </c>
    </row>
    <row r="3682" spans="7:8" x14ac:dyDescent="0.35">
      <c r="G3682" s="215">
        <v>3675</v>
      </c>
      <c r="H3682" s="16">
        <f t="shared" ca="1" si="65"/>
        <v>8.6328204431296698E-2</v>
      </c>
    </row>
    <row r="3683" spans="7:8" x14ac:dyDescent="0.35">
      <c r="G3683" s="215">
        <v>3676</v>
      </c>
      <c r="H3683" s="16">
        <f t="shared" ca="1" si="65"/>
        <v>-1.6291319342014988E-2</v>
      </c>
    </row>
    <row r="3684" spans="7:8" x14ac:dyDescent="0.35">
      <c r="G3684" s="215">
        <v>3677</v>
      </c>
      <c r="H3684" s="16">
        <f t="shared" ca="1" si="65"/>
        <v>-2.36440964789504E-2</v>
      </c>
    </row>
    <row r="3685" spans="7:8" x14ac:dyDescent="0.35">
      <c r="G3685" s="215">
        <v>3678</v>
      </c>
      <c r="H3685" s="16">
        <f t="shared" ca="1" si="65"/>
        <v>0.13018173274654596</v>
      </c>
    </row>
    <row r="3686" spans="7:8" x14ac:dyDescent="0.35">
      <c r="G3686" s="215">
        <v>3679</v>
      </c>
      <c r="H3686" s="16">
        <f t="shared" ca="1" si="65"/>
        <v>7.9824692252932275E-2</v>
      </c>
    </row>
    <row r="3687" spans="7:8" x14ac:dyDescent="0.35">
      <c r="G3687" s="215">
        <v>3680</v>
      </c>
      <c r="H3687" s="16">
        <f t="shared" ca="1" si="65"/>
        <v>-9.8397200537233331E-2</v>
      </c>
    </row>
    <row r="3688" spans="7:8" x14ac:dyDescent="0.35">
      <c r="G3688" s="215">
        <v>3681</v>
      </c>
      <c r="H3688" s="16">
        <f t="shared" ca="1" si="65"/>
        <v>6.5023171426637572E-3</v>
      </c>
    </row>
    <row r="3689" spans="7:8" x14ac:dyDescent="0.35">
      <c r="G3689" s="215">
        <v>3682</v>
      </c>
      <c r="H3689" s="16">
        <f t="shared" ca="1" si="65"/>
        <v>9.2496879893967071E-2</v>
      </c>
    </row>
    <row r="3690" spans="7:8" x14ac:dyDescent="0.35">
      <c r="G3690" s="215">
        <v>3683</v>
      </c>
      <c r="H3690" s="16">
        <f t="shared" ca="1" si="65"/>
        <v>1.6480224030245832E-3</v>
      </c>
    </row>
    <row r="3691" spans="7:8" x14ac:dyDescent="0.35">
      <c r="G3691" s="215">
        <v>3684</v>
      </c>
      <c r="H3691" s="16">
        <f t="shared" ca="1" si="65"/>
        <v>7.0485512382422483E-2</v>
      </c>
    </row>
    <row r="3692" spans="7:8" x14ac:dyDescent="0.35">
      <c r="G3692" s="215">
        <v>3685</v>
      </c>
      <c r="H3692" s="16">
        <f t="shared" ca="1" si="65"/>
        <v>2.2690523986549381E-2</v>
      </c>
    </row>
    <row r="3693" spans="7:8" x14ac:dyDescent="0.35">
      <c r="G3693" s="215">
        <v>3686</v>
      </c>
      <c r="H3693" s="16">
        <f t="shared" ca="1" si="65"/>
        <v>-0.11243159684043515</v>
      </c>
    </row>
    <row r="3694" spans="7:8" x14ac:dyDescent="0.35">
      <c r="G3694" s="215">
        <v>3687</v>
      </c>
      <c r="H3694" s="16">
        <f t="shared" ca="1" si="65"/>
        <v>-9.7490005991252016E-3</v>
      </c>
    </row>
    <row r="3695" spans="7:8" x14ac:dyDescent="0.35">
      <c r="G3695" s="215">
        <v>3688</v>
      </c>
      <c r="H3695" s="16">
        <f t="shared" ca="1" si="65"/>
        <v>-9.3593829683085245E-2</v>
      </c>
    </row>
    <row r="3696" spans="7:8" x14ac:dyDescent="0.35">
      <c r="G3696" s="215">
        <v>3689</v>
      </c>
      <c r="H3696" s="16">
        <f t="shared" ca="1" si="65"/>
        <v>7.1471425097954941E-2</v>
      </c>
    </row>
    <row r="3697" spans="7:8" x14ac:dyDescent="0.35">
      <c r="G3697" s="215">
        <v>3690</v>
      </c>
      <c r="H3697" s="16">
        <f t="shared" ca="1" si="65"/>
        <v>7.0243275179016032E-2</v>
      </c>
    </row>
    <row r="3698" spans="7:8" x14ac:dyDescent="0.35">
      <c r="G3698" s="215">
        <v>3691</v>
      </c>
      <c r="H3698" s="16">
        <f t="shared" ca="1" si="65"/>
        <v>4.0387434453395321E-2</v>
      </c>
    </row>
    <row r="3699" spans="7:8" x14ac:dyDescent="0.35">
      <c r="G3699" s="215">
        <v>3692</v>
      </c>
      <c r="H3699" s="16">
        <f t="shared" ca="1" si="65"/>
        <v>-0.12185860644513546</v>
      </c>
    </row>
    <row r="3700" spans="7:8" x14ac:dyDescent="0.35">
      <c r="G3700" s="215">
        <v>3693</v>
      </c>
      <c r="H3700" s="16">
        <f t="shared" ca="1" si="65"/>
        <v>4.7261305040321722E-2</v>
      </c>
    </row>
    <row r="3701" spans="7:8" x14ac:dyDescent="0.35">
      <c r="G3701" s="215">
        <v>3694</v>
      </c>
      <c r="H3701" s="16">
        <f t="shared" ca="1" si="65"/>
        <v>6.1560123341251036E-2</v>
      </c>
    </row>
    <row r="3702" spans="7:8" x14ac:dyDescent="0.35">
      <c r="G3702" s="215">
        <v>3695</v>
      </c>
      <c r="H3702" s="16">
        <f t="shared" ca="1" si="65"/>
        <v>0.10230767942042195</v>
      </c>
    </row>
    <row r="3703" spans="7:8" x14ac:dyDescent="0.35">
      <c r="G3703" s="215">
        <v>3696</v>
      </c>
      <c r="H3703" s="16">
        <f t="shared" ca="1" si="65"/>
        <v>-0.1280321239561838</v>
      </c>
    </row>
    <row r="3704" spans="7:8" x14ac:dyDescent="0.35">
      <c r="G3704" s="215">
        <v>3697</v>
      </c>
      <c r="H3704" s="16">
        <f t="shared" ca="1" si="65"/>
        <v>6.0634763974098713E-2</v>
      </c>
    </row>
    <row r="3705" spans="7:8" x14ac:dyDescent="0.35">
      <c r="G3705" s="215">
        <v>3698</v>
      </c>
      <c r="H3705" s="16">
        <f t="shared" ca="1" si="65"/>
        <v>2.1694074228647102E-2</v>
      </c>
    </row>
    <row r="3706" spans="7:8" x14ac:dyDescent="0.35">
      <c r="G3706" s="215">
        <v>3699</v>
      </c>
      <c r="H3706" s="16">
        <f t="shared" ca="1" si="65"/>
        <v>7.3976502848505507E-3</v>
      </c>
    </row>
    <row r="3707" spans="7:8" x14ac:dyDescent="0.35">
      <c r="G3707" s="215">
        <v>3700</v>
      </c>
      <c r="H3707" s="16">
        <f t="shared" ca="1" si="65"/>
        <v>7.8203137705998071E-2</v>
      </c>
    </row>
    <row r="3708" spans="7:8" x14ac:dyDescent="0.35">
      <c r="G3708" s="215">
        <v>3701</v>
      </c>
      <c r="H3708" s="16">
        <f t="shared" ca="1" si="65"/>
        <v>-5.8214989828863931E-2</v>
      </c>
    </row>
    <row r="3709" spans="7:8" x14ac:dyDescent="0.35">
      <c r="G3709" s="215">
        <v>3702</v>
      </c>
      <c r="H3709" s="16">
        <f t="shared" ca="1" si="65"/>
        <v>1.5025969982186103E-3</v>
      </c>
    </row>
    <row r="3710" spans="7:8" x14ac:dyDescent="0.35">
      <c r="G3710" s="215">
        <v>3703</v>
      </c>
      <c r="H3710" s="16">
        <f t="shared" ca="1" si="65"/>
        <v>-5.7650532272240984E-2</v>
      </c>
    </row>
    <row r="3711" spans="7:8" x14ac:dyDescent="0.35">
      <c r="G3711" s="215">
        <v>3704</v>
      </c>
      <c r="H3711" s="16">
        <f t="shared" ca="1" si="65"/>
        <v>-5.4232720142901245E-2</v>
      </c>
    </row>
    <row r="3712" spans="7:8" x14ac:dyDescent="0.35">
      <c r="G3712" s="215">
        <v>3705</v>
      </c>
      <c r="H3712" s="16">
        <f t="shared" ca="1" si="65"/>
        <v>3.5507106295130632E-2</v>
      </c>
    </row>
    <row r="3713" spans="7:8" x14ac:dyDescent="0.35">
      <c r="G3713" s="215">
        <v>3706</v>
      </c>
      <c r="H3713" s="16">
        <f t="shared" ca="1" si="65"/>
        <v>-3.1336970664453234E-2</v>
      </c>
    </row>
    <row r="3714" spans="7:8" x14ac:dyDescent="0.35">
      <c r="G3714" s="215">
        <v>3707</v>
      </c>
      <c r="H3714" s="16">
        <f t="shared" ca="1" si="65"/>
        <v>9.8711893136054579E-2</v>
      </c>
    </row>
    <row r="3715" spans="7:8" x14ac:dyDescent="0.35">
      <c r="G3715" s="215">
        <v>3708</v>
      </c>
      <c r="H3715" s="16">
        <f t="shared" ca="1" si="65"/>
        <v>5.424459132645279E-2</v>
      </c>
    </row>
    <row r="3716" spans="7:8" x14ac:dyDescent="0.35">
      <c r="G3716" s="215">
        <v>3709</v>
      </c>
      <c r="H3716" s="16">
        <f t="shared" ca="1" si="65"/>
        <v>6.789612950695012E-2</v>
      </c>
    </row>
    <row r="3717" spans="7:8" x14ac:dyDescent="0.35">
      <c r="G3717" s="215">
        <v>3710</v>
      </c>
      <c r="H3717" s="16">
        <f t="shared" ca="1" si="65"/>
        <v>7.947285762948976E-2</v>
      </c>
    </row>
    <row r="3718" spans="7:8" x14ac:dyDescent="0.35">
      <c r="G3718" s="215">
        <v>3711</v>
      </c>
      <c r="H3718" s="16">
        <f t="shared" ca="1" si="65"/>
        <v>-0.11754445752813283</v>
      </c>
    </row>
    <row r="3719" spans="7:8" x14ac:dyDescent="0.35">
      <c r="G3719" s="215">
        <v>3712</v>
      </c>
      <c r="H3719" s="16">
        <f t="shared" ca="1" si="65"/>
        <v>-1.1546205476008452E-2</v>
      </c>
    </row>
    <row r="3720" spans="7:8" x14ac:dyDescent="0.35">
      <c r="G3720" s="215">
        <v>3713</v>
      </c>
      <c r="H3720" s="16">
        <f t="shared" ref="H3720:H3783" ca="1" si="66">_xlfn.NORM.INV(RAND(),M$10,M$11)</f>
        <v>2.7569150957928376E-2</v>
      </c>
    </row>
    <row r="3721" spans="7:8" x14ac:dyDescent="0.35">
      <c r="G3721" s="215">
        <v>3714</v>
      </c>
      <c r="H3721" s="16">
        <f t="shared" ca="1" si="66"/>
        <v>-4.7459421518192643E-2</v>
      </c>
    </row>
    <row r="3722" spans="7:8" x14ac:dyDescent="0.35">
      <c r="G3722" s="215">
        <v>3715</v>
      </c>
      <c r="H3722" s="16">
        <f t="shared" ca="1" si="66"/>
        <v>-6.5615178991362946E-2</v>
      </c>
    </row>
    <row r="3723" spans="7:8" x14ac:dyDescent="0.35">
      <c r="G3723" s="215">
        <v>3716</v>
      </c>
      <c r="H3723" s="16">
        <f t="shared" ca="1" si="66"/>
        <v>7.1069568157357307E-2</v>
      </c>
    </row>
    <row r="3724" spans="7:8" x14ac:dyDescent="0.35">
      <c r="G3724" s="215">
        <v>3717</v>
      </c>
      <c r="H3724" s="16">
        <f t="shared" ca="1" si="66"/>
        <v>-2.6189084331301706E-2</v>
      </c>
    </row>
    <row r="3725" spans="7:8" x14ac:dyDescent="0.35">
      <c r="G3725" s="215">
        <v>3718</v>
      </c>
      <c r="H3725" s="16">
        <f t="shared" ca="1" si="66"/>
        <v>-7.3378388413737214E-2</v>
      </c>
    </row>
    <row r="3726" spans="7:8" x14ac:dyDescent="0.35">
      <c r="G3726" s="215">
        <v>3719</v>
      </c>
      <c r="H3726" s="16">
        <f t="shared" ca="1" si="66"/>
        <v>7.0437350427785539E-3</v>
      </c>
    </row>
    <row r="3727" spans="7:8" x14ac:dyDescent="0.35">
      <c r="G3727" s="215">
        <v>3720</v>
      </c>
      <c r="H3727" s="16">
        <f t="shared" ca="1" si="66"/>
        <v>0.14767852351462835</v>
      </c>
    </row>
    <row r="3728" spans="7:8" x14ac:dyDescent="0.35">
      <c r="G3728" s="215">
        <v>3721</v>
      </c>
      <c r="H3728" s="16">
        <f t="shared" ca="1" si="66"/>
        <v>-1.2773506188845981E-2</v>
      </c>
    </row>
    <row r="3729" spans="7:8" x14ac:dyDescent="0.35">
      <c r="G3729" s="215">
        <v>3722</v>
      </c>
      <c r="H3729" s="16">
        <f t="shared" ca="1" si="66"/>
        <v>6.7783096873068396E-3</v>
      </c>
    </row>
    <row r="3730" spans="7:8" x14ac:dyDescent="0.35">
      <c r="G3730" s="215">
        <v>3723</v>
      </c>
      <c r="H3730" s="16">
        <f t="shared" ca="1" si="66"/>
        <v>-3.7196952384053406E-2</v>
      </c>
    </row>
    <row r="3731" spans="7:8" x14ac:dyDescent="0.35">
      <c r="G3731" s="215">
        <v>3724</v>
      </c>
      <c r="H3731" s="16">
        <f t="shared" ca="1" si="66"/>
        <v>-3.798497232446113E-2</v>
      </c>
    </row>
    <row r="3732" spans="7:8" x14ac:dyDescent="0.35">
      <c r="G3732" s="215">
        <v>3725</v>
      </c>
      <c r="H3732" s="16">
        <f t="shared" ca="1" si="66"/>
        <v>-4.55157675550205E-2</v>
      </c>
    </row>
    <row r="3733" spans="7:8" x14ac:dyDescent="0.35">
      <c r="G3733" s="215">
        <v>3726</v>
      </c>
      <c r="H3733" s="16">
        <f t="shared" ca="1" si="66"/>
        <v>-8.8375047166181081E-3</v>
      </c>
    </row>
    <row r="3734" spans="7:8" x14ac:dyDescent="0.35">
      <c r="G3734" s="215">
        <v>3727</v>
      </c>
      <c r="H3734" s="16">
        <f t="shared" ca="1" si="66"/>
        <v>-0.11304287596241533</v>
      </c>
    </row>
    <row r="3735" spans="7:8" x14ac:dyDescent="0.35">
      <c r="G3735" s="215">
        <v>3728</v>
      </c>
      <c r="H3735" s="16">
        <f t="shared" ca="1" si="66"/>
        <v>-0.14783700551070075</v>
      </c>
    </row>
    <row r="3736" spans="7:8" x14ac:dyDescent="0.35">
      <c r="G3736" s="215">
        <v>3729</v>
      </c>
      <c r="H3736" s="16">
        <f t="shared" ca="1" si="66"/>
        <v>-3.6202847230706603E-2</v>
      </c>
    </row>
    <row r="3737" spans="7:8" x14ac:dyDescent="0.35">
      <c r="G3737" s="215">
        <v>3730</v>
      </c>
      <c r="H3737" s="16">
        <f t="shared" ca="1" si="66"/>
        <v>2.8615104380827108E-2</v>
      </c>
    </row>
    <row r="3738" spans="7:8" x14ac:dyDescent="0.35">
      <c r="G3738" s="215">
        <v>3731</v>
      </c>
      <c r="H3738" s="16">
        <f t="shared" ca="1" si="66"/>
        <v>6.0393059735089016E-2</v>
      </c>
    </row>
    <row r="3739" spans="7:8" x14ac:dyDescent="0.35">
      <c r="G3739" s="215">
        <v>3732</v>
      </c>
      <c r="H3739" s="16">
        <f t="shared" ca="1" si="66"/>
        <v>2.5063298875304538E-2</v>
      </c>
    </row>
    <row r="3740" spans="7:8" x14ac:dyDescent="0.35">
      <c r="G3740" s="215">
        <v>3733</v>
      </c>
      <c r="H3740" s="16">
        <f t="shared" ca="1" si="66"/>
        <v>-5.7928322477559802E-2</v>
      </c>
    </row>
    <row r="3741" spans="7:8" x14ac:dyDescent="0.35">
      <c r="G3741" s="215">
        <v>3734</v>
      </c>
      <c r="H3741" s="16">
        <f t="shared" ca="1" si="66"/>
        <v>7.0902664180434158E-2</v>
      </c>
    </row>
    <row r="3742" spans="7:8" x14ac:dyDescent="0.35">
      <c r="G3742" s="215">
        <v>3735</v>
      </c>
      <c r="H3742" s="16">
        <f t="shared" ca="1" si="66"/>
        <v>-8.2417486680202864E-2</v>
      </c>
    </row>
    <row r="3743" spans="7:8" x14ac:dyDescent="0.35">
      <c r="G3743" s="215">
        <v>3736</v>
      </c>
      <c r="H3743" s="16">
        <f t="shared" ca="1" si="66"/>
        <v>-8.2006591984632241E-2</v>
      </c>
    </row>
    <row r="3744" spans="7:8" x14ac:dyDescent="0.35">
      <c r="G3744" s="215">
        <v>3737</v>
      </c>
      <c r="H3744" s="16">
        <f t="shared" ca="1" si="66"/>
        <v>6.041798566109978E-2</v>
      </c>
    </row>
    <row r="3745" spans="7:8" x14ac:dyDescent="0.35">
      <c r="G3745" s="215">
        <v>3738</v>
      </c>
      <c r="H3745" s="16">
        <f t="shared" ca="1" si="66"/>
        <v>2.9160405972327396E-2</v>
      </c>
    </row>
    <row r="3746" spans="7:8" x14ac:dyDescent="0.35">
      <c r="G3746" s="215">
        <v>3739</v>
      </c>
      <c r="H3746" s="16">
        <f t="shared" ca="1" si="66"/>
        <v>5.6764930812577136E-5</v>
      </c>
    </row>
    <row r="3747" spans="7:8" x14ac:dyDescent="0.35">
      <c r="G3747" s="215">
        <v>3740</v>
      </c>
      <c r="H3747" s="16">
        <f t="shared" ca="1" si="66"/>
        <v>7.9879964082655047E-2</v>
      </c>
    </row>
    <row r="3748" spans="7:8" x14ac:dyDescent="0.35">
      <c r="G3748" s="215">
        <v>3741</v>
      </c>
      <c r="H3748" s="16">
        <f t="shared" ca="1" si="66"/>
        <v>5.6432475107177388E-2</v>
      </c>
    </row>
    <row r="3749" spans="7:8" x14ac:dyDescent="0.35">
      <c r="G3749" s="215">
        <v>3742</v>
      </c>
      <c r="H3749" s="16">
        <f t="shared" ca="1" si="66"/>
        <v>3.9058697242863448E-2</v>
      </c>
    </row>
    <row r="3750" spans="7:8" x14ac:dyDescent="0.35">
      <c r="G3750" s="215">
        <v>3743</v>
      </c>
      <c r="H3750" s="16">
        <f t="shared" ca="1" si="66"/>
        <v>-6.3716709144804179E-2</v>
      </c>
    </row>
    <row r="3751" spans="7:8" x14ac:dyDescent="0.35">
      <c r="G3751" s="215">
        <v>3744</v>
      </c>
      <c r="H3751" s="16">
        <f t="shared" ca="1" si="66"/>
        <v>-3.985919882759871E-2</v>
      </c>
    </row>
    <row r="3752" spans="7:8" x14ac:dyDescent="0.35">
      <c r="G3752" s="215">
        <v>3745</v>
      </c>
      <c r="H3752" s="16">
        <f t="shared" ca="1" si="66"/>
        <v>-7.3993318441193376E-2</v>
      </c>
    </row>
    <row r="3753" spans="7:8" x14ac:dyDescent="0.35">
      <c r="G3753" s="215">
        <v>3746</v>
      </c>
      <c r="H3753" s="16">
        <f t="shared" ca="1" si="66"/>
        <v>6.1436614400997513E-2</v>
      </c>
    </row>
    <row r="3754" spans="7:8" x14ac:dyDescent="0.35">
      <c r="G3754" s="215">
        <v>3747</v>
      </c>
      <c r="H3754" s="16">
        <f t="shared" ca="1" si="66"/>
        <v>0.18809224603872904</v>
      </c>
    </row>
    <row r="3755" spans="7:8" x14ac:dyDescent="0.35">
      <c r="G3755" s="215">
        <v>3748</v>
      </c>
      <c r="H3755" s="16">
        <f t="shared" ca="1" si="66"/>
        <v>-7.4032163497127004E-3</v>
      </c>
    </row>
    <row r="3756" spans="7:8" x14ac:dyDescent="0.35">
      <c r="G3756" s="215">
        <v>3749</v>
      </c>
      <c r="H3756" s="16">
        <f t="shared" ca="1" si="66"/>
        <v>5.6318107660097871E-2</v>
      </c>
    </row>
    <row r="3757" spans="7:8" x14ac:dyDescent="0.35">
      <c r="G3757" s="215">
        <v>3750</v>
      </c>
      <c r="H3757" s="16">
        <f t="shared" ca="1" si="66"/>
        <v>4.3671831150031606E-2</v>
      </c>
    </row>
    <row r="3758" spans="7:8" x14ac:dyDescent="0.35">
      <c r="G3758" s="215">
        <v>3751</v>
      </c>
      <c r="H3758" s="16">
        <f t="shared" ca="1" si="66"/>
        <v>-5.53367378109441E-2</v>
      </c>
    </row>
    <row r="3759" spans="7:8" x14ac:dyDescent="0.35">
      <c r="G3759" s="215">
        <v>3752</v>
      </c>
      <c r="H3759" s="16">
        <f t="shared" ca="1" si="66"/>
        <v>3.529142488804337E-2</v>
      </c>
    </row>
    <row r="3760" spans="7:8" x14ac:dyDescent="0.35">
      <c r="G3760" s="215">
        <v>3753</v>
      </c>
      <c r="H3760" s="16">
        <f t="shared" ca="1" si="66"/>
        <v>-4.2526455263005802E-2</v>
      </c>
    </row>
    <row r="3761" spans="7:8" x14ac:dyDescent="0.35">
      <c r="G3761" s="215">
        <v>3754</v>
      </c>
      <c r="H3761" s="16">
        <f t="shared" ca="1" si="66"/>
        <v>0.16416498324153955</v>
      </c>
    </row>
    <row r="3762" spans="7:8" x14ac:dyDescent="0.35">
      <c r="G3762" s="215">
        <v>3755</v>
      </c>
      <c r="H3762" s="16">
        <f t="shared" ca="1" si="66"/>
        <v>-6.4272485717528818E-2</v>
      </c>
    </row>
    <row r="3763" spans="7:8" x14ac:dyDescent="0.35">
      <c r="G3763" s="215">
        <v>3756</v>
      </c>
      <c r="H3763" s="16">
        <f t="shared" ca="1" si="66"/>
        <v>6.067027525267589E-2</v>
      </c>
    </row>
    <row r="3764" spans="7:8" x14ac:dyDescent="0.35">
      <c r="G3764" s="215">
        <v>3757</v>
      </c>
      <c r="H3764" s="16">
        <f t="shared" ca="1" si="66"/>
        <v>1.4976377529706125E-3</v>
      </c>
    </row>
    <row r="3765" spans="7:8" x14ac:dyDescent="0.35">
      <c r="G3765" s="215">
        <v>3758</v>
      </c>
      <c r="H3765" s="16">
        <f t="shared" ca="1" si="66"/>
        <v>1.4225181802995401E-2</v>
      </c>
    </row>
    <row r="3766" spans="7:8" x14ac:dyDescent="0.35">
      <c r="G3766" s="215">
        <v>3759</v>
      </c>
      <c r="H3766" s="16">
        <f t="shared" ca="1" si="66"/>
        <v>1.1804208411572504E-2</v>
      </c>
    </row>
    <row r="3767" spans="7:8" x14ac:dyDescent="0.35">
      <c r="G3767" s="215">
        <v>3760</v>
      </c>
      <c r="H3767" s="16">
        <f t="shared" ca="1" si="66"/>
        <v>0.11015980669895041</v>
      </c>
    </row>
    <row r="3768" spans="7:8" x14ac:dyDescent="0.35">
      <c r="G3768" s="215">
        <v>3761</v>
      </c>
      <c r="H3768" s="16">
        <f t="shared" ca="1" si="66"/>
        <v>2.2129962950422397E-2</v>
      </c>
    </row>
    <row r="3769" spans="7:8" x14ac:dyDescent="0.35">
      <c r="G3769" s="215">
        <v>3762</v>
      </c>
      <c r="H3769" s="16">
        <f t="shared" ca="1" si="66"/>
        <v>4.0444618739549451E-2</v>
      </c>
    </row>
    <row r="3770" spans="7:8" x14ac:dyDescent="0.35">
      <c r="G3770" s="215">
        <v>3763</v>
      </c>
      <c r="H3770" s="16">
        <f t="shared" ca="1" si="66"/>
        <v>-3.2096125825261515E-2</v>
      </c>
    </row>
    <row r="3771" spans="7:8" x14ac:dyDescent="0.35">
      <c r="G3771" s="215">
        <v>3764</v>
      </c>
      <c r="H3771" s="16">
        <f t="shared" ca="1" si="66"/>
        <v>2.7141629154229248E-2</v>
      </c>
    </row>
    <row r="3772" spans="7:8" x14ac:dyDescent="0.35">
      <c r="G3772" s="215">
        <v>3765</v>
      </c>
      <c r="H3772" s="16">
        <f t="shared" ca="1" si="66"/>
        <v>0.18185868591412688</v>
      </c>
    </row>
    <row r="3773" spans="7:8" x14ac:dyDescent="0.35">
      <c r="G3773" s="215">
        <v>3766</v>
      </c>
      <c r="H3773" s="16">
        <f t="shared" ca="1" si="66"/>
        <v>9.5348158076261375E-2</v>
      </c>
    </row>
    <row r="3774" spans="7:8" x14ac:dyDescent="0.35">
      <c r="G3774" s="215">
        <v>3767</v>
      </c>
      <c r="H3774" s="16">
        <f t="shared" ca="1" si="66"/>
        <v>0.15485547871098063</v>
      </c>
    </row>
    <row r="3775" spans="7:8" x14ac:dyDescent="0.35">
      <c r="G3775" s="215">
        <v>3768</v>
      </c>
      <c r="H3775" s="16">
        <f t="shared" ca="1" si="66"/>
        <v>-5.1637025873193104E-2</v>
      </c>
    </row>
    <row r="3776" spans="7:8" x14ac:dyDescent="0.35">
      <c r="G3776" s="215">
        <v>3769</v>
      </c>
      <c r="H3776" s="16">
        <f t="shared" ca="1" si="66"/>
        <v>3.5753785826281109E-2</v>
      </c>
    </row>
    <row r="3777" spans="7:8" x14ac:dyDescent="0.35">
      <c r="G3777" s="215">
        <v>3770</v>
      </c>
      <c r="H3777" s="16">
        <f t="shared" ca="1" si="66"/>
        <v>2.1785350389921417E-2</v>
      </c>
    </row>
    <row r="3778" spans="7:8" x14ac:dyDescent="0.35">
      <c r="G3778" s="215">
        <v>3771</v>
      </c>
      <c r="H3778" s="16">
        <f t="shared" ca="1" si="66"/>
        <v>4.9120404039714738E-2</v>
      </c>
    </row>
    <row r="3779" spans="7:8" x14ac:dyDescent="0.35">
      <c r="G3779" s="215">
        <v>3772</v>
      </c>
      <c r="H3779" s="16">
        <f t="shared" ca="1" si="66"/>
        <v>5.6886674812371724E-2</v>
      </c>
    </row>
    <row r="3780" spans="7:8" x14ac:dyDescent="0.35">
      <c r="G3780" s="215">
        <v>3773</v>
      </c>
      <c r="H3780" s="16">
        <f t="shared" ca="1" si="66"/>
        <v>-2.594678380769817E-2</v>
      </c>
    </row>
    <row r="3781" spans="7:8" x14ac:dyDescent="0.35">
      <c r="G3781" s="215">
        <v>3774</v>
      </c>
      <c r="H3781" s="16">
        <f t="shared" ca="1" si="66"/>
        <v>7.2784972841199707E-3</v>
      </c>
    </row>
    <row r="3782" spans="7:8" x14ac:dyDescent="0.35">
      <c r="G3782" s="215">
        <v>3775</v>
      </c>
      <c r="H3782" s="16">
        <f t="shared" ca="1" si="66"/>
        <v>-9.1396972713237504E-2</v>
      </c>
    </row>
    <row r="3783" spans="7:8" x14ac:dyDescent="0.35">
      <c r="G3783" s="215">
        <v>3776</v>
      </c>
      <c r="H3783" s="16">
        <f t="shared" ca="1" si="66"/>
        <v>2.5750886258092499E-2</v>
      </c>
    </row>
    <row r="3784" spans="7:8" x14ac:dyDescent="0.35">
      <c r="G3784" s="215">
        <v>3777</v>
      </c>
      <c r="H3784" s="16">
        <f t="shared" ref="H3784:H3847" ca="1" si="67">_xlfn.NORM.INV(RAND(),M$10,M$11)</f>
        <v>-0.12386951134380719</v>
      </c>
    </row>
    <row r="3785" spans="7:8" x14ac:dyDescent="0.35">
      <c r="G3785" s="215">
        <v>3778</v>
      </c>
      <c r="H3785" s="16">
        <f t="shared" ca="1" si="67"/>
        <v>-1.4042774283232588E-2</v>
      </c>
    </row>
    <row r="3786" spans="7:8" x14ac:dyDescent="0.35">
      <c r="G3786" s="215">
        <v>3779</v>
      </c>
      <c r="H3786" s="16">
        <f t="shared" ca="1" si="67"/>
        <v>-5.4035101022084198E-2</v>
      </c>
    </row>
    <row r="3787" spans="7:8" x14ac:dyDescent="0.35">
      <c r="G3787" s="215">
        <v>3780</v>
      </c>
      <c r="H3787" s="16">
        <f t="shared" ca="1" si="67"/>
        <v>3.5626253496138675E-2</v>
      </c>
    </row>
    <row r="3788" spans="7:8" x14ac:dyDescent="0.35">
      <c r="G3788" s="215">
        <v>3781</v>
      </c>
      <c r="H3788" s="16">
        <f t="shared" ca="1" si="67"/>
        <v>2.6215201216705907E-3</v>
      </c>
    </row>
    <row r="3789" spans="7:8" x14ac:dyDescent="0.35">
      <c r="G3789" s="215">
        <v>3782</v>
      </c>
      <c r="H3789" s="16">
        <f t="shared" ca="1" si="67"/>
        <v>0.14981921650205865</v>
      </c>
    </row>
    <row r="3790" spans="7:8" x14ac:dyDescent="0.35">
      <c r="G3790" s="215">
        <v>3783</v>
      </c>
      <c r="H3790" s="16">
        <f t="shared" ca="1" si="67"/>
        <v>3.0862851593351271E-2</v>
      </c>
    </row>
    <row r="3791" spans="7:8" x14ac:dyDescent="0.35">
      <c r="G3791" s="215">
        <v>3784</v>
      </c>
      <c r="H3791" s="16">
        <f t="shared" ca="1" si="67"/>
        <v>-7.8831762003380434E-3</v>
      </c>
    </row>
    <row r="3792" spans="7:8" x14ac:dyDescent="0.35">
      <c r="G3792" s="215">
        <v>3785</v>
      </c>
      <c r="H3792" s="16">
        <f t="shared" ca="1" si="67"/>
        <v>-7.0605010867051482E-2</v>
      </c>
    </row>
    <row r="3793" spans="7:8" x14ac:dyDescent="0.35">
      <c r="G3793" s="215">
        <v>3786</v>
      </c>
      <c r="H3793" s="16">
        <f t="shared" ca="1" si="67"/>
        <v>2.6579437608224517E-2</v>
      </c>
    </row>
    <row r="3794" spans="7:8" x14ac:dyDescent="0.35">
      <c r="G3794" s="215">
        <v>3787</v>
      </c>
      <c r="H3794" s="16">
        <f t="shared" ca="1" si="67"/>
        <v>3.0379056413710831E-2</v>
      </c>
    </row>
    <row r="3795" spans="7:8" x14ac:dyDescent="0.35">
      <c r="G3795" s="215">
        <v>3788</v>
      </c>
      <c r="H3795" s="16">
        <f t="shared" ca="1" si="67"/>
        <v>1.2348737859018025E-2</v>
      </c>
    </row>
    <row r="3796" spans="7:8" x14ac:dyDescent="0.35">
      <c r="G3796" s="215">
        <v>3789</v>
      </c>
      <c r="H3796" s="16">
        <f t="shared" ca="1" si="67"/>
        <v>-6.1873296632309185E-2</v>
      </c>
    </row>
    <row r="3797" spans="7:8" x14ac:dyDescent="0.35">
      <c r="G3797" s="215">
        <v>3790</v>
      </c>
      <c r="H3797" s="16">
        <f t="shared" ca="1" si="67"/>
        <v>8.2958290997931561E-2</v>
      </c>
    </row>
    <row r="3798" spans="7:8" x14ac:dyDescent="0.35">
      <c r="G3798" s="215">
        <v>3791</v>
      </c>
      <c r="H3798" s="16">
        <f t="shared" ca="1" si="67"/>
        <v>0.12490035775426839</v>
      </c>
    </row>
    <row r="3799" spans="7:8" x14ac:dyDescent="0.35">
      <c r="G3799" s="215">
        <v>3792</v>
      </c>
      <c r="H3799" s="16">
        <f t="shared" ca="1" si="67"/>
        <v>0.122178009878156</v>
      </c>
    </row>
    <row r="3800" spans="7:8" x14ac:dyDescent="0.35">
      <c r="G3800" s="215">
        <v>3793</v>
      </c>
      <c r="H3800" s="16">
        <f t="shared" ca="1" si="67"/>
        <v>9.9766612146868577E-2</v>
      </c>
    </row>
    <row r="3801" spans="7:8" x14ac:dyDescent="0.35">
      <c r="G3801" s="215">
        <v>3794</v>
      </c>
      <c r="H3801" s="16">
        <f t="shared" ca="1" si="67"/>
        <v>3.0487846578919005E-2</v>
      </c>
    </row>
    <row r="3802" spans="7:8" x14ac:dyDescent="0.35">
      <c r="G3802" s="215">
        <v>3795</v>
      </c>
      <c r="H3802" s="16">
        <f t="shared" ca="1" si="67"/>
        <v>3.6523392479103411E-2</v>
      </c>
    </row>
    <row r="3803" spans="7:8" x14ac:dyDescent="0.35">
      <c r="G3803" s="215">
        <v>3796</v>
      </c>
      <c r="H3803" s="16">
        <f t="shared" ca="1" si="67"/>
        <v>2.7537691721702843E-2</v>
      </c>
    </row>
    <row r="3804" spans="7:8" x14ac:dyDescent="0.35">
      <c r="G3804" s="215">
        <v>3797</v>
      </c>
      <c r="H3804" s="16">
        <f t="shared" ca="1" si="67"/>
        <v>5.793861454717518E-2</v>
      </c>
    </row>
    <row r="3805" spans="7:8" x14ac:dyDescent="0.35">
      <c r="G3805" s="215">
        <v>3798</v>
      </c>
      <c r="H3805" s="16">
        <f t="shared" ca="1" si="67"/>
        <v>5.7281428153903996E-2</v>
      </c>
    </row>
    <row r="3806" spans="7:8" x14ac:dyDescent="0.35">
      <c r="G3806" s="215">
        <v>3799</v>
      </c>
      <c r="H3806" s="16">
        <f t="shared" ca="1" si="67"/>
        <v>9.0191423191528147E-2</v>
      </c>
    </row>
    <row r="3807" spans="7:8" x14ac:dyDescent="0.35">
      <c r="G3807" s="215">
        <v>3800</v>
      </c>
      <c r="H3807" s="16">
        <f t="shared" ca="1" si="67"/>
        <v>-2.270252719651587E-2</v>
      </c>
    </row>
    <row r="3808" spans="7:8" x14ac:dyDescent="0.35">
      <c r="G3808" s="215">
        <v>3801</v>
      </c>
      <c r="H3808" s="16">
        <f t="shared" ca="1" si="67"/>
        <v>0.10984156884201239</v>
      </c>
    </row>
    <row r="3809" spans="7:8" x14ac:dyDescent="0.35">
      <c r="G3809" s="215">
        <v>3802</v>
      </c>
      <c r="H3809" s="16">
        <f t="shared" ca="1" si="67"/>
        <v>-0.10456290105533037</v>
      </c>
    </row>
    <row r="3810" spans="7:8" x14ac:dyDescent="0.35">
      <c r="G3810" s="215">
        <v>3803</v>
      </c>
      <c r="H3810" s="16">
        <f t="shared" ca="1" si="67"/>
        <v>5.7557606326913771E-3</v>
      </c>
    </row>
    <row r="3811" spans="7:8" x14ac:dyDescent="0.35">
      <c r="G3811" s="215">
        <v>3804</v>
      </c>
      <c r="H3811" s="16">
        <f t="shared" ca="1" si="67"/>
        <v>1.4342864261998786E-2</v>
      </c>
    </row>
    <row r="3812" spans="7:8" x14ac:dyDescent="0.35">
      <c r="G3812" s="215">
        <v>3805</v>
      </c>
      <c r="H3812" s="16">
        <f t="shared" ca="1" si="67"/>
        <v>0.11332762031123808</v>
      </c>
    </row>
    <row r="3813" spans="7:8" x14ac:dyDescent="0.35">
      <c r="G3813" s="215">
        <v>3806</v>
      </c>
      <c r="H3813" s="16">
        <f t="shared" ca="1" si="67"/>
        <v>0.2245663795357549</v>
      </c>
    </row>
    <row r="3814" spans="7:8" x14ac:dyDescent="0.35">
      <c r="G3814" s="215">
        <v>3807</v>
      </c>
      <c r="H3814" s="16">
        <f t="shared" ca="1" si="67"/>
        <v>-5.8658829122614178E-2</v>
      </c>
    </row>
    <row r="3815" spans="7:8" x14ac:dyDescent="0.35">
      <c r="G3815" s="215">
        <v>3808</v>
      </c>
      <c r="H3815" s="16">
        <f t="shared" ca="1" si="67"/>
        <v>-0.14978766116105632</v>
      </c>
    </row>
    <row r="3816" spans="7:8" x14ac:dyDescent="0.35">
      <c r="G3816" s="215">
        <v>3809</v>
      </c>
      <c r="H3816" s="16">
        <f t="shared" ca="1" si="67"/>
        <v>0.15269836608080156</v>
      </c>
    </row>
    <row r="3817" spans="7:8" x14ac:dyDescent="0.35">
      <c r="G3817" s="215">
        <v>3810</v>
      </c>
      <c r="H3817" s="16">
        <f t="shared" ca="1" si="67"/>
        <v>2.5686996297121178E-2</v>
      </c>
    </row>
    <row r="3818" spans="7:8" x14ac:dyDescent="0.35">
      <c r="G3818" s="215">
        <v>3811</v>
      </c>
      <c r="H3818" s="16">
        <f t="shared" ca="1" si="67"/>
        <v>1.5527590019111664E-2</v>
      </c>
    </row>
    <row r="3819" spans="7:8" x14ac:dyDescent="0.35">
      <c r="G3819" s="215">
        <v>3812</v>
      </c>
      <c r="H3819" s="16">
        <f t="shared" ca="1" si="67"/>
        <v>7.9065922485819992E-2</v>
      </c>
    </row>
    <row r="3820" spans="7:8" x14ac:dyDescent="0.35">
      <c r="G3820" s="215">
        <v>3813</v>
      </c>
      <c r="H3820" s="16">
        <f t="shared" ca="1" si="67"/>
        <v>-4.8107605972527889E-2</v>
      </c>
    </row>
    <row r="3821" spans="7:8" x14ac:dyDescent="0.35">
      <c r="G3821" s="215">
        <v>3814</v>
      </c>
      <c r="H3821" s="16">
        <f t="shared" ca="1" si="67"/>
        <v>7.6124465807189678E-2</v>
      </c>
    </row>
    <row r="3822" spans="7:8" x14ac:dyDescent="0.35">
      <c r="G3822" s="215">
        <v>3815</v>
      </c>
      <c r="H3822" s="16">
        <f t="shared" ca="1" si="67"/>
        <v>-7.5358832426909828E-2</v>
      </c>
    </row>
    <row r="3823" spans="7:8" x14ac:dyDescent="0.35">
      <c r="G3823" s="215">
        <v>3816</v>
      </c>
      <c r="H3823" s="16">
        <f t="shared" ca="1" si="67"/>
        <v>1.7527340117632673E-2</v>
      </c>
    </row>
    <row r="3824" spans="7:8" x14ac:dyDescent="0.35">
      <c r="G3824" s="215">
        <v>3817</v>
      </c>
      <c r="H3824" s="16">
        <f t="shared" ca="1" si="67"/>
        <v>-1.3414500122686607E-2</v>
      </c>
    </row>
    <row r="3825" spans="7:8" x14ac:dyDescent="0.35">
      <c r="G3825" s="215">
        <v>3818</v>
      </c>
      <c r="H3825" s="16">
        <f t="shared" ca="1" si="67"/>
        <v>-0.15293617561036862</v>
      </c>
    </row>
    <row r="3826" spans="7:8" x14ac:dyDescent="0.35">
      <c r="G3826" s="215">
        <v>3819</v>
      </c>
      <c r="H3826" s="16">
        <f t="shared" ca="1" si="67"/>
        <v>2.8784600720814173E-2</v>
      </c>
    </row>
    <row r="3827" spans="7:8" x14ac:dyDescent="0.35">
      <c r="G3827" s="215">
        <v>3820</v>
      </c>
      <c r="H3827" s="16">
        <f t="shared" ca="1" si="67"/>
        <v>-0.14630796049854861</v>
      </c>
    </row>
    <row r="3828" spans="7:8" x14ac:dyDescent="0.35">
      <c r="G3828" s="215">
        <v>3821</v>
      </c>
      <c r="H3828" s="16">
        <f t="shared" ca="1" si="67"/>
        <v>-6.6643860474699904E-2</v>
      </c>
    </row>
    <row r="3829" spans="7:8" x14ac:dyDescent="0.35">
      <c r="G3829" s="215">
        <v>3822</v>
      </c>
      <c r="H3829" s="16">
        <f t="shared" ca="1" si="67"/>
        <v>8.1216913917531885E-2</v>
      </c>
    </row>
    <row r="3830" spans="7:8" x14ac:dyDescent="0.35">
      <c r="G3830" s="215">
        <v>3823</v>
      </c>
      <c r="H3830" s="16">
        <f t="shared" ca="1" si="67"/>
        <v>2.6457834844320724E-2</v>
      </c>
    </row>
    <row r="3831" spans="7:8" x14ac:dyDescent="0.35">
      <c r="G3831" s="215">
        <v>3824</v>
      </c>
      <c r="H3831" s="16">
        <f t="shared" ca="1" si="67"/>
        <v>2.4646960923673508E-2</v>
      </c>
    </row>
    <row r="3832" spans="7:8" x14ac:dyDescent="0.35">
      <c r="G3832" s="215">
        <v>3825</v>
      </c>
      <c r="H3832" s="16">
        <f t="shared" ca="1" si="67"/>
        <v>6.4007883271343949E-2</v>
      </c>
    </row>
    <row r="3833" spans="7:8" x14ac:dyDescent="0.35">
      <c r="G3833" s="215">
        <v>3826</v>
      </c>
      <c r="H3833" s="16">
        <f t="shared" ca="1" si="67"/>
        <v>4.5978146797304303E-2</v>
      </c>
    </row>
    <row r="3834" spans="7:8" x14ac:dyDescent="0.35">
      <c r="G3834" s="215">
        <v>3827</v>
      </c>
      <c r="H3834" s="16">
        <f t="shared" ca="1" si="67"/>
        <v>9.2563093274369151E-2</v>
      </c>
    </row>
    <row r="3835" spans="7:8" x14ac:dyDescent="0.35">
      <c r="G3835" s="215">
        <v>3828</v>
      </c>
      <c r="H3835" s="16">
        <f t="shared" ca="1" si="67"/>
        <v>-2.304593174664878E-2</v>
      </c>
    </row>
    <row r="3836" spans="7:8" x14ac:dyDescent="0.35">
      <c r="G3836" s="215">
        <v>3829</v>
      </c>
      <c r="H3836" s="16">
        <f t="shared" ca="1" si="67"/>
        <v>-0.11258794005788902</v>
      </c>
    </row>
    <row r="3837" spans="7:8" x14ac:dyDescent="0.35">
      <c r="G3837" s="215">
        <v>3830</v>
      </c>
      <c r="H3837" s="16">
        <f t="shared" ca="1" si="67"/>
        <v>6.112464309322975E-2</v>
      </c>
    </row>
    <row r="3838" spans="7:8" x14ac:dyDescent="0.35">
      <c r="G3838" s="215">
        <v>3831</v>
      </c>
      <c r="H3838" s="16">
        <f t="shared" ca="1" si="67"/>
        <v>-2.5472712179038518E-2</v>
      </c>
    </row>
    <row r="3839" spans="7:8" x14ac:dyDescent="0.35">
      <c r="G3839" s="215">
        <v>3832</v>
      </c>
      <c r="H3839" s="16">
        <f t="shared" ca="1" si="67"/>
        <v>-3.3149099795579201E-2</v>
      </c>
    </row>
    <row r="3840" spans="7:8" x14ac:dyDescent="0.35">
      <c r="G3840" s="215">
        <v>3833</v>
      </c>
      <c r="H3840" s="16">
        <f t="shared" ca="1" si="67"/>
        <v>0.11222389823553595</v>
      </c>
    </row>
    <row r="3841" spans="7:8" x14ac:dyDescent="0.35">
      <c r="G3841" s="215">
        <v>3834</v>
      </c>
      <c r="H3841" s="16">
        <f t="shared" ca="1" si="67"/>
        <v>6.7145826967246885E-3</v>
      </c>
    </row>
    <row r="3842" spans="7:8" x14ac:dyDescent="0.35">
      <c r="G3842" s="215">
        <v>3835</v>
      </c>
      <c r="H3842" s="16">
        <f t="shared" ca="1" si="67"/>
        <v>0.11751556796081944</v>
      </c>
    </row>
    <row r="3843" spans="7:8" x14ac:dyDescent="0.35">
      <c r="G3843" s="215">
        <v>3836</v>
      </c>
      <c r="H3843" s="16">
        <f t="shared" ca="1" si="67"/>
        <v>0.11149612261427559</v>
      </c>
    </row>
    <row r="3844" spans="7:8" x14ac:dyDescent="0.35">
      <c r="G3844" s="215">
        <v>3837</v>
      </c>
      <c r="H3844" s="16">
        <f t="shared" ca="1" si="67"/>
        <v>7.0071486646320055E-2</v>
      </c>
    </row>
    <row r="3845" spans="7:8" x14ac:dyDescent="0.35">
      <c r="G3845" s="215">
        <v>3838</v>
      </c>
      <c r="H3845" s="16">
        <f t="shared" ca="1" si="67"/>
        <v>-0.10637193031765385</v>
      </c>
    </row>
    <row r="3846" spans="7:8" x14ac:dyDescent="0.35">
      <c r="G3846" s="215">
        <v>3839</v>
      </c>
      <c r="H3846" s="16">
        <f t="shared" ca="1" si="67"/>
        <v>-3.8822756046103649E-2</v>
      </c>
    </row>
    <row r="3847" spans="7:8" x14ac:dyDescent="0.35">
      <c r="G3847" s="215">
        <v>3840</v>
      </c>
      <c r="H3847" s="16">
        <f t="shared" ca="1" si="67"/>
        <v>-2.4127093420408148E-3</v>
      </c>
    </row>
    <row r="3848" spans="7:8" x14ac:dyDescent="0.35">
      <c r="G3848" s="215">
        <v>3841</v>
      </c>
      <c r="H3848" s="16">
        <f t="shared" ref="H3848:H3911" ca="1" si="68">_xlfn.NORM.INV(RAND(),M$10,M$11)</f>
        <v>3.0761435210490604E-2</v>
      </c>
    </row>
    <row r="3849" spans="7:8" x14ac:dyDescent="0.35">
      <c r="G3849" s="215">
        <v>3842</v>
      </c>
      <c r="H3849" s="16">
        <f t="shared" ca="1" si="68"/>
        <v>-4.7210378212911866E-2</v>
      </c>
    </row>
    <row r="3850" spans="7:8" x14ac:dyDescent="0.35">
      <c r="G3850" s="215">
        <v>3843</v>
      </c>
      <c r="H3850" s="16">
        <f t="shared" ca="1" si="68"/>
        <v>-1.0923428954159639E-2</v>
      </c>
    </row>
    <row r="3851" spans="7:8" x14ac:dyDescent="0.35">
      <c r="G3851" s="215">
        <v>3844</v>
      </c>
      <c r="H3851" s="16">
        <f t="shared" ca="1" si="68"/>
        <v>4.0719119051215544E-2</v>
      </c>
    </row>
    <row r="3852" spans="7:8" x14ac:dyDescent="0.35">
      <c r="G3852" s="215">
        <v>3845</v>
      </c>
      <c r="H3852" s="16">
        <f t="shared" ca="1" si="68"/>
        <v>-1.4514999583199583E-2</v>
      </c>
    </row>
    <row r="3853" spans="7:8" x14ac:dyDescent="0.35">
      <c r="G3853" s="215">
        <v>3846</v>
      </c>
      <c r="H3853" s="16">
        <f t="shared" ca="1" si="68"/>
        <v>0.11966886725744438</v>
      </c>
    </row>
    <row r="3854" spans="7:8" x14ac:dyDescent="0.35">
      <c r="G3854" s="215">
        <v>3847</v>
      </c>
      <c r="H3854" s="16">
        <f t="shared" ca="1" si="68"/>
        <v>-3.3598934294971752E-2</v>
      </c>
    </row>
    <row r="3855" spans="7:8" x14ac:dyDescent="0.35">
      <c r="G3855" s="215">
        <v>3848</v>
      </c>
      <c r="H3855" s="16">
        <f t="shared" ca="1" si="68"/>
        <v>4.5957656107599262E-2</v>
      </c>
    </row>
    <row r="3856" spans="7:8" x14ac:dyDescent="0.35">
      <c r="G3856" s="215">
        <v>3849</v>
      </c>
      <c r="H3856" s="16">
        <f t="shared" ca="1" si="68"/>
        <v>3.8586739145815382E-2</v>
      </c>
    </row>
    <row r="3857" spans="7:8" x14ac:dyDescent="0.35">
      <c r="G3857" s="215">
        <v>3850</v>
      </c>
      <c r="H3857" s="16">
        <f t="shared" ca="1" si="68"/>
        <v>1.0952776168731955E-2</v>
      </c>
    </row>
    <row r="3858" spans="7:8" x14ac:dyDescent="0.35">
      <c r="G3858" s="215">
        <v>3851</v>
      </c>
      <c r="H3858" s="16">
        <f t="shared" ca="1" si="68"/>
        <v>2.8236153337866225E-2</v>
      </c>
    </row>
    <row r="3859" spans="7:8" x14ac:dyDescent="0.35">
      <c r="G3859" s="215">
        <v>3852</v>
      </c>
      <c r="H3859" s="16">
        <f t="shared" ca="1" si="68"/>
        <v>9.8427097399602467E-2</v>
      </c>
    </row>
    <row r="3860" spans="7:8" x14ac:dyDescent="0.35">
      <c r="G3860" s="215">
        <v>3853</v>
      </c>
      <c r="H3860" s="16">
        <f t="shared" ca="1" si="68"/>
        <v>-1.2768582470359082E-2</v>
      </c>
    </row>
    <row r="3861" spans="7:8" x14ac:dyDescent="0.35">
      <c r="G3861" s="215">
        <v>3854</v>
      </c>
      <c r="H3861" s="16">
        <f t="shared" ca="1" si="68"/>
        <v>-5.1430850544352397E-3</v>
      </c>
    </row>
    <row r="3862" spans="7:8" x14ac:dyDescent="0.35">
      <c r="G3862" s="215">
        <v>3855</v>
      </c>
      <c r="H3862" s="16">
        <f t="shared" ca="1" si="68"/>
        <v>-5.1229188920858551E-2</v>
      </c>
    </row>
    <row r="3863" spans="7:8" x14ac:dyDescent="0.35">
      <c r="G3863" s="215">
        <v>3856</v>
      </c>
      <c r="H3863" s="16">
        <f t="shared" ca="1" si="68"/>
        <v>6.5556712029577538E-2</v>
      </c>
    </row>
    <row r="3864" spans="7:8" x14ac:dyDescent="0.35">
      <c r="G3864" s="215">
        <v>3857</v>
      </c>
      <c r="H3864" s="16">
        <f t="shared" ca="1" si="68"/>
        <v>6.1811083867868502E-2</v>
      </c>
    </row>
    <row r="3865" spans="7:8" x14ac:dyDescent="0.35">
      <c r="G3865" s="215">
        <v>3858</v>
      </c>
      <c r="H3865" s="16">
        <f t="shared" ca="1" si="68"/>
        <v>-5.5646205226161718E-2</v>
      </c>
    </row>
    <row r="3866" spans="7:8" x14ac:dyDescent="0.35">
      <c r="G3866" s="215">
        <v>3859</v>
      </c>
      <c r="H3866" s="16">
        <f t="shared" ca="1" si="68"/>
        <v>8.9080730701422042E-2</v>
      </c>
    </row>
    <row r="3867" spans="7:8" x14ac:dyDescent="0.35">
      <c r="G3867" s="215">
        <v>3860</v>
      </c>
      <c r="H3867" s="16">
        <f t="shared" ca="1" si="68"/>
        <v>-2.6379533059803961E-2</v>
      </c>
    </row>
    <row r="3868" spans="7:8" x14ac:dyDescent="0.35">
      <c r="G3868" s="215">
        <v>3861</v>
      </c>
      <c r="H3868" s="16">
        <f t="shared" ca="1" si="68"/>
        <v>-5.6968761176160898E-2</v>
      </c>
    </row>
    <row r="3869" spans="7:8" x14ac:dyDescent="0.35">
      <c r="G3869" s="215">
        <v>3862</v>
      </c>
      <c r="H3869" s="16">
        <f t="shared" ca="1" si="68"/>
        <v>3.4298729061833316E-2</v>
      </c>
    </row>
    <row r="3870" spans="7:8" x14ac:dyDescent="0.35">
      <c r="G3870" s="215">
        <v>3863</v>
      </c>
      <c r="H3870" s="16">
        <f t="shared" ca="1" si="68"/>
        <v>-8.5485703752378739E-3</v>
      </c>
    </row>
    <row r="3871" spans="7:8" x14ac:dyDescent="0.35">
      <c r="G3871" s="215">
        <v>3864</v>
      </c>
      <c r="H3871" s="16">
        <f t="shared" ca="1" si="68"/>
        <v>2.1657374139527973E-2</v>
      </c>
    </row>
    <row r="3872" spans="7:8" x14ac:dyDescent="0.35">
      <c r="G3872" s="215">
        <v>3865</v>
      </c>
      <c r="H3872" s="16">
        <f t="shared" ca="1" si="68"/>
        <v>-4.1347794875760027E-2</v>
      </c>
    </row>
    <row r="3873" spans="7:8" x14ac:dyDescent="0.35">
      <c r="G3873" s="215">
        <v>3866</v>
      </c>
      <c r="H3873" s="16">
        <f t="shared" ca="1" si="68"/>
        <v>0.15162445642494218</v>
      </c>
    </row>
    <row r="3874" spans="7:8" x14ac:dyDescent="0.35">
      <c r="G3874" s="215">
        <v>3867</v>
      </c>
      <c r="H3874" s="16">
        <f t="shared" ca="1" si="68"/>
        <v>0.14618996906313866</v>
      </c>
    </row>
    <row r="3875" spans="7:8" x14ac:dyDescent="0.35">
      <c r="G3875" s="215">
        <v>3868</v>
      </c>
      <c r="H3875" s="16">
        <f t="shared" ca="1" si="68"/>
        <v>-3.9242710387333582E-2</v>
      </c>
    </row>
    <row r="3876" spans="7:8" x14ac:dyDescent="0.35">
      <c r="G3876" s="215">
        <v>3869</v>
      </c>
      <c r="H3876" s="16">
        <f t="shared" ca="1" si="68"/>
        <v>-7.5205862951951391E-2</v>
      </c>
    </row>
    <row r="3877" spans="7:8" x14ac:dyDescent="0.35">
      <c r="G3877" s="215">
        <v>3870</v>
      </c>
      <c r="H3877" s="16">
        <f t="shared" ca="1" si="68"/>
        <v>-3.2517369465708115E-2</v>
      </c>
    </row>
    <row r="3878" spans="7:8" x14ac:dyDescent="0.35">
      <c r="G3878" s="215">
        <v>3871</v>
      </c>
      <c r="H3878" s="16">
        <f t="shared" ca="1" si="68"/>
        <v>3.973832972083477E-2</v>
      </c>
    </row>
    <row r="3879" spans="7:8" x14ac:dyDescent="0.35">
      <c r="G3879" s="215">
        <v>3872</v>
      </c>
      <c r="H3879" s="16">
        <f t="shared" ca="1" si="68"/>
        <v>0.10320099348588668</v>
      </c>
    </row>
    <row r="3880" spans="7:8" x14ac:dyDescent="0.35">
      <c r="G3880" s="215">
        <v>3873</v>
      </c>
      <c r="H3880" s="16">
        <f t="shared" ca="1" si="68"/>
        <v>-3.0095302607165687E-2</v>
      </c>
    </row>
    <row r="3881" spans="7:8" x14ac:dyDescent="0.35">
      <c r="G3881" s="215">
        <v>3874</v>
      </c>
      <c r="H3881" s="16">
        <f t="shared" ca="1" si="68"/>
        <v>0.12880748579261736</v>
      </c>
    </row>
    <row r="3882" spans="7:8" x14ac:dyDescent="0.35">
      <c r="G3882" s="215">
        <v>3875</v>
      </c>
      <c r="H3882" s="16">
        <f t="shared" ca="1" si="68"/>
        <v>-3.2788991612461502E-2</v>
      </c>
    </row>
    <row r="3883" spans="7:8" x14ac:dyDescent="0.35">
      <c r="G3883" s="215">
        <v>3876</v>
      </c>
      <c r="H3883" s="16">
        <f t="shared" ca="1" si="68"/>
        <v>-4.1691646027313553E-2</v>
      </c>
    </row>
    <row r="3884" spans="7:8" x14ac:dyDescent="0.35">
      <c r="G3884" s="215">
        <v>3877</v>
      </c>
      <c r="H3884" s="16">
        <f t="shared" ca="1" si="68"/>
        <v>6.4816875564524576E-2</v>
      </c>
    </row>
    <row r="3885" spans="7:8" x14ac:dyDescent="0.35">
      <c r="G3885" s="215">
        <v>3878</v>
      </c>
      <c r="H3885" s="16">
        <f t="shared" ca="1" si="68"/>
        <v>0.1123832226656104</v>
      </c>
    </row>
    <row r="3886" spans="7:8" x14ac:dyDescent="0.35">
      <c r="G3886" s="215">
        <v>3879</v>
      </c>
      <c r="H3886" s="16">
        <f t="shared" ca="1" si="68"/>
        <v>1.306290074557508E-2</v>
      </c>
    </row>
    <row r="3887" spans="7:8" x14ac:dyDescent="0.35">
      <c r="G3887" s="215">
        <v>3880</v>
      </c>
      <c r="H3887" s="16">
        <f t="shared" ca="1" si="68"/>
        <v>5.0576185161289649E-3</v>
      </c>
    </row>
    <row r="3888" spans="7:8" x14ac:dyDescent="0.35">
      <c r="G3888" s="215">
        <v>3881</v>
      </c>
      <c r="H3888" s="16">
        <f t="shared" ca="1" si="68"/>
        <v>7.2059140671064142E-2</v>
      </c>
    </row>
    <row r="3889" spans="7:8" x14ac:dyDescent="0.35">
      <c r="G3889" s="215">
        <v>3882</v>
      </c>
      <c r="H3889" s="16">
        <f t="shared" ca="1" si="68"/>
        <v>5.9877375860548671E-2</v>
      </c>
    </row>
    <row r="3890" spans="7:8" x14ac:dyDescent="0.35">
      <c r="G3890" s="215">
        <v>3883</v>
      </c>
      <c r="H3890" s="16">
        <f t="shared" ca="1" si="68"/>
        <v>5.572282522295724E-2</v>
      </c>
    </row>
    <row r="3891" spans="7:8" x14ac:dyDescent="0.35">
      <c r="G3891" s="215">
        <v>3884</v>
      </c>
      <c r="H3891" s="16">
        <f t="shared" ca="1" si="68"/>
        <v>2.0728665358682296E-3</v>
      </c>
    </row>
    <row r="3892" spans="7:8" x14ac:dyDescent="0.35">
      <c r="G3892" s="215">
        <v>3885</v>
      </c>
      <c r="H3892" s="16">
        <f t="shared" ca="1" si="68"/>
        <v>-2.4792622331253549E-2</v>
      </c>
    </row>
    <row r="3893" spans="7:8" x14ac:dyDescent="0.35">
      <c r="G3893" s="215">
        <v>3886</v>
      </c>
      <c r="H3893" s="16">
        <f t="shared" ca="1" si="68"/>
        <v>0.17581825218847333</v>
      </c>
    </row>
    <row r="3894" spans="7:8" x14ac:dyDescent="0.35">
      <c r="G3894" s="215">
        <v>3887</v>
      </c>
      <c r="H3894" s="16">
        <f t="shared" ca="1" si="68"/>
        <v>1.7230817095925957E-2</v>
      </c>
    </row>
    <row r="3895" spans="7:8" x14ac:dyDescent="0.35">
      <c r="G3895" s="215">
        <v>3888</v>
      </c>
      <c r="H3895" s="16">
        <f t="shared" ca="1" si="68"/>
        <v>-0.12377809723907404</v>
      </c>
    </row>
    <row r="3896" spans="7:8" x14ac:dyDescent="0.35">
      <c r="G3896" s="215">
        <v>3889</v>
      </c>
      <c r="H3896" s="16">
        <f t="shared" ca="1" si="68"/>
        <v>-3.4846152393077451E-2</v>
      </c>
    </row>
    <row r="3897" spans="7:8" x14ac:dyDescent="0.35">
      <c r="G3897" s="215">
        <v>3890</v>
      </c>
      <c r="H3897" s="16">
        <f t="shared" ca="1" si="68"/>
        <v>0.14994650323932907</v>
      </c>
    </row>
    <row r="3898" spans="7:8" x14ac:dyDescent="0.35">
      <c r="G3898" s="215">
        <v>3891</v>
      </c>
      <c r="H3898" s="16">
        <f t="shared" ca="1" si="68"/>
        <v>9.4289894703161042E-2</v>
      </c>
    </row>
    <row r="3899" spans="7:8" x14ac:dyDescent="0.35">
      <c r="G3899" s="215">
        <v>3892</v>
      </c>
      <c r="H3899" s="16">
        <f t="shared" ca="1" si="68"/>
        <v>-4.175377853484305E-3</v>
      </c>
    </row>
    <row r="3900" spans="7:8" x14ac:dyDescent="0.35">
      <c r="G3900" s="215">
        <v>3893</v>
      </c>
      <c r="H3900" s="16">
        <f t="shared" ca="1" si="68"/>
        <v>9.424652650993208E-2</v>
      </c>
    </row>
    <row r="3901" spans="7:8" x14ac:dyDescent="0.35">
      <c r="G3901" s="215">
        <v>3894</v>
      </c>
      <c r="H3901" s="16">
        <f t="shared" ca="1" si="68"/>
        <v>2.0062350308169968E-3</v>
      </c>
    </row>
    <row r="3902" spans="7:8" x14ac:dyDescent="0.35">
      <c r="G3902" s="215">
        <v>3895</v>
      </c>
      <c r="H3902" s="16">
        <f t="shared" ca="1" si="68"/>
        <v>-0.19414263976799367</v>
      </c>
    </row>
    <row r="3903" spans="7:8" x14ac:dyDescent="0.35">
      <c r="G3903" s="215">
        <v>3896</v>
      </c>
      <c r="H3903" s="16">
        <f t="shared" ca="1" si="68"/>
        <v>7.4805435009331145E-3</v>
      </c>
    </row>
    <row r="3904" spans="7:8" x14ac:dyDescent="0.35">
      <c r="G3904" s="215">
        <v>3897</v>
      </c>
      <c r="H3904" s="16">
        <f t="shared" ca="1" si="68"/>
        <v>-4.8817712073499511E-2</v>
      </c>
    </row>
    <row r="3905" spans="7:8" x14ac:dyDescent="0.35">
      <c r="G3905" s="215">
        <v>3898</v>
      </c>
      <c r="H3905" s="16">
        <f t="shared" ca="1" si="68"/>
        <v>-0.12560928785239631</v>
      </c>
    </row>
    <row r="3906" spans="7:8" x14ac:dyDescent="0.35">
      <c r="G3906" s="215">
        <v>3899</v>
      </c>
      <c r="H3906" s="16">
        <f t="shared" ca="1" si="68"/>
        <v>-1.0014855694251548E-2</v>
      </c>
    </row>
    <row r="3907" spans="7:8" x14ac:dyDescent="0.35">
      <c r="G3907" s="215">
        <v>3900</v>
      </c>
      <c r="H3907" s="16">
        <f t="shared" ca="1" si="68"/>
        <v>3.6125145460100726E-2</v>
      </c>
    </row>
    <row r="3908" spans="7:8" x14ac:dyDescent="0.35">
      <c r="G3908" s="215">
        <v>3901</v>
      </c>
      <c r="H3908" s="16">
        <f t="shared" ca="1" si="68"/>
        <v>6.4985482072400721E-2</v>
      </c>
    </row>
    <row r="3909" spans="7:8" x14ac:dyDescent="0.35">
      <c r="G3909" s="215">
        <v>3902</v>
      </c>
      <c r="H3909" s="16">
        <f t="shared" ca="1" si="68"/>
        <v>-6.804648663090003E-2</v>
      </c>
    </row>
    <row r="3910" spans="7:8" x14ac:dyDescent="0.35">
      <c r="G3910" s="215">
        <v>3903</v>
      </c>
      <c r="H3910" s="16">
        <f t="shared" ca="1" si="68"/>
        <v>-9.4123699860026389E-2</v>
      </c>
    </row>
    <row r="3911" spans="7:8" x14ac:dyDescent="0.35">
      <c r="G3911" s="215">
        <v>3904</v>
      </c>
      <c r="H3911" s="16">
        <f t="shared" ca="1" si="68"/>
        <v>5.5069470190009878E-2</v>
      </c>
    </row>
    <row r="3912" spans="7:8" x14ac:dyDescent="0.35">
      <c r="G3912" s="215">
        <v>3905</v>
      </c>
      <c r="H3912" s="16">
        <f t="shared" ref="H3912:H3975" ca="1" si="69">_xlfn.NORM.INV(RAND(),M$10,M$11)</f>
        <v>3.2644185034095566E-2</v>
      </c>
    </row>
    <row r="3913" spans="7:8" x14ac:dyDescent="0.35">
      <c r="G3913" s="215">
        <v>3906</v>
      </c>
      <c r="H3913" s="16">
        <f t="shared" ca="1" si="69"/>
        <v>-3.3918248446456536E-2</v>
      </c>
    </row>
    <row r="3914" spans="7:8" x14ac:dyDescent="0.35">
      <c r="G3914" s="215">
        <v>3907</v>
      </c>
      <c r="H3914" s="16">
        <f t="shared" ca="1" si="69"/>
        <v>-5.0431960456186656E-2</v>
      </c>
    </row>
    <row r="3915" spans="7:8" x14ac:dyDescent="0.35">
      <c r="G3915" s="215">
        <v>3908</v>
      </c>
      <c r="H3915" s="16">
        <f t="shared" ca="1" si="69"/>
        <v>-0.1103335147203745</v>
      </c>
    </row>
    <row r="3916" spans="7:8" x14ac:dyDescent="0.35">
      <c r="G3916" s="215">
        <v>3909</v>
      </c>
      <c r="H3916" s="16">
        <f t="shared" ca="1" si="69"/>
        <v>0.11441834432940279</v>
      </c>
    </row>
    <row r="3917" spans="7:8" x14ac:dyDescent="0.35">
      <c r="G3917" s="215">
        <v>3910</v>
      </c>
      <c r="H3917" s="16">
        <f t="shared" ca="1" si="69"/>
        <v>5.2281781003796157E-2</v>
      </c>
    </row>
    <row r="3918" spans="7:8" x14ac:dyDescent="0.35">
      <c r="G3918" s="215">
        <v>3911</v>
      </c>
      <c r="H3918" s="16">
        <f t="shared" ca="1" si="69"/>
        <v>0.12905123437289914</v>
      </c>
    </row>
    <row r="3919" spans="7:8" x14ac:dyDescent="0.35">
      <c r="G3919" s="215">
        <v>3912</v>
      </c>
      <c r="H3919" s="16">
        <f t="shared" ca="1" si="69"/>
        <v>-8.454640810885608E-3</v>
      </c>
    </row>
    <row r="3920" spans="7:8" x14ac:dyDescent="0.35">
      <c r="G3920" s="215">
        <v>3913</v>
      </c>
      <c r="H3920" s="16">
        <f t="shared" ca="1" si="69"/>
        <v>8.1137585882557497E-2</v>
      </c>
    </row>
    <row r="3921" spans="7:8" x14ac:dyDescent="0.35">
      <c r="G3921" s="215">
        <v>3914</v>
      </c>
      <c r="H3921" s="16">
        <f t="shared" ca="1" si="69"/>
        <v>-0.15703775397642625</v>
      </c>
    </row>
    <row r="3922" spans="7:8" x14ac:dyDescent="0.35">
      <c r="G3922" s="215">
        <v>3915</v>
      </c>
      <c r="H3922" s="16">
        <f t="shared" ca="1" si="69"/>
        <v>7.4493246069711402E-2</v>
      </c>
    </row>
    <row r="3923" spans="7:8" x14ac:dyDescent="0.35">
      <c r="G3923" s="215">
        <v>3916</v>
      </c>
      <c r="H3923" s="16">
        <f t="shared" ca="1" si="69"/>
        <v>6.8050522649834175E-2</v>
      </c>
    </row>
    <row r="3924" spans="7:8" x14ac:dyDescent="0.35">
      <c r="G3924" s="215">
        <v>3917</v>
      </c>
      <c r="H3924" s="16">
        <f t="shared" ca="1" si="69"/>
        <v>-2.1069756821857386E-2</v>
      </c>
    </row>
    <row r="3925" spans="7:8" x14ac:dyDescent="0.35">
      <c r="G3925" s="215">
        <v>3918</v>
      </c>
      <c r="H3925" s="16">
        <f t="shared" ca="1" si="69"/>
        <v>7.5161972404062208E-2</v>
      </c>
    </row>
    <row r="3926" spans="7:8" x14ac:dyDescent="0.35">
      <c r="G3926" s="215">
        <v>3919</v>
      </c>
      <c r="H3926" s="16">
        <f t="shared" ca="1" si="69"/>
        <v>-1.6492537699421314E-2</v>
      </c>
    </row>
    <row r="3927" spans="7:8" x14ac:dyDescent="0.35">
      <c r="G3927" s="215">
        <v>3920</v>
      </c>
      <c r="H3927" s="16">
        <f t="shared" ca="1" si="69"/>
        <v>3.486469652759755E-2</v>
      </c>
    </row>
    <row r="3928" spans="7:8" x14ac:dyDescent="0.35">
      <c r="G3928" s="215">
        <v>3921</v>
      </c>
      <c r="H3928" s="16">
        <f t="shared" ca="1" si="69"/>
        <v>3.3167223741699892E-2</v>
      </c>
    </row>
    <row r="3929" spans="7:8" x14ac:dyDescent="0.35">
      <c r="G3929" s="215">
        <v>3922</v>
      </c>
      <c r="H3929" s="16">
        <f t="shared" ca="1" si="69"/>
        <v>-0.11689296026097654</v>
      </c>
    </row>
    <row r="3930" spans="7:8" x14ac:dyDescent="0.35">
      <c r="G3930" s="215">
        <v>3923</v>
      </c>
      <c r="H3930" s="16">
        <f t="shared" ca="1" si="69"/>
        <v>-2.2690220654074004E-2</v>
      </c>
    </row>
    <row r="3931" spans="7:8" x14ac:dyDescent="0.35">
      <c r="G3931" s="215">
        <v>3924</v>
      </c>
      <c r="H3931" s="16">
        <f t="shared" ca="1" si="69"/>
        <v>2.2887290518103939E-2</v>
      </c>
    </row>
    <row r="3932" spans="7:8" x14ac:dyDescent="0.35">
      <c r="G3932" s="215">
        <v>3925</v>
      </c>
      <c r="H3932" s="16">
        <f t="shared" ca="1" si="69"/>
        <v>-8.5425138976725115E-2</v>
      </c>
    </row>
    <row r="3933" spans="7:8" x14ac:dyDescent="0.35">
      <c r="G3933" s="215">
        <v>3926</v>
      </c>
      <c r="H3933" s="16">
        <f t="shared" ca="1" si="69"/>
        <v>1.2992487791559232E-2</v>
      </c>
    </row>
    <row r="3934" spans="7:8" x14ac:dyDescent="0.35">
      <c r="G3934" s="215">
        <v>3927</v>
      </c>
      <c r="H3934" s="16">
        <f t="shared" ca="1" si="69"/>
        <v>-0.14491786961559616</v>
      </c>
    </row>
    <row r="3935" spans="7:8" x14ac:dyDescent="0.35">
      <c r="G3935" s="215">
        <v>3928</v>
      </c>
      <c r="H3935" s="16">
        <f t="shared" ca="1" si="69"/>
        <v>-7.2403292338921163E-2</v>
      </c>
    </row>
    <row r="3936" spans="7:8" x14ac:dyDescent="0.35">
      <c r="G3936" s="215">
        <v>3929</v>
      </c>
      <c r="H3936" s="16">
        <f t="shared" ca="1" si="69"/>
        <v>6.0037350604655024E-2</v>
      </c>
    </row>
    <row r="3937" spans="7:8" x14ac:dyDescent="0.35">
      <c r="G3937" s="215">
        <v>3930</v>
      </c>
      <c r="H3937" s="16">
        <f t="shared" ca="1" si="69"/>
        <v>-7.611715948956492E-2</v>
      </c>
    </row>
    <row r="3938" spans="7:8" x14ac:dyDescent="0.35">
      <c r="G3938" s="215">
        <v>3931</v>
      </c>
      <c r="H3938" s="16">
        <f t="shared" ca="1" si="69"/>
        <v>0.12516855438246652</v>
      </c>
    </row>
    <row r="3939" spans="7:8" x14ac:dyDescent="0.35">
      <c r="G3939" s="215">
        <v>3932</v>
      </c>
      <c r="H3939" s="16">
        <f t="shared" ca="1" si="69"/>
        <v>-0.10407854039788676</v>
      </c>
    </row>
    <row r="3940" spans="7:8" x14ac:dyDescent="0.35">
      <c r="G3940" s="215">
        <v>3933</v>
      </c>
      <c r="H3940" s="16">
        <f t="shared" ca="1" si="69"/>
        <v>0.10557537417929674</v>
      </c>
    </row>
    <row r="3941" spans="7:8" x14ac:dyDescent="0.35">
      <c r="G3941" s="215">
        <v>3934</v>
      </c>
      <c r="H3941" s="16">
        <f t="shared" ca="1" si="69"/>
        <v>1.9618659894737923E-2</v>
      </c>
    </row>
    <row r="3942" spans="7:8" x14ac:dyDescent="0.35">
      <c r="G3942" s="215">
        <v>3935</v>
      </c>
      <c r="H3942" s="16">
        <f t="shared" ca="1" si="69"/>
        <v>-3.452189890858276E-2</v>
      </c>
    </row>
    <row r="3943" spans="7:8" x14ac:dyDescent="0.35">
      <c r="G3943" s="215">
        <v>3936</v>
      </c>
      <c r="H3943" s="16">
        <f t="shared" ca="1" si="69"/>
        <v>2.4461735646159884E-2</v>
      </c>
    </row>
    <row r="3944" spans="7:8" x14ac:dyDescent="0.35">
      <c r="G3944" s="215">
        <v>3937</v>
      </c>
      <c r="H3944" s="16">
        <f t="shared" ca="1" si="69"/>
        <v>6.2797496081643367E-2</v>
      </c>
    </row>
    <row r="3945" spans="7:8" x14ac:dyDescent="0.35">
      <c r="G3945" s="215">
        <v>3938</v>
      </c>
      <c r="H3945" s="16">
        <f t="shared" ca="1" si="69"/>
        <v>9.9300787162406833E-3</v>
      </c>
    </row>
    <row r="3946" spans="7:8" x14ac:dyDescent="0.35">
      <c r="G3946" s="215">
        <v>3939</v>
      </c>
      <c r="H3946" s="16">
        <f t="shared" ca="1" si="69"/>
        <v>-6.9989618538615114E-2</v>
      </c>
    </row>
    <row r="3947" spans="7:8" x14ac:dyDescent="0.35">
      <c r="G3947" s="215">
        <v>3940</v>
      </c>
      <c r="H3947" s="16">
        <f t="shared" ca="1" si="69"/>
        <v>-1.2958227461246852E-2</v>
      </c>
    </row>
    <row r="3948" spans="7:8" x14ac:dyDescent="0.35">
      <c r="G3948" s="215">
        <v>3941</v>
      </c>
      <c r="H3948" s="16">
        <f t="shared" ca="1" si="69"/>
        <v>-0.14447717452805242</v>
      </c>
    </row>
    <row r="3949" spans="7:8" x14ac:dyDescent="0.35">
      <c r="G3949" s="215">
        <v>3942</v>
      </c>
      <c r="H3949" s="16">
        <f t="shared" ca="1" si="69"/>
        <v>3.8284239283042074E-2</v>
      </c>
    </row>
    <row r="3950" spans="7:8" x14ac:dyDescent="0.35">
      <c r="G3950" s="215">
        <v>3943</v>
      </c>
      <c r="H3950" s="16">
        <f t="shared" ca="1" si="69"/>
        <v>-5.1265383502689679E-2</v>
      </c>
    </row>
    <row r="3951" spans="7:8" x14ac:dyDescent="0.35">
      <c r="G3951" s="215">
        <v>3944</v>
      </c>
      <c r="H3951" s="16">
        <f t="shared" ca="1" si="69"/>
        <v>4.7522891291794196E-3</v>
      </c>
    </row>
    <row r="3952" spans="7:8" x14ac:dyDescent="0.35">
      <c r="G3952" s="215">
        <v>3945</v>
      </c>
      <c r="H3952" s="16">
        <f t="shared" ca="1" si="69"/>
        <v>6.7527825463517932E-2</v>
      </c>
    </row>
    <row r="3953" spans="7:8" x14ac:dyDescent="0.35">
      <c r="G3953" s="215">
        <v>3946</v>
      </c>
      <c r="H3953" s="16">
        <f t="shared" ca="1" si="69"/>
        <v>-7.1668079904603776E-3</v>
      </c>
    </row>
    <row r="3954" spans="7:8" x14ac:dyDescent="0.35">
      <c r="G3954" s="215">
        <v>3947</v>
      </c>
      <c r="H3954" s="16">
        <f t="shared" ca="1" si="69"/>
        <v>-8.7386684380194174E-2</v>
      </c>
    </row>
    <row r="3955" spans="7:8" x14ac:dyDescent="0.35">
      <c r="G3955" s="215">
        <v>3948</v>
      </c>
      <c r="H3955" s="16">
        <f t="shared" ca="1" si="69"/>
        <v>9.0393757625141874E-2</v>
      </c>
    </row>
    <row r="3956" spans="7:8" x14ac:dyDescent="0.35">
      <c r="G3956" s="215">
        <v>3949</v>
      </c>
      <c r="H3956" s="16">
        <f t="shared" ca="1" si="69"/>
        <v>7.1993753202259203E-2</v>
      </c>
    </row>
    <row r="3957" spans="7:8" x14ac:dyDescent="0.35">
      <c r="G3957" s="215">
        <v>3950</v>
      </c>
      <c r="H3957" s="16">
        <f t="shared" ca="1" si="69"/>
        <v>2.8412722589815892E-2</v>
      </c>
    </row>
    <row r="3958" spans="7:8" x14ac:dyDescent="0.35">
      <c r="G3958" s="215">
        <v>3951</v>
      </c>
      <c r="H3958" s="16">
        <f t="shared" ca="1" si="69"/>
        <v>5.0071846963464547E-2</v>
      </c>
    </row>
    <row r="3959" spans="7:8" x14ac:dyDescent="0.35">
      <c r="G3959" s="215">
        <v>3952</v>
      </c>
      <c r="H3959" s="16">
        <f t="shared" ca="1" si="69"/>
        <v>9.7809059930593273E-2</v>
      </c>
    </row>
    <row r="3960" spans="7:8" x14ac:dyDescent="0.35">
      <c r="G3960" s="215">
        <v>3953</v>
      </c>
      <c r="H3960" s="16">
        <f t="shared" ca="1" si="69"/>
        <v>0.14527903823150531</v>
      </c>
    </row>
    <row r="3961" spans="7:8" x14ac:dyDescent="0.35">
      <c r="G3961" s="215">
        <v>3954</v>
      </c>
      <c r="H3961" s="16">
        <f t="shared" ca="1" si="69"/>
        <v>-0.26243464661118471</v>
      </c>
    </row>
    <row r="3962" spans="7:8" x14ac:dyDescent="0.35">
      <c r="G3962" s="215">
        <v>3955</v>
      </c>
      <c r="H3962" s="16">
        <f t="shared" ca="1" si="69"/>
        <v>1.6247788060114784E-2</v>
      </c>
    </row>
    <row r="3963" spans="7:8" x14ac:dyDescent="0.35">
      <c r="G3963" s="215">
        <v>3956</v>
      </c>
      <c r="H3963" s="16">
        <f t="shared" ca="1" si="69"/>
        <v>-8.8300781241480594E-2</v>
      </c>
    </row>
    <row r="3964" spans="7:8" x14ac:dyDescent="0.35">
      <c r="G3964" s="215">
        <v>3957</v>
      </c>
      <c r="H3964" s="16">
        <f t="shared" ca="1" si="69"/>
        <v>9.5021956933868709E-2</v>
      </c>
    </row>
    <row r="3965" spans="7:8" x14ac:dyDescent="0.35">
      <c r="G3965" s="215">
        <v>3958</v>
      </c>
      <c r="H3965" s="16">
        <f t="shared" ca="1" si="69"/>
        <v>3.9657877201885849E-2</v>
      </c>
    </row>
    <row r="3966" spans="7:8" x14ac:dyDescent="0.35">
      <c r="G3966" s="215">
        <v>3959</v>
      </c>
      <c r="H3966" s="16">
        <f t="shared" ca="1" si="69"/>
        <v>-1.3938824701440797E-2</v>
      </c>
    </row>
    <row r="3967" spans="7:8" x14ac:dyDescent="0.35">
      <c r="G3967" s="215">
        <v>3960</v>
      </c>
      <c r="H3967" s="16">
        <f t="shared" ca="1" si="69"/>
        <v>8.2648508687238498E-2</v>
      </c>
    </row>
    <row r="3968" spans="7:8" x14ac:dyDescent="0.35">
      <c r="G3968" s="215">
        <v>3961</v>
      </c>
      <c r="H3968" s="16">
        <f t="shared" ca="1" si="69"/>
        <v>-1.266882887160015E-2</v>
      </c>
    </row>
    <row r="3969" spans="7:8" x14ac:dyDescent="0.35">
      <c r="G3969" s="215">
        <v>3962</v>
      </c>
      <c r="H3969" s="16">
        <f t="shared" ca="1" si="69"/>
        <v>-1.1704322695468911E-2</v>
      </c>
    </row>
    <row r="3970" spans="7:8" x14ac:dyDescent="0.35">
      <c r="G3970" s="215">
        <v>3963</v>
      </c>
      <c r="H3970" s="16">
        <f t="shared" ca="1" si="69"/>
        <v>0.12406417047756897</v>
      </c>
    </row>
    <row r="3971" spans="7:8" x14ac:dyDescent="0.35">
      <c r="G3971" s="215">
        <v>3964</v>
      </c>
      <c r="H3971" s="16">
        <f t="shared" ca="1" si="69"/>
        <v>9.9489037210328785E-2</v>
      </c>
    </row>
    <row r="3972" spans="7:8" x14ac:dyDescent="0.35">
      <c r="G3972" s="215">
        <v>3965</v>
      </c>
      <c r="H3972" s="16">
        <f t="shared" ca="1" si="69"/>
        <v>-1.9016039555634235E-2</v>
      </c>
    </row>
    <row r="3973" spans="7:8" x14ac:dyDescent="0.35">
      <c r="G3973" s="215">
        <v>3966</v>
      </c>
      <c r="H3973" s="16">
        <f t="shared" ca="1" si="69"/>
        <v>-5.9011721885420768E-2</v>
      </c>
    </row>
    <row r="3974" spans="7:8" x14ac:dyDescent="0.35">
      <c r="G3974" s="215">
        <v>3967</v>
      </c>
      <c r="H3974" s="16">
        <f t="shared" ca="1" si="69"/>
        <v>6.5815447249648884E-2</v>
      </c>
    </row>
    <row r="3975" spans="7:8" x14ac:dyDescent="0.35">
      <c r="G3975" s="215">
        <v>3968</v>
      </c>
      <c r="H3975" s="16">
        <f t="shared" ca="1" si="69"/>
        <v>9.0927361747142957E-2</v>
      </c>
    </row>
    <row r="3976" spans="7:8" x14ac:dyDescent="0.35">
      <c r="G3976" s="215">
        <v>3969</v>
      </c>
      <c r="H3976" s="16">
        <f t="shared" ref="H3976:H4039" ca="1" si="70">_xlfn.NORM.INV(RAND(),M$10,M$11)</f>
        <v>0.10466606518755744</v>
      </c>
    </row>
    <row r="3977" spans="7:8" x14ac:dyDescent="0.35">
      <c r="G3977" s="215">
        <v>3970</v>
      </c>
      <c r="H3977" s="16">
        <f t="shared" ca="1" si="70"/>
        <v>-4.270983443798694E-2</v>
      </c>
    </row>
    <row r="3978" spans="7:8" x14ac:dyDescent="0.35">
      <c r="G3978" s="215">
        <v>3971</v>
      </c>
      <c r="H3978" s="16">
        <f t="shared" ca="1" si="70"/>
        <v>-0.11802924647539764</v>
      </c>
    </row>
    <row r="3979" spans="7:8" x14ac:dyDescent="0.35">
      <c r="G3979" s="215">
        <v>3972</v>
      </c>
      <c r="H3979" s="16">
        <f t="shared" ca="1" si="70"/>
        <v>4.2612360616614817E-2</v>
      </c>
    </row>
    <row r="3980" spans="7:8" x14ac:dyDescent="0.35">
      <c r="G3980" s="215">
        <v>3973</v>
      </c>
      <c r="H3980" s="16">
        <f t="shared" ca="1" si="70"/>
        <v>9.4473809802131284E-2</v>
      </c>
    </row>
    <row r="3981" spans="7:8" x14ac:dyDescent="0.35">
      <c r="G3981" s="215">
        <v>3974</v>
      </c>
      <c r="H3981" s="16">
        <f t="shared" ca="1" si="70"/>
        <v>6.0595141048266313E-2</v>
      </c>
    </row>
    <row r="3982" spans="7:8" x14ac:dyDescent="0.35">
      <c r="G3982" s="215">
        <v>3975</v>
      </c>
      <c r="H3982" s="16">
        <f t="shared" ca="1" si="70"/>
        <v>4.0634014800101301E-2</v>
      </c>
    </row>
    <row r="3983" spans="7:8" x14ac:dyDescent="0.35">
      <c r="G3983" s="215">
        <v>3976</v>
      </c>
      <c r="H3983" s="16">
        <f t="shared" ca="1" si="70"/>
        <v>2.2716169914218001E-2</v>
      </c>
    </row>
    <row r="3984" spans="7:8" x14ac:dyDescent="0.35">
      <c r="G3984" s="215">
        <v>3977</v>
      </c>
      <c r="H3984" s="16">
        <f t="shared" ca="1" si="70"/>
        <v>-3.8778266288512733E-2</v>
      </c>
    </row>
    <row r="3985" spans="7:8" x14ac:dyDescent="0.35">
      <c r="G3985" s="215">
        <v>3978</v>
      </c>
      <c r="H3985" s="16">
        <f t="shared" ca="1" si="70"/>
        <v>-5.626526218087885E-2</v>
      </c>
    </row>
    <row r="3986" spans="7:8" x14ac:dyDescent="0.35">
      <c r="G3986" s="215">
        <v>3979</v>
      </c>
      <c r="H3986" s="16">
        <f t="shared" ca="1" si="70"/>
        <v>-0.11566760574527937</v>
      </c>
    </row>
    <row r="3987" spans="7:8" x14ac:dyDescent="0.35">
      <c r="G3987" s="215">
        <v>3980</v>
      </c>
      <c r="H3987" s="16">
        <f t="shared" ca="1" si="70"/>
        <v>0.10202423868864104</v>
      </c>
    </row>
    <row r="3988" spans="7:8" x14ac:dyDescent="0.35">
      <c r="G3988" s="215">
        <v>3981</v>
      </c>
      <c r="H3988" s="16">
        <f t="shared" ca="1" si="70"/>
        <v>-5.3672908567495056E-2</v>
      </c>
    </row>
    <row r="3989" spans="7:8" x14ac:dyDescent="0.35">
      <c r="G3989" s="215">
        <v>3982</v>
      </c>
      <c r="H3989" s="16">
        <f t="shared" ca="1" si="70"/>
        <v>1.0263565611921457E-3</v>
      </c>
    </row>
    <row r="3990" spans="7:8" x14ac:dyDescent="0.35">
      <c r="G3990" s="215">
        <v>3983</v>
      </c>
      <c r="H3990" s="16">
        <f t="shared" ca="1" si="70"/>
        <v>1.7384814418202256E-2</v>
      </c>
    </row>
    <row r="3991" spans="7:8" x14ac:dyDescent="0.35">
      <c r="G3991" s="215">
        <v>3984</v>
      </c>
      <c r="H3991" s="16">
        <f t="shared" ca="1" si="70"/>
        <v>-0.11528201503820423</v>
      </c>
    </row>
    <row r="3992" spans="7:8" x14ac:dyDescent="0.35">
      <c r="G3992" s="215">
        <v>3985</v>
      </c>
      <c r="H3992" s="16">
        <f t="shared" ca="1" si="70"/>
        <v>8.7352953122069345E-3</v>
      </c>
    </row>
    <row r="3993" spans="7:8" x14ac:dyDescent="0.35">
      <c r="G3993" s="215">
        <v>3986</v>
      </c>
      <c r="H3993" s="16">
        <f t="shared" ca="1" si="70"/>
        <v>-3.7084344714620174E-2</v>
      </c>
    </row>
    <row r="3994" spans="7:8" x14ac:dyDescent="0.35">
      <c r="G3994" s="215">
        <v>3987</v>
      </c>
      <c r="H3994" s="16">
        <f t="shared" ca="1" si="70"/>
        <v>-2.3750651289608359E-2</v>
      </c>
    </row>
    <row r="3995" spans="7:8" x14ac:dyDescent="0.35">
      <c r="G3995" s="215">
        <v>3988</v>
      </c>
      <c r="H3995" s="16">
        <f t="shared" ca="1" si="70"/>
        <v>-6.2186921494483648E-3</v>
      </c>
    </row>
    <row r="3996" spans="7:8" x14ac:dyDescent="0.35">
      <c r="G3996" s="215">
        <v>3989</v>
      </c>
      <c r="H3996" s="16">
        <f t="shared" ca="1" si="70"/>
        <v>0.13502049885295928</v>
      </c>
    </row>
    <row r="3997" spans="7:8" x14ac:dyDescent="0.35">
      <c r="G3997" s="215">
        <v>3990</v>
      </c>
      <c r="H3997" s="16">
        <f t="shared" ca="1" si="70"/>
        <v>7.7498153731738503E-2</v>
      </c>
    </row>
    <row r="3998" spans="7:8" x14ac:dyDescent="0.35">
      <c r="G3998" s="215">
        <v>3991</v>
      </c>
      <c r="H3998" s="16">
        <f t="shared" ca="1" si="70"/>
        <v>-5.7845229771640083E-2</v>
      </c>
    </row>
    <row r="3999" spans="7:8" x14ac:dyDescent="0.35">
      <c r="G3999" s="215">
        <v>3992</v>
      </c>
      <c r="H3999" s="16">
        <f t="shared" ca="1" si="70"/>
        <v>-7.2406090071253842E-2</v>
      </c>
    </row>
    <row r="4000" spans="7:8" x14ac:dyDescent="0.35">
      <c r="G4000" s="215">
        <v>3993</v>
      </c>
      <c r="H4000" s="16">
        <f t="shared" ca="1" si="70"/>
        <v>-0.13033517895935642</v>
      </c>
    </row>
    <row r="4001" spans="7:8" x14ac:dyDescent="0.35">
      <c r="G4001" s="215">
        <v>3994</v>
      </c>
      <c r="H4001" s="16">
        <f t="shared" ca="1" si="70"/>
        <v>-8.3072865650939812E-2</v>
      </c>
    </row>
    <row r="4002" spans="7:8" x14ac:dyDescent="0.35">
      <c r="G4002" s="215">
        <v>3995</v>
      </c>
      <c r="H4002" s="16">
        <f t="shared" ca="1" si="70"/>
        <v>2.0906320364909477E-2</v>
      </c>
    </row>
    <row r="4003" spans="7:8" x14ac:dyDescent="0.35">
      <c r="G4003" s="215">
        <v>3996</v>
      </c>
      <c r="H4003" s="16">
        <f t="shared" ca="1" si="70"/>
        <v>-0.10757237638441434</v>
      </c>
    </row>
    <row r="4004" spans="7:8" x14ac:dyDescent="0.35">
      <c r="G4004" s="215">
        <v>3997</v>
      </c>
      <c r="H4004" s="16">
        <f t="shared" ca="1" si="70"/>
        <v>0.10259506780002838</v>
      </c>
    </row>
    <row r="4005" spans="7:8" x14ac:dyDescent="0.35">
      <c r="G4005" s="215">
        <v>3998</v>
      </c>
      <c r="H4005" s="16">
        <f t="shared" ca="1" si="70"/>
        <v>2.1670250300521859E-2</v>
      </c>
    </row>
    <row r="4006" spans="7:8" x14ac:dyDescent="0.35">
      <c r="G4006" s="215">
        <v>3999</v>
      </c>
      <c r="H4006" s="16">
        <f t="shared" ca="1" si="70"/>
        <v>8.6830180192579889E-2</v>
      </c>
    </row>
    <row r="4007" spans="7:8" x14ac:dyDescent="0.35">
      <c r="G4007" s="215">
        <v>4000</v>
      </c>
      <c r="H4007" s="16">
        <f t="shared" ca="1" si="70"/>
        <v>1.4375600816197986E-3</v>
      </c>
    </row>
    <row r="4008" spans="7:8" x14ac:dyDescent="0.35">
      <c r="G4008" s="215">
        <v>4001</v>
      </c>
      <c r="H4008" s="16">
        <f t="shared" ca="1" si="70"/>
        <v>9.2941155126776403E-3</v>
      </c>
    </row>
    <row r="4009" spans="7:8" x14ac:dyDescent="0.35">
      <c r="G4009" s="215">
        <v>4002</v>
      </c>
      <c r="H4009" s="16">
        <f t="shared" ca="1" si="70"/>
        <v>1.0938030953552629E-2</v>
      </c>
    </row>
    <row r="4010" spans="7:8" x14ac:dyDescent="0.35">
      <c r="G4010" s="215">
        <v>4003</v>
      </c>
      <c r="H4010" s="16">
        <f t="shared" ca="1" si="70"/>
        <v>0.14686713628409429</v>
      </c>
    </row>
    <row r="4011" spans="7:8" x14ac:dyDescent="0.35">
      <c r="G4011" s="215">
        <v>4004</v>
      </c>
      <c r="H4011" s="16">
        <f t="shared" ca="1" si="70"/>
        <v>2.8238672697504148E-2</v>
      </c>
    </row>
    <row r="4012" spans="7:8" x14ac:dyDescent="0.35">
      <c r="G4012" s="215">
        <v>4005</v>
      </c>
      <c r="H4012" s="16">
        <f t="shared" ca="1" si="70"/>
        <v>5.4146124799677078E-2</v>
      </c>
    </row>
    <row r="4013" spans="7:8" x14ac:dyDescent="0.35">
      <c r="G4013" s="215">
        <v>4006</v>
      </c>
      <c r="H4013" s="16">
        <f t="shared" ca="1" si="70"/>
        <v>-6.0604380594315194E-2</v>
      </c>
    </row>
    <row r="4014" spans="7:8" x14ac:dyDescent="0.35">
      <c r="G4014" s="215">
        <v>4007</v>
      </c>
      <c r="H4014" s="16">
        <f t="shared" ca="1" si="70"/>
        <v>-4.3530291359158452E-2</v>
      </c>
    </row>
    <row r="4015" spans="7:8" x14ac:dyDescent="0.35">
      <c r="G4015" s="215">
        <v>4008</v>
      </c>
      <c r="H4015" s="16">
        <f t="shared" ca="1" si="70"/>
        <v>7.9202404717939545E-2</v>
      </c>
    </row>
    <row r="4016" spans="7:8" x14ac:dyDescent="0.35">
      <c r="G4016" s="215">
        <v>4009</v>
      </c>
      <c r="H4016" s="16">
        <f t="shared" ca="1" si="70"/>
        <v>-2.0890543882015351E-2</v>
      </c>
    </row>
    <row r="4017" spans="7:8" x14ac:dyDescent="0.35">
      <c r="G4017" s="215">
        <v>4010</v>
      </c>
      <c r="H4017" s="16">
        <f t="shared" ca="1" si="70"/>
        <v>5.0549745765510717E-2</v>
      </c>
    </row>
    <row r="4018" spans="7:8" x14ac:dyDescent="0.35">
      <c r="G4018" s="215">
        <v>4011</v>
      </c>
      <c r="H4018" s="16">
        <f t="shared" ca="1" si="70"/>
        <v>7.5273997988024963E-2</v>
      </c>
    </row>
    <row r="4019" spans="7:8" x14ac:dyDescent="0.35">
      <c r="G4019" s="215">
        <v>4012</v>
      </c>
      <c r="H4019" s="16">
        <f t="shared" ca="1" si="70"/>
        <v>-8.8022379341534951E-2</v>
      </c>
    </row>
    <row r="4020" spans="7:8" x14ac:dyDescent="0.35">
      <c r="G4020" s="215">
        <v>4013</v>
      </c>
      <c r="H4020" s="16">
        <f t="shared" ca="1" si="70"/>
        <v>6.0207401330863386E-2</v>
      </c>
    </row>
    <row r="4021" spans="7:8" x14ac:dyDescent="0.35">
      <c r="G4021" s="215">
        <v>4014</v>
      </c>
      <c r="H4021" s="16">
        <f t="shared" ca="1" si="70"/>
        <v>5.4494289635424506E-2</v>
      </c>
    </row>
    <row r="4022" spans="7:8" x14ac:dyDescent="0.35">
      <c r="G4022" s="215">
        <v>4015</v>
      </c>
      <c r="H4022" s="16">
        <f t="shared" ca="1" si="70"/>
        <v>-4.8499029081684866E-2</v>
      </c>
    </row>
    <row r="4023" spans="7:8" x14ac:dyDescent="0.35">
      <c r="G4023" s="215">
        <v>4016</v>
      </c>
      <c r="H4023" s="16">
        <f t="shared" ca="1" si="70"/>
        <v>3.5794591962469868E-2</v>
      </c>
    </row>
    <row r="4024" spans="7:8" x14ac:dyDescent="0.35">
      <c r="G4024" s="215">
        <v>4017</v>
      </c>
      <c r="H4024" s="16">
        <f t="shared" ca="1" si="70"/>
        <v>-0.11269269264692219</v>
      </c>
    </row>
    <row r="4025" spans="7:8" x14ac:dyDescent="0.35">
      <c r="G4025" s="215">
        <v>4018</v>
      </c>
      <c r="H4025" s="16">
        <f t="shared" ca="1" si="70"/>
        <v>2.7801437736727417E-2</v>
      </c>
    </row>
    <row r="4026" spans="7:8" x14ac:dyDescent="0.35">
      <c r="G4026" s="215">
        <v>4019</v>
      </c>
      <c r="H4026" s="16">
        <f t="shared" ca="1" si="70"/>
        <v>-0.12314311045927229</v>
      </c>
    </row>
    <row r="4027" spans="7:8" x14ac:dyDescent="0.35">
      <c r="G4027" s="215">
        <v>4020</v>
      </c>
      <c r="H4027" s="16">
        <f t="shared" ca="1" si="70"/>
        <v>6.9037009498446713E-3</v>
      </c>
    </row>
    <row r="4028" spans="7:8" x14ac:dyDescent="0.35">
      <c r="G4028" s="215">
        <v>4021</v>
      </c>
      <c r="H4028" s="16">
        <f t="shared" ca="1" si="70"/>
        <v>-8.283138204702678E-2</v>
      </c>
    </row>
    <row r="4029" spans="7:8" x14ac:dyDescent="0.35">
      <c r="G4029" s="215">
        <v>4022</v>
      </c>
      <c r="H4029" s="16">
        <f t="shared" ca="1" si="70"/>
        <v>-0.10984241611877081</v>
      </c>
    </row>
    <row r="4030" spans="7:8" x14ac:dyDescent="0.35">
      <c r="G4030" s="215">
        <v>4023</v>
      </c>
      <c r="H4030" s="16">
        <f t="shared" ca="1" si="70"/>
        <v>8.4016741005342885E-2</v>
      </c>
    </row>
    <row r="4031" spans="7:8" x14ac:dyDescent="0.35">
      <c r="G4031" s="215">
        <v>4024</v>
      </c>
      <c r="H4031" s="16">
        <f t="shared" ca="1" si="70"/>
        <v>8.5273608454165498E-2</v>
      </c>
    </row>
    <row r="4032" spans="7:8" x14ac:dyDescent="0.35">
      <c r="G4032" s="215">
        <v>4025</v>
      </c>
      <c r="H4032" s="16">
        <f t="shared" ca="1" si="70"/>
        <v>-2.9695563902364972E-2</v>
      </c>
    </row>
    <row r="4033" spans="7:8" x14ac:dyDescent="0.35">
      <c r="G4033" s="215">
        <v>4026</v>
      </c>
      <c r="H4033" s="16">
        <f t="shared" ca="1" si="70"/>
        <v>-5.7010809283632946E-2</v>
      </c>
    </row>
    <row r="4034" spans="7:8" x14ac:dyDescent="0.35">
      <c r="G4034" s="215">
        <v>4027</v>
      </c>
      <c r="H4034" s="16">
        <f t="shared" ca="1" si="70"/>
        <v>4.4199605133520004E-4</v>
      </c>
    </row>
    <row r="4035" spans="7:8" x14ac:dyDescent="0.35">
      <c r="G4035" s="215">
        <v>4028</v>
      </c>
      <c r="H4035" s="16">
        <f t="shared" ca="1" si="70"/>
        <v>-2.7777289065631424E-2</v>
      </c>
    </row>
    <row r="4036" spans="7:8" x14ac:dyDescent="0.35">
      <c r="G4036" s="215">
        <v>4029</v>
      </c>
      <c r="H4036" s="16">
        <f t="shared" ca="1" si="70"/>
        <v>5.2431097694884479E-2</v>
      </c>
    </row>
    <row r="4037" spans="7:8" x14ac:dyDescent="0.35">
      <c r="G4037" s="215">
        <v>4030</v>
      </c>
      <c r="H4037" s="16">
        <f t="shared" ca="1" si="70"/>
        <v>-5.5730004913275538E-2</v>
      </c>
    </row>
    <row r="4038" spans="7:8" x14ac:dyDescent="0.35">
      <c r="G4038" s="215">
        <v>4031</v>
      </c>
      <c r="H4038" s="16">
        <f t="shared" ca="1" si="70"/>
        <v>-8.8389754512621266E-2</v>
      </c>
    </row>
    <row r="4039" spans="7:8" x14ac:dyDescent="0.35">
      <c r="G4039" s="215">
        <v>4032</v>
      </c>
      <c r="H4039" s="16">
        <f t="shared" ca="1" si="70"/>
        <v>8.8307885116252361E-3</v>
      </c>
    </row>
    <row r="4040" spans="7:8" x14ac:dyDescent="0.35">
      <c r="G4040" s="215">
        <v>4033</v>
      </c>
      <c r="H4040" s="16">
        <f t="shared" ref="H4040:H4103" ca="1" si="71">_xlfn.NORM.INV(RAND(),M$10,M$11)</f>
        <v>3.339441742674279E-2</v>
      </c>
    </row>
    <row r="4041" spans="7:8" x14ac:dyDescent="0.35">
      <c r="G4041" s="215">
        <v>4034</v>
      </c>
      <c r="H4041" s="16">
        <f t="shared" ca="1" si="71"/>
        <v>-6.5275982766122023E-2</v>
      </c>
    </row>
    <row r="4042" spans="7:8" x14ac:dyDescent="0.35">
      <c r="G4042" s="215">
        <v>4035</v>
      </c>
      <c r="H4042" s="16">
        <f t="shared" ca="1" si="71"/>
        <v>6.4806977824836784E-2</v>
      </c>
    </row>
    <row r="4043" spans="7:8" x14ac:dyDescent="0.35">
      <c r="G4043" s="215">
        <v>4036</v>
      </c>
      <c r="H4043" s="16">
        <f t="shared" ca="1" si="71"/>
        <v>3.0801143734710362E-2</v>
      </c>
    </row>
    <row r="4044" spans="7:8" x14ac:dyDescent="0.35">
      <c r="G4044" s="215">
        <v>4037</v>
      </c>
      <c r="H4044" s="16">
        <f t="shared" ca="1" si="71"/>
        <v>0.10361946709634359</v>
      </c>
    </row>
    <row r="4045" spans="7:8" x14ac:dyDescent="0.35">
      <c r="G4045" s="215">
        <v>4038</v>
      </c>
      <c r="H4045" s="16">
        <f t="shared" ca="1" si="71"/>
        <v>-0.14942176657721784</v>
      </c>
    </row>
    <row r="4046" spans="7:8" x14ac:dyDescent="0.35">
      <c r="G4046" s="215">
        <v>4039</v>
      </c>
      <c r="H4046" s="16">
        <f t="shared" ca="1" si="71"/>
        <v>2.9435080930835193E-2</v>
      </c>
    </row>
    <row r="4047" spans="7:8" x14ac:dyDescent="0.35">
      <c r="G4047" s="215">
        <v>4040</v>
      </c>
      <c r="H4047" s="16">
        <f t="shared" ca="1" si="71"/>
        <v>-2.1216561642416431E-2</v>
      </c>
    </row>
    <row r="4048" spans="7:8" x14ac:dyDescent="0.35">
      <c r="G4048" s="215">
        <v>4041</v>
      </c>
      <c r="H4048" s="16">
        <f t="shared" ca="1" si="71"/>
        <v>4.9430768492699381E-2</v>
      </c>
    </row>
    <row r="4049" spans="7:8" x14ac:dyDescent="0.35">
      <c r="G4049" s="215">
        <v>4042</v>
      </c>
      <c r="H4049" s="16">
        <f t="shared" ca="1" si="71"/>
        <v>8.1668797884098157E-2</v>
      </c>
    </row>
    <row r="4050" spans="7:8" x14ac:dyDescent="0.35">
      <c r="G4050" s="215">
        <v>4043</v>
      </c>
      <c r="H4050" s="16">
        <f t="shared" ca="1" si="71"/>
        <v>7.4770431987654998E-2</v>
      </c>
    </row>
    <row r="4051" spans="7:8" x14ac:dyDescent="0.35">
      <c r="G4051" s="215">
        <v>4044</v>
      </c>
      <c r="H4051" s="16">
        <f t="shared" ca="1" si="71"/>
        <v>0.10165424122454715</v>
      </c>
    </row>
    <row r="4052" spans="7:8" x14ac:dyDescent="0.35">
      <c r="G4052" s="215">
        <v>4045</v>
      </c>
      <c r="H4052" s="16">
        <f t="shared" ca="1" si="71"/>
        <v>7.4968942852267115E-2</v>
      </c>
    </row>
    <row r="4053" spans="7:8" x14ac:dyDescent="0.35">
      <c r="G4053" s="215">
        <v>4046</v>
      </c>
      <c r="H4053" s="16">
        <f t="shared" ca="1" si="71"/>
        <v>-8.2822769576088279E-2</v>
      </c>
    </row>
    <row r="4054" spans="7:8" x14ac:dyDescent="0.35">
      <c r="G4054" s="215">
        <v>4047</v>
      </c>
      <c r="H4054" s="16">
        <f t="shared" ca="1" si="71"/>
        <v>6.9617149226752245E-2</v>
      </c>
    </row>
    <row r="4055" spans="7:8" x14ac:dyDescent="0.35">
      <c r="G4055" s="215">
        <v>4048</v>
      </c>
      <c r="H4055" s="16">
        <f t="shared" ca="1" si="71"/>
        <v>-0.14807705956424339</v>
      </c>
    </row>
    <row r="4056" spans="7:8" x14ac:dyDescent="0.35">
      <c r="G4056" s="215">
        <v>4049</v>
      </c>
      <c r="H4056" s="16">
        <f t="shared" ca="1" si="71"/>
        <v>3.5996517954332258E-2</v>
      </c>
    </row>
    <row r="4057" spans="7:8" x14ac:dyDescent="0.35">
      <c r="G4057" s="215">
        <v>4050</v>
      </c>
      <c r="H4057" s="16">
        <f t="shared" ca="1" si="71"/>
        <v>8.9957633489547495E-2</v>
      </c>
    </row>
    <row r="4058" spans="7:8" x14ac:dyDescent="0.35">
      <c r="G4058" s="215">
        <v>4051</v>
      </c>
      <c r="H4058" s="16">
        <f t="shared" ca="1" si="71"/>
        <v>0.15512553599007045</v>
      </c>
    </row>
    <row r="4059" spans="7:8" x14ac:dyDescent="0.35">
      <c r="G4059" s="215">
        <v>4052</v>
      </c>
      <c r="H4059" s="16">
        <f t="shared" ca="1" si="71"/>
        <v>7.5156206834008268E-2</v>
      </c>
    </row>
    <row r="4060" spans="7:8" x14ac:dyDescent="0.35">
      <c r="G4060" s="215">
        <v>4053</v>
      </c>
      <c r="H4060" s="16">
        <f t="shared" ca="1" si="71"/>
        <v>-5.083391889154984E-2</v>
      </c>
    </row>
    <row r="4061" spans="7:8" x14ac:dyDescent="0.35">
      <c r="G4061" s="215">
        <v>4054</v>
      </c>
      <c r="H4061" s="16">
        <f t="shared" ca="1" si="71"/>
        <v>-8.8555466620070689E-2</v>
      </c>
    </row>
    <row r="4062" spans="7:8" x14ac:dyDescent="0.35">
      <c r="G4062" s="215">
        <v>4055</v>
      </c>
      <c r="H4062" s="16">
        <f t="shared" ca="1" si="71"/>
        <v>-6.3188716125643279E-2</v>
      </c>
    </row>
    <row r="4063" spans="7:8" x14ac:dyDescent="0.35">
      <c r="G4063" s="215">
        <v>4056</v>
      </c>
      <c r="H4063" s="16">
        <f t="shared" ca="1" si="71"/>
        <v>4.5313825100346261E-3</v>
      </c>
    </row>
    <row r="4064" spans="7:8" x14ac:dyDescent="0.35">
      <c r="G4064" s="215">
        <v>4057</v>
      </c>
      <c r="H4064" s="16">
        <f t="shared" ca="1" si="71"/>
        <v>-0.11954885847826427</v>
      </c>
    </row>
    <row r="4065" spans="7:8" x14ac:dyDescent="0.35">
      <c r="G4065" s="215">
        <v>4058</v>
      </c>
      <c r="H4065" s="16">
        <f t="shared" ca="1" si="71"/>
        <v>2.3358140039812632E-2</v>
      </c>
    </row>
    <row r="4066" spans="7:8" x14ac:dyDescent="0.35">
      <c r="G4066" s="215">
        <v>4059</v>
      </c>
      <c r="H4066" s="16">
        <f t="shared" ca="1" si="71"/>
        <v>4.7758101556052068E-3</v>
      </c>
    </row>
    <row r="4067" spans="7:8" x14ac:dyDescent="0.35">
      <c r="G4067" s="215">
        <v>4060</v>
      </c>
      <c r="H4067" s="16">
        <f t="shared" ca="1" si="71"/>
        <v>-9.943085372639858E-2</v>
      </c>
    </row>
    <row r="4068" spans="7:8" x14ac:dyDescent="0.35">
      <c r="G4068" s="215">
        <v>4061</v>
      </c>
      <c r="H4068" s="16">
        <f t="shared" ca="1" si="71"/>
        <v>3.7081272350610005E-2</v>
      </c>
    </row>
    <row r="4069" spans="7:8" x14ac:dyDescent="0.35">
      <c r="G4069" s="215">
        <v>4062</v>
      </c>
      <c r="H4069" s="16">
        <f t="shared" ca="1" si="71"/>
        <v>-8.9454580720227161E-2</v>
      </c>
    </row>
    <row r="4070" spans="7:8" x14ac:dyDescent="0.35">
      <c r="G4070" s="215">
        <v>4063</v>
      </c>
      <c r="H4070" s="16">
        <f t="shared" ca="1" si="71"/>
        <v>2.5588866469615182E-2</v>
      </c>
    </row>
    <row r="4071" spans="7:8" x14ac:dyDescent="0.35">
      <c r="G4071" s="215">
        <v>4064</v>
      </c>
      <c r="H4071" s="16">
        <f t="shared" ca="1" si="71"/>
        <v>4.399943141298307E-2</v>
      </c>
    </row>
    <row r="4072" spans="7:8" x14ac:dyDescent="0.35">
      <c r="G4072" s="215">
        <v>4065</v>
      </c>
      <c r="H4072" s="16">
        <f t="shared" ca="1" si="71"/>
        <v>3.7224481181450463E-2</v>
      </c>
    </row>
    <row r="4073" spans="7:8" x14ac:dyDescent="0.35">
      <c r="G4073" s="215">
        <v>4066</v>
      </c>
      <c r="H4073" s="16">
        <f t="shared" ca="1" si="71"/>
        <v>7.3337428989031464E-2</v>
      </c>
    </row>
    <row r="4074" spans="7:8" x14ac:dyDescent="0.35">
      <c r="G4074" s="215">
        <v>4067</v>
      </c>
      <c r="H4074" s="16">
        <f t="shared" ca="1" si="71"/>
        <v>-4.705448557087645E-2</v>
      </c>
    </row>
    <row r="4075" spans="7:8" x14ac:dyDescent="0.35">
      <c r="G4075" s="215">
        <v>4068</v>
      </c>
      <c r="H4075" s="16">
        <f t="shared" ca="1" si="71"/>
        <v>8.6808983571901865E-2</v>
      </c>
    </row>
    <row r="4076" spans="7:8" x14ac:dyDescent="0.35">
      <c r="G4076" s="215">
        <v>4069</v>
      </c>
      <c r="H4076" s="16">
        <f t="shared" ca="1" si="71"/>
        <v>4.1654129296539028E-3</v>
      </c>
    </row>
    <row r="4077" spans="7:8" x14ac:dyDescent="0.35">
      <c r="G4077" s="215">
        <v>4070</v>
      </c>
      <c r="H4077" s="16">
        <f t="shared" ca="1" si="71"/>
        <v>-3.6990377419664933E-2</v>
      </c>
    </row>
    <row r="4078" spans="7:8" x14ac:dyDescent="0.35">
      <c r="G4078" s="215">
        <v>4071</v>
      </c>
      <c r="H4078" s="16">
        <f t="shared" ca="1" si="71"/>
        <v>1.6334904115586045E-2</v>
      </c>
    </row>
    <row r="4079" spans="7:8" x14ac:dyDescent="0.35">
      <c r="G4079" s="215">
        <v>4072</v>
      </c>
      <c r="H4079" s="16">
        <f t="shared" ca="1" si="71"/>
        <v>8.4124965101128213E-2</v>
      </c>
    </row>
    <row r="4080" spans="7:8" x14ac:dyDescent="0.35">
      <c r="G4080" s="215">
        <v>4073</v>
      </c>
      <c r="H4080" s="16">
        <f t="shared" ca="1" si="71"/>
        <v>-7.374816640942658E-2</v>
      </c>
    </row>
    <row r="4081" spans="7:8" x14ac:dyDescent="0.35">
      <c r="G4081" s="215">
        <v>4074</v>
      </c>
      <c r="H4081" s="16">
        <f t="shared" ca="1" si="71"/>
        <v>3.4947502027540309E-2</v>
      </c>
    </row>
    <row r="4082" spans="7:8" x14ac:dyDescent="0.35">
      <c r="G4082" s="215">
        <v>4075</v>
      </c>
      <c r="H4082" s="16">
        <f t="shared" ca="1" si="71"/>
        <v>0.1346570407782286</v>
      </c>
    </row>
    <row r="4083" spans="7:8" x14ac:dyDescent="0.35">
      <c r="G4083" s="215">
        <v>4076</v>
      </c>
      <c r="H4083" s="16">
        <f t="shared" ca="1" si="71"/>
        <v>1.396766531998957E-2</v>
      </c>
    </row>
    <row r="4084" spans="7:8" x14ac:dyDescent="0.35">
      <c r="G4084" s="215">
        <v>4077</v>
      </c>
      <c r="H4084" s="16">
        <f t="shared" ca="1" si="71"/>
        <v>4.8939198796821119E-3</v>
      </c>
    </row>
    <row r="4085" spans="7:8" x14ac:dyDescent="0.35">
      <c r="G4085" s="215">
        <v>4078</v>
      </c>
      <c r="H4085" s="16">
        <f t="shared" ca="1" si="71"/>
        <v>-8.0051022899766372E-2</v>
      </c>
    </row>
    <row r="4086" spans="7:8" x14ac:dyDescent="0.35">
      <c r="G4086" s="215">
        <v>4079</v>
      </c>
      <c r="H4086" s="16">
        <f t="shared" ca="1" si="71"/>
        <v>6.8992999636517879E-3</v>
      </c>
    </row>
    <row r="4087" spans="7:8" x14ac:dyDescent="0.35">
      <c r="G4087" s="215">
        <v>4080</v>
      </c>
      <c r="H4087" s="16">
        <f t="shared" ca="1" si="71"/>
        <v>4.2989192974122611E-2</v>
      </c>
    </row>
    <row r="4088" spans="7:8" x14ac:dyDescent="0.35">
      <c r="G4088" s="215">
        <v>4081</v>
      </c>
      <c r="H4088" s="16">
        <f t="shared" ca="1" si="71"/>
        <v>-2.0574096438166194E-2</v>
      </c>
    </row>
    <row r="4089" spans="7:8" x14ac:dyDescent="0.35">
      <c r="G4089" s="215">
        <v>4082</v>
      </c>
      <c r="H4089" s="16">
        <f t="shared" ca="1" si="71"/>
        <v>0.12383504949222937</v>
      </c>
    </row>
    <row r="4090" spans="7:8" x14ac:dyDescent="0.35">
      <c r="G4090" s="215">
        <v>4083</v>
      </c>
      <c r="H4090" s="16">
        <f t="shared" ca="1" si="71"/>
        <v>8.1765885524220899E-2</v>
      </c>
    </row>
    <row r="4091" spans="7:8" x14ac:dyDescent="0.35">
      <c r="G4091" s="215">
        <v>4084</v>
      </c>
      <c r="H4091" s="16">
        <f t="shared" ca="1" si="71"/>
        <v>-4.9426641622272213E-2</v>
      </c>
    </row>
    <row r="4092" spans="7:8" x14ac:dyDescent="0.35">
      <c r="G4092" s="215">
        <v>4085</v>
      </c>
      <c r="H4092" s="16">
        <f t="shared" ca="1" si="71"/>
        <v>-0.10931571822763927</v>
      </c>
    </row>
    <row r="4093" spans="7:8" x14ac:dyDescent="0.35">
      <c r="G4093" s="215">
        <v>4086</v>
      </c>
      <c r="H4093" s="16">
        <f t="shared" ca="1" si="71"/>
        <v>6.9068895880008474E-2</v>
      </c>
    </row>
    <row r="4094" spans="7:8" x14ac:dyDescent="0.35">
      <c r="G4094" s="215">
        <v>4087</v>
      </c>
      <c r="H4094" s="16">
        <f t="shared" ca="1" si="71"/>
        <v>6.8121310068020552E-2</v>
      </c>
    </row>
    <row r="4095" spans="7:8" x14ac:dyDescent="0.35">
      <c r="G4095" s="215">
        <v>4088</v>
      </c>
      <c r="H4095" s="16">
        <f t="shared" ca="1" si="71"/>
        <v>2.358465262379178E-2</v>
      </c>
    </row>
    <row r="4096" spans="7:8" x14ac:dyDescent="0.35">
      <c r="G4096" s="215">
        <v>4089</v>
      </c>
      <c r="H4096" s="16">
        <f t="shared" ca="1" si="71"/>
        <v>-1.7868362157918805E-2</v>
      </c>
    </row>
    <row r="4097" spans="7:8" x14ac:dyDescent="0.35">
      <c r="G4097" s="215">
        <v>4090</v>
      </c>
      <c r="H4097" s="16">
        <f t="shared" ca="1" si="71"/>
        <v>8.362446556127727E-2</v>
      </c>
    </row>
    <row r="4098" spans="7:8" x14ac:dyDescent="0.35">
      <c r="G4098" s="215">
        <v>4091</v>
      </c>
      <c r="H4098" s="16">
        <f t="shared" ca="1" si="71"/>
        <v>2.2991359797987956E-2</v>
      </c>
    </row>
    <row r="4099" spans="7:8" x14ac:dyDescent="0.35">
      <c r="G4099" s="215">
        <v>4092</v>
      </c>
      <c r="H4099" s="16">
        <f t="shared" ca="1" si="71"/>
        <v>-7.1816925050509017E-2</v>
      </c>
    </row>
    <row r="4100" spans="7:8" x14ac:dyDescent="0.35">
      <c r="G4100" s="215">
        <v>4093</v>
      </c>
      <c r="H4100" s="16">
        <f t="shared" ca="1" si="71"/>
        <v>0.20426304224016406</v>
      </c>
    </row>
    <row r="4101" spans="7:8" x14ac:dyDescent="0.35">
      <c r="G4101" s="215">
        <v>4094</v>
      </c>
      <c r="H4101" s="16">
        <f t="shared" ca="1" si="71"/>
        <v>-2.9682489669787832E-2</v>
      </c>
    </row>
    <row r="4102" spans="7:8" x14ac:dyDescent="0.35">
      <c r="G4102" s="215">
        <v>4095</v>
      </c>
      <c r="H4102" s="16">
        <f t="shared" ca="1" si="71"/>
        <v>0.10286035309489923</v>
      </c>
    </row>
    <row r="4103" spans="7:8" x14ac:dyDescent="0.35">
      <c r="G4103" s="215">
        <v>4096</v>
      </c>
      <c r="H4103" s="16">
        <f t="shared" ca="1" si="71"/>
        <v>7.1799079279191283E-2</v>
      </c>
    </row>
    <row r="4104" spans="7:8" x14ac:dyDescent="0.35">
      <c r="G4104" s="215">
        <v>4097</v>
      </c>
      <c r="H4104" s="16">
        <f t="shared" ref="H4104:H4167" ca="1" si="72">_xlfn.NORM.INV(RAND(),M$10,M$11)</f>
        <v>4.7211908842396885E-2</v>
      </c>
    </row>
    <row r="4105" spans="7:8" x14ac:dyDescent="0.35">
      <c r="G4105" s="215">
        <v>4098</v>
      </c>
      <c r="H4105" s="16">
        <f t="shared" ca="1" si="72"/>
        <v>-1.0498637685091412E-2</v>
      </c>
    </row>
    <row r="4106" spans="7:8" x14ac:dyDescent="0.35">
      <c r="G4106" s="215">
        <v>4099</v>
      </c>
      <c r="H4106" s="16">
        <f t="shared" ca="1" si="72"/>
        <v>1.0749326861599302E-2</v>
      </c>
    </row>
    <row r="4107" spans="7:8" x14ac:dyDescent="0.35">
      <c r="G4107" s="215">
        <v>4100</v>
      </c>
      <c r="H4107" s="16">
        <f t="shared" ca="1" si="72"/>
        <v>2.6417610179667178E-2</v>
      </c>
    </row>
    <row r="4108" spans="7:8" x14ac:dyDescent="0.35">
      <c r="G4108" s="215">
        <v>4101</v>
      </c>
      <c r="H4108" s="16">
        <f t="shared" ca="1" si="72"/>
        <v>-6.3128535540673228E-2</v>
      </c>
    </row>
    <row r="4109" spans="7:8" x14ac:dyDescent="0.35">
      <c r="G4109" s="215">
        <v>4102</v>
      </c>
      <c r="H4109" s="16">
        <f t="shared" ca="1" si="72"/>
        <v>4.0613566980703696E-2</v>
      </c>
    </row>
    <row r="4110" spans="7:8" x14ac:dyDescent="0.35">
      <c r="G4110" s="215">
        <v>4103</v>
      </c>
      <c r="H4110" s="16">
        <f t="shared" ca="1" si="72"/>
        <v>2.1412777304129112E-3</v>
      </c>
    </row>
    <row r="4111" spans="7:8" x14ac:dyDescent="0.35">
      <c r="G4111" s="215">
        <v>4104</v>
      </c>
      <c r="H4111" s="16">
        <f t="shared" ca="1" si="72"/>
        <v>0.11980661547153407</v>
      </c>
    </row>
    <row r="4112" spans="7:8" x14ac:dyDescent="0.35">
      <c r="G4112" s="215">
        <v>4105</v>
      </c>
      <c r="H4112" s="16">
        <f t="shared" ca="1" si="72"/>
        <v>-9.2013608310669529E-2</v>
      </c>
    </row>
    <row r="4113" spans="7:8" x14ac:dyDescent="0.35">
      <c r="G4113" s="215">
        <v>4106</v>
      </c>
      <c r="H4113" s="16">
        <f t="shared" ca="1" si="72"/>
        <v>2.6161723350674852E-2</v>
      </c>
    </row>
    <row r="4114" spans="7:8" x14ac:dyDescent="0.35">
      <c r="G4114" s="215">
        <v>4107</v>
      </c>
      <c r="H4114" s="16">
        <f t="shared" ca="1" si="72"/>
        <v>7.8612887665390818E-2</v>
      </c>
    </row>
    <row r="4115" spans="7:8" x14ac:dyDescent="0.35">
      <c r="G4115" s="215">
        <v>4108</v>
      </c>
      <c r="H4115" s="16">
        <f t="shared" ca="1" si="72"/>
        <v>0.12011987847312262</v>
      </c>
    </row>
    <row r="4116" spans="7:8" x14ac:dyDescent="0.35">
      <c r="G4116" s="215">
        <v>4109</v>
      </c>
      <c r="H4116" s="16">
        <f t="shared" ca="1" si="72"/>
        <v>9.7921629910135019E-2</v>
      </c>
    </row>
    <row r="4117" spans="7:8" x14ac:dyDescent="0.35">
      <c r="G4117" s="215">
        <v>4110</v>
      </c>
      <c r="H4117" s="16">
        <f t="shared" ca="1" si="72"/>
        <v>3.2327429018340008E-2</v>
      </c>
    </row>
    <row r="4118" spans="7:8" x14ac:dyDescent="0.35">
      <c r="G4118" s="215">
        <v>4111</v>
      </c>
      <c r="H4118" s="16">
        <f t="shared" ca="1" si="72"/>
        <v>9.7814717548940656E-3</v>
      </c>
    </row>
    <row r="4119" spans="7:8" x14ac:dyDescent="0.35">
      <c r="G4119" s="215">
        <v>4112</v>
      </c>
      <c r="H4119" s="16">
        <f t="shared" ca="1" si="72"/>
        <v>-2.469004095459585E-3</v>
      </c>
    </row>
    <row r="4120" spans="7:8" x14ac:dyDescent="0.35">
      <c r="G4120" s="215">
        <v>4113</v>
      </c>
      <c r="H4120" s="16">
        <f t="shared" ca="1" si="72"/>
        <v>0.1094636369135374</v>
      </c>
    </row>
    <row r="4121" spans="7:8" x14ac:dyDescent="0.35">
      <c r="G4121" s="215">
        <v>4114</v>
      </c>
      <c r="H4121" s="16">
        <f t="shared" ca="1" si="72"/>
        <v>6.7320593882138027E-2</v>
      </c>
    </row>
    <row r="4122" spans="7:8" x14ac:dyDescent="0.35">
      <c r="G4122" s="215">
        <v>4115</v>
      </c>
      <c r="H4122" s="16">
        <f t="shared" ca="1" si="72"/>
        <v>5.6751012572125739E-2</v>
      </c>
    </row>
    <row r="4123" spans="7:8" x14ac:dyDescent="0.35">
      <c r="G4123" s="215">
        <v>4116</v>
      </c>
      <c r="H4123" s="16">
        <f t="shared" ca="1" si="72"/>
        <v>-1.8762201705304262E-2</v>
      </c>
    </row>
    <row r="4124" spans="7:8" x14ac:dyDescent="0.35">
      <c r="G4124" s="215">
        <v>4117</v>
      </c>
      <c r="H4124" s="16">
        <f t="shared" ca="1" si="72"/>
        <v>-7.86874610395977E-2</v>
      </c>
    </row>
    <row r="4125" spans="7:8" x14ac:dyDescent="0.35">
      <c r="G4125" s="215">
        <v>4118</v>
      </c>
      <c r="H4125" s="16">
        <f t="shared" ca="1" si="72"/>
        <v>0.10068810572228969</v>
      </c>
    </row>
    <row r="4126" spans="7:8" x14ac:dyDescent="0.35">
      <c r="G4126" s="215">
        <v>4119</v>
      </c>
      <c r="H4126" s="16">
        <f t="shared" ca="1" si="72"/>
        <v>5.2208948884023429E-2</v>
      </c>
    </row>
    <row r="4127" spans="7:8" x14ac:dyDescent="0.35">
      <c r="G4127" s="215">
        <v>4120</v>
      </c>
      <c r="H4127" s="16">
        <f t="shared" ca="1" si="72"/>
        <v>5.0096232192857137E-2</v>
      </c>
    </row>
    <row r="4128" spans="7:8" x14ac:dyDescent="0.35">
      <c r="G4128" s="215">
        <v>4121</v>
      </c>
      <c r="H4128" s="16">
        <f t="shared" ca="1" si="72"/>
        <v>-4.4804523814529103E-3</v>
      </c>
    </row>
    <row r="4129" spans="7:8" x14ac:dyDescent="0.35">
      <c r="G4129" s="215">
        <v>4122</v>
      </c>
      <c r="H4129" s="16">
        <f t="shared" ca="1" si="72"/>
        <v>0.10600412355830466</v>
      </c>
    </row>
    <row r="4130" spans="7:8" x14ac:dyDescent="0.35">
      <c r="G4130" s="215">
        <v>4123</v>
      </c>
      <c r="H4130" s="16">
        <f t="shared" ca="1" si="72"/>
        <v>3.3992795292182396E-2</v>
      </c>
    </row>
    <row r="4131" spans="7:8" x14ac:dyDescent="0.35">
      <c r="G4131" s="215">
        <v>4124</v>
      </c>
      <c r="H4131" s="16">
        <f t="shared" ca="1" si="72"/>
        <v>-0.13591164817287046</v>
      </c>
    </row>
    <row r="4132" spans="7:8" x14ac:dyDescent="0.35">
      <c r="G4132" s="215">
        <v>4125</v>
      </c>
      <c r="H4132" s="16">
        <f t="shared" ca="1" si="72"/>
        <v>2.0904142735530012E-2</v>
      </c>
    </row>
    <row r="4133" spans="7:8" x14ac:dyDescent="0.35">
      <c r="G4133" s="215">
        <v>4126</v>
      </c>
      <c r="H4133" s="16">
        <f t="shared" ca="1" si="72"/>
        <v>-6.7420823831482277E-2</v>
      </c>
    </row>
    <row r="4134" spans="7:8" x14ac:dyDescent="0.35">
      <c r="G4134" s="215">
        <v>4127</v>
      </c>
      <c r="H4134" s="16">
        <f t="shared" ca="1" si="72"/>
        <v>2.2502208684943729E-2</v>
      </c>
    </row>
    <row r="4135" spans="7:8" x14ac:dyDescent="0.35">
      <c r="G4135" s="215">
        <v>4128</v>
      </c>
      <c r="H4135" s="16">
        <f t="shared" ca="1" si="72"/>
        <v>-3.3940438939954506E-2</v>
      </c>
    </row>
    <row r="4136" spans="7:8" x14ac:dyDescent="0.35">
      <c r="G4136" s="215">
        <v>4129</v>
      </c>
      <c r="H4136" s="16">
        <f t="shared" ca="1" si="72"/>
        <v>-1.6515036445613831E-2</v>
      </c>
    </row>
    <row r="4137" spans="7:8" x14ac:dyDescent="0.35">
      <c r="G4137" s="215">
        <v>4130</v>
      </c>
      <c r="H4137" s="16">
        <f t="shared" ca="1" si="72"/>
        <v>-2.2954329212997466E-2</v>
      </c>
    </row>
    <row r="4138" spans="7:8" x14ac:dyDescent="0.35">
      <c r="G4138" s="215">
        <v>4131</v>
      </c>
      <c r="H4138" s="16">
        <f t="shared" ca="1" si="72"/>
        <v>1.5008339796257087E-3</v>
      </c>
    </row>
    <row r="4139" spans="7:8" x14ac:dyDescent="0.35">
      <c r="G4139" s="215">
        <v>4132</v>
      </c>
      <c r="H4139" s="16">
        <f t="shared" ca="1" si="72"/>
        <v>2.8401501480660927E-2</v>
      </c>
    </row>
    <row r="4140" spans="7:8" x14ac:dyDescent="0.35">
      <c r="G4140" s="215">
        <v>4133</v>
      </c>
      <c r="H4140" s="16">
        <f t="shared" ca="1" si="72"/>
        <v>7.7370929576715888E-2</v>
      </c>
    </row>
    <row r="4141" spans="7:8" x14ac:dyDescent="0.35">
      <c r="G4141" s="215">
        <v>4134</v>
      </c>
      <c r="H4141" s="16">
        <f t="shared" ca="1" si="72"/>
        <v>4.0238405184382466E-2</v>
      </c>
    </row>
    <row r="4142" spans="7:8" x14ac:dyDescent="0.35">
      <c r="G4142" s="215">
        <v>4135</v>
      </c>
      <c r="H4142" s="16">
        <f t="shared" ca="1" si="72"/>
        <v>4.0568259459450348E-2</v>
      </c>
    </row>
    <row r="4143" spans="7:8" x14ac:dyDescent="0.35">
      <c r="G4143" s="215">
        <v>4136</v>
      </c>
      <c r="H4143" s="16">
        <f t="shared" ca="1" si="72"/>
        <v>-6.956938296534923E-2</v>
      </c>
    </row>
    <row r="4144" spans="7:8" x14ac:dyDescent="0.35">
      <c r="G4144" s="215">
        <v>4137</v>
      </c>
      <c r="H4144" s="16">
        <f t="shared" ca="1" si="72"/>
        <v>2.1467739049255218E-2</v>
      </c>
    </row>
    <row r="4145" spans="7:8" x14ac:dyDescent="0.35">
      <c r="G4145" s="215">
        <v>4138</v>
      </c>
      <c r="H4145" s="16">
        <f t="shared" ca="1" si="72"/>
        <v>5.5285301238831755E-2</v>
      </c>
    </row>
    <row r="4146" spans="7:8" x14ac:dyDescent="0.35">
      <c r="G4146" s="215">
        <v>4139</v>
      </c>
      <c r="H4146" s="16">
        <f t="shared" ca="1" si="72"/>
        <v>0.11792653169798119</v>
      </c>
    </row>
    <row r="4147" spans="7:8" x14ac:dyDescent="0.35">
      <c r="G4147" s="215">
        <v>4140</v>
      </c>
      <c r="H4147" s="16">
        <f t="shared" ca="1" si="72"/>
        <v>-1.9000794067433557E-2</v>
      </c>
    </row>
    <row r="4148" spans="7:8" x14ac:dyDescent="0.35">
      <c r="G4148" s="215">
        <v>4141</v>
      </c>
      <c r="H4148" s="16">
        <f t="shared" ca="1" si="72"/>
        <v>1.8772630202223972E-2</v>
      </c>
    </row>
    <row r="4149" spans="7:8" x14ac:dyDescent="0.35">
      <c r="G4149" s="215">
        <v>4142</v>
      </c>
      <c r="H4149" s="16">
        <f t="shared" ca="1" si="72"/>
        <v>7.9045840419742094E-2</v>
      </c>
    </row>
    <row r="4150" spans="7:8" x14ac:dyDescent="0.35">
      <c r="G4150" s="215">
        <v>4143</v>
      </c>
      <c r="H4150" s="16">
        <f t="shared" ca="1" si="72"/>
        <v>2.2816439127775597E-2</v>
      </c>
    </row>
    <row r="4151" spans="7:8" x14ac:dyDescent="0.35">
      <c r="G4151" s="215">
        <v>4144</v>
      </c>
      <c r="H4151" s="16">
        <f t="shared" ca="1" si="72"/>
        <v>-2.9176698520188404E-2</v>
      </c>
    </row>
    <row r="4152" spans="7:8" x14ac:dyDescent="0.35">
      <c r="G4152" s="215">
        <v>4145</v>
      </c>
      <c r="H4152" s="16">
        <f t="shared" ca="1" si="72"/>
        <v>-0.20079841496662978</v>
      </c>
    </row>
    <row r="4153" spans="7:8" x14ac:dyDescent="0.35">
      <c r="G4153" s="215">
        <v>4146</v>
      </c>
      <c r="H4153" s="16">
        <f t="shared" ca="1" si="72"/>
        <v>-4.98530189761167E-2</v>
      </c>
    </row>
    <row r="4154" spans="7:8" x14ac:dyDescent="0.35">
      <c r="G4154" s="215">
        <v>4147</v>
      </c>
      <c r="H4154" s="16">
        <f t="shared" ca="1" si="72"/>
        <v>-3.4816762094541667E-2</v>
      </c>
    </row>
    <row r="4155" spans="7:8" x14ac:dyDescent="0.35">
      <c r="G4155" s="215">
        <v>4148</v>
      </c>
      <c r="H4155" s="16">
        <f t="shared" ca="1" si="72"/>
        <v>0.11742669972169638</v>
      </c>
    </row>
    <row r="4156" spans="7:8" x14ac:dyDescent="0.35">
      <c r="G4156" s="215">
        <v>4149</v>
      </c>
      <c r="H4156" s="16">
        <f t="shared" ca="1" si="72"/>
        <v>-1.422505902477381E-2</v>
      </c>
    </row>
    <row r="4157" spans="7:8" x14ac:dyDescent="0.35">
      <c r="G4157" s="215">
        <v>4150</v>
      </c>
      <c r="H4157" s="16">
        <f t="shared" ca="1" si="72"/>
        <v>1.6873592711784187E-2</v>
      </c>
    </row>
    <row r="4158" spans="7:8" x14ac:dyDescent="0.35">
      <c r="G4158" s="215">
        <v>4151</v>
      </c>
      <c r="H4158" s="16">
        <f t="shared" ca="1" si="72"/>
        <v>-9.2485460247887612E-3</v>
      </c>
    </row>
    <row r="4159" spans="7:8" x14ac:dyDescent="0.35">
      <c r="G4159" s="215">
        <v>4152</v>
      </c>
      <c r="H4159" s="16">
        <f t="shared" ca="1" si="72"/>
        <v>0.10392196451035038</v>
      </c>
    </row>
    <row r="4160" spans="7:8" x14ac:dyDescent="0.35">
      <c r="G4160" s="215">
        <v>4153</v>
      </c>
      <c r="H4160" s="16">
        <f t="shared" ca="1" si="72"/>
        <v>-7.5583948999582179E-2</v>
      </c>
    </row>
    <row r="4161" spans="7:8" x14ac:dyDescent="0.35">
      <c r="G4161" s="215">
        <v>4154</v>
      </c>
      <c r="H4161" s="16">
        <f t="shared" ca="1" si="72"/>
        <v>-3.2575563063280286E-2</v>
      </c>
    </row>
    <row r="4162" spans="7:8" x14ac:dyDescent="0.35">
      <c r="G4162" s="215">
        <v>4155</v>
      </c>
      <c r="H4162" s="16">
        <f t="shared" ca="1" si="72"/>
        <v>-6.7634789185335567E-2</v>
      </c>
    </row>
    <row r="4163" spans="7:8" x14ac:dyDescent="0.35">
      <c r="G4163" s="215">
        <v>4156</v>
      </c>
      <c r="H4163" s="16">
        <f t="shared" ca="1" si="72"/>
        <v>-9.5683799367463962E-2</v>
      </c>
    </row>
    <row r="4164" spans="7:8" x14ac:dyDescent="0.35">
      <c r="G4164" s="215">
        <v>4157</v>
      </c>
      <c r="H4164" s="16">
        <f t="shared" ca="1" si="72"/>
        <v>-3.0761224973046213E-2</v>
      </c>
    </row>
    <row r="4165" spans="7:8" x14ac:dyDescent="0.35">
      <c r="G4165" s="215">
        <v>4158</v>
      </c>
      <c r="H4165" s="16">
        <f t="shared" ca="1" si="72"/>
        <v>5.813100882860342E-2</v>
      </c>
    </row>
    <row r="4166" spans="7:8" x14ac:dyDescent="0.35">
      <c r="G4166" s="215">
        <v>4159</v>
      </c>
      <c r="H4166" s="16">
        <f t="shared" ca="1" si="72"/>
        <v>2.4968476826354141E-2</v>
      </c>
    </row>
    <row r="4167" spans="7:8" x14ac:dyDescent="0.35">
      <c r="G4167" s="215">
        <v>4160</v>
      </c>
      <c r="H4167" s="16">
        <f t="shared" ca="1" si="72"/>
        <v>-7.2436898609676323E-2</v>
      </c>
    </row>
    <row r="4168" spans="7:8" x14ac:dyDescent="0.35">
      <c r="G4168" s="215">
        <v>4161</v>
      </c>
      <c r="H4168" s="16">
        <f t="shared" ref="H4168:H4231" ca="1" si="73">_xlfn.NORM.INV(RAND(),M$10,M$11)</f>
        <v>-1.580947514459893E-2</v>
      </c>
    </row>
    <row r="4169" spans="7:8" x14ac:dyDescent="0.35">
      <c r="G4169" s="215">
        <v>4162</v>
      </c>
      <c r="H4169" s="16">
        <f t="shared" ca="1" si="73"/>
        <v>-4.0493188759903528E-3</v>
      </c>
    </row>
    <row r="4170" spans="7:8" x14ac:dyDescent="0.35">
      <c r="G4170" s="215">
        <v>4163</v>
      </c>
      <c r="H4170" s="16">
        <f t="shared" ca="1" si="73"/>
        <v>1.5643506845521331E-2</v>
      </c>
    </row>
    <row r="4171" spans="7:8" x14ac:dyDescent="0.35">
      <c r="G4171" s="215">
        <v>4164</v>
      </c>
      <c r="H4171" s="16">
        <f t="shared" ca="1" si="73"/>
        <v>-6.7275061303531045E-3</v>
      </c>
    </row>
    <row r="4172" spans="7:8" x14ac:dyDescent="0.35">
      <c r="G4172" s="215">
        <v>4165</v>
      </c>
      <c r="H4172" s="16">
        <f t="shared" ca="1" si="73"/>
        <v>-5.9734012286423499E-2</v>
      </c>
    </row>
    <row r="4173" spans="7:8" x14ac:dyDescent="0.35">
      <c r="G4173" s="215">
        <v>4166</v>
      </c>
      <c r="H4173" s="16">
        <f t="shared" ca="1" si="73"/>
        <v>8.3164634466322884E-2</v>
      </c>
    </row>
    <row r="4174" spans="7:8" x14ac:dyDescent="0.35">
      <c r="G4174" s="215">
        <v>4167</v>
      </c>
      <c r="H4174" s="16">
        <f t="shared" ca="1" si="73"/>
        <v>9.8527009250952619E-2</v>
      </c>
    </row>
    <row r="4175" spans="7:8" x14ac:dyDescent="0.35">
      <c r="G4175" s="215">
        <v>4168</v>
      </c>
      <c r="H4175" s="16">
        <f t="shared" ca="1" si="73"/>
        <v>2.0980881671230689E-2</v>
      </c>
    </row>
    <row r="4176" spans="7:8" x14ac:dyDescent="0.35">
      <c r="G4176" s="215">
        <v>4169</v>
      </c>
      <c r="H4176" s="16">
        <f t="shared" ca="1" si="73"/>
        <v>8.6671390638749887E-2</v>
      </c>
    </row>
    <row r="4177" spans="7:8" x14ac:dyDescent="0.35">
      <c r="G4177" s="215">
        <v>4170</v>
      </c>
      <c r="H4177" s="16">
        <f t="shared" ca="1" si="73"/>
        <v>-0.10922025992923919</v>
      </c>
    </row>
    <row r="4178" spans="7:8" x14ac:dyDescent="0.35">
      <c r="G4178" s="215">
        <v>4171</v>
      </c>
      <c r="H4178" s="16">
        <f t="shared" ca="1" si="73"/>
        <v>-9.0543076436146952E-2</v>
      </c>
    </row>
    <row r="4179" spans="7:8" x14ac:dyDescent="0.35">
      <c r="G4179" s="215">
        <v>4172</v>
      </c>
      <c r="H4179" s="16">
        <f t="shared" ca="1" si="73"/>
        <v>-3.227492600290835E-2</v>
      </c>
    </row>
    <row r="4180" spans="7:8" x14ac:dyDescent="0.35">
      <c r="G4180" s="215">
        <v>4173</v>
      </c>
      <c r="H4180" s="16">
        <f t="shared" ca="1" si="73"/>
        <v>-5.5205736908348221E-2</v>
      </c>
    </row>
    <row r="4181" spans="7:8" x14ac:dyDescent="0.35">
      <c r="G4181" s="215">
        <v>4174</v>
      </c>
      <c r="H4181" s="16">
        <f t="shared" ca="1" si="73"/>
        <v>1.0571406629352626E-2</v>
      </c>
    </row>
    <row r="4182" spans="7:8" x14ac:dyDescent="0.35">
      <c r="G4182" s="215">
        <v>4175</v>
      </c>
      <c r="H4182" s="16">
        <f t="shared" ca="1" si="73"/>
        <v>4.6727481039344113E-2</v>
      </c>
    </row>
    <row r="4183" spans="7:8" x14ac:dyDescent="0.35">
      <c r="G4183" s="215">
        <v>4176</v>
      </c>
      <c r="H4183" s="16">
        <f t="shared" ca="1" si="73"/>
        <v>1.7731497702210969E-2</v>
      </c>
    </row>
    <row r="4184" spans="7:8" x14ac:dyDescent="0.35">
      <c r="G4184" s="215">
        <v>4177</v>
      </c>
      <c r="H4184" s="16">
        <f t="shared" ca="1" si="73"/>
        <v>5.5945617085666324E-2</v>
      </c>
    </row>
    <row r="4185" spans="7:8" x14ac:dyDescent="0.35">
      <c r="G4185" s="215">
        <v>4178</v>
      </c>
      <c r="H4185" s="16">
        <f t="shared" ca="1" si="73"/>
        <v>0.10705334900130019</v>
      </c>
    </row>
    <row r="4186" spans="7:8" x14ac:dyDescent="0.35">
      <c r="G4186" s="215">
        <v>4179</v>
      </c>
      <c r="H4186" s="16">
        <f t="shared" ca="1" si="73"/>
        <v>6.9039068010850357E-2</v>
      </c>
    </row>
    <row r="4187" spans="7:8" x14ac:dyDescent="0.35">
      <c r="G4187" s="215">
        <v>4180</v>
      </c>
      <c r="H4187" s="16">
        <f t="shared" ca="1" si="73"/>
        <v>2.3932764718045653E-2</v>
      </c>
    </row>
    <row r="4188" spans="7:8" x14ac:dyDescent="0.35">
      <c r="G4188" s="215">
        <v>4181</v>
      </c>
      <c r="H4188" s="16">
        <f t="shared" ca="1" si="73"/>
        <v>-0.10835877153838025</v>
      </c>
    </row>
    <row r="4189" spans="7:8" x14ac:dyDescent="0.35">
      <c r="G4189" s="215">
        <v>4182</v>
      </c>
      <c r="H4189" s="16">
        <f t="shared" ca="1" si="73"/>
        <v>-0.11249895172816451</v>
      </c>
    </row>
    <row r="4190" spans="7:8" x14ac:dyDescent="0.35">
      <c r="G4190" s="215">
        <v>4183</v>
      </c>
      <c r="H4190" s="16">
        <f t="shared" ca="1" si="73"/>
        <v>1.545069807529648E-2</v>
      </c>
    </row>
    <row r="4191" spans="7:8" x14ac:dyDescent="0.35">
      <c r="G4191" s="215">
        <v>4184</v>
      </c>
      <c r="H4191" s="16">
        <f t="shared" ca="1" si="73"/>
        <v>8.0214203263387213E-2</v>
      </c>
    </row>
    <row r="4192" spans="7:8" x14ac:dyDescent="0.35">
      <c r="G4192" s="215">
        <v>4185</v>
      </c>
      <c r="H4192" s="16">
        <f t="shared" ca="1" si="73"/>
        <v>0.10005003039970015</v>
      </c>
    </row>
    <row r="4193" spans="7:8" x14ac:dyDescent="0.35">
      <c r="G4193" s="215">
        <v>4186</v>
      </c>
      <c r="H4193" s="16">
        <f t="shared" ca="1" si="73"/>
        <v>0.10958841000609469</v>
      </c>
    </row>
    <row r="4194" spans="7:8" x14ac:dyDescent="0.35">
      <c r="G4194" s="215">
        <v>4187</v>
      </c>
      <c r="H4194" s="16">
        <f t="shared" ca="1" si="73"/>
        <v>2.4996363563746488E-2</v>
      </c>
    </row>
    <row r="4195" spans="7:8" x14ac:dyDescent="0.35">
      <c r="G4195" s="215">
        <v>4188</v>
      </c>
      <c r="H4195" s="16">
        <f t="shared" ca="1" si="73"/>
        <v>3.4660550820130219E-2</v>
      </c>
    </row>
    <row r="4196" spans="7:8" x14ac:dyDescent="0.35">
      <c r="G4196" s="215">
        <v>4189</v>
      </c>
      <c r="H4196" s="16">
        <f t="shared" ca="1" si="73"/>
        <v>3.6621498608161995E-2</v>
      </c>
    </row>
    <row r="4197" spans="7:8" x14ac:dyDescent="0.35">
      <c r="G4197" s="215">
        <v>4190</v>
      </c>
      <c r="H4197" s="16">
        <f t="shared" ca="1" si="73"/>
        <v>-4.051119072382868E-2</v>
      </c>
    </row>
    <row r="4198" spans="7:8" x14ac:dyDescent="0.35">
      <c r="G4198" s="215">
        <v>4191</v>
      </c>
      <c r="H4198" s="16">
        <f t="shared" ca="1" si="73"/>
        <v>0.10712145796753259</v>
      </c>
    </row>
    <row r="4199" spans="7:8" x14ac:dyDescent="0.35">
      <c r="G4199" s="215">
        <v>4192</v>
      </c>
      <c r="H4199" s="16">
        <f t="shared" ca="1" si="73"/>
        <v>7.9996993678180819E-2</v>
      </c>
    </row>
    <row r="4200" spans="7:8" x14ac:dyDescent="0.35">
      <c r="G4200" s="215">
        <v>4193</v>
      </c>
      <c r="H4200" s="16">
        <f t="shared" ca="1" si="73"/>
        <v>-1.9387646716931609E-2</v>
      </c>
    </row>
    <row r="4201" spans="7:8" x14ac:dyDescent="0.35">
      <c r="G4201" s="215">
        <v>4194</v>
      </c>
      <c r="H4201" s="16">
        <f t="shared" ca="1" si="73"/>
        <v>3.5004402770426185E-2</v>
      </c>
    </row>
    <row r="4202" spans="7:8" x14ac:dyDescent="0.35">
      <c r="G4202" s="215">
        <v>4195</v>
      </c>
      <c r="H4202" s="16">
        <f t="shared" ca="1" si="73"/>
        <v>-0.21256675153862314</v>
      </c>
    </row>
    <row r="4203" spans="7:8" x14ac:dyDescent="0.35">
      <c r="G4203" s="215">
        <v>4196</v>
      </c>
      <c r="H4203" s="16">
        <f t="shared" ca="1" si="73"/>
        <v>7.2883704732186486E-2</v>
      </c>
    </row>
    <row r="4204" spans="7:8" x14ac:dyDescent="0.35">
      <c r="G4204" s="215">
        <v>4197</v>
      </c>
      <c r="H4204" s="16">
        <f t="shared" ca="1" si="73"/>
        <v>3.5960896663139827E-2</v>
      </c>
    </row>
    <row r="4205" spans="7:8" x14ac:dyDescent="0.35">
      <c r="G4205" s="215">
        <v>4198</v>
      </c>
      <c r="H4205" s="16">
        <f t="shared" ca="1" si="73"/>
        <v>-3.9853803460335971E-2</v>
      </c>
    </row>
    <row r="4206" spans="7:8" x14ac:dyDescent="0.35">
      <c r="G4206" s="215">
        <v>4199</v>
      </c>
      <c r="H4206" s="16">
        <f t="shared" ca="1" si="73"/>
        <v>1.6027700416487017E-4</v>
      </c>
    </row>
    <row r="4207" spans="7:8" x14ac:dyDescent="0.35">
      <c r="G4207" s="215">
        <v>4200</v>
      </c>
      <c r="H4207" s="16">
        <f t="shared" ca="1" si="73"/>
        <v>-3.117666044466989E-2</v>
      </c>
    </row>
    <row r="4208" spans="7:8" x14ac:dyDescent="0.35">
      <c r="G4208" s="215">
        <v>4201</v>
      </c>
      <c r="H4208" s="16">
        <f t="shared" ca="1" si="73"/>
        <v>-2.0297329625866927E-2</v>
      </c>
    </row>
    <row r="4209" spans="7:8" x14ac:dyDescent="0.35">
      <c r="G4209" s="215">
        <v>4202</v>
      </c>
      <c r="H4209" s="16">
        <f t="shared" ca="1" si="73"/>
        <v>-4.2804243940322687E-2</v>
      </c>
    </row>
    <row r="4210" spans="7:8" x14ac:dyDescent="0.35">
      <c r="G4210" s="215">
        <v>4203</v>
      </c>
      <c r="H4210" s="16">
        <f t="shared" ca="1" si="73"/>
        <v>0.16483628982526571</v>
      </c>
    </row>
    <row r="4211" spans="7:8" x14ac:dyDescent="0.35">
      <c r="G4211" s="215">
        <v>4204</v>
      </c>
      <c r="H4211" s="16">
        <f t="shared" ca="1" si="73"/>
        <v>8.2963582094962768E-2</v>
      </c>
    </row>
    <row r="4212" spans="7:8" x14ac:dyDescent="0.35">
      <c r="G4212" s="215">
        <v>4205</v>
      </c>
      <c r="H4212" s="16">
        <f t="shared" ca="1" si="73"/>
        <v>9.6093490614129057E-4</v>
      </c>
    </row>
    <row r="4213" spans="7:8" x14ac:dyDescent="0.35">
      <c r="G4213" s="215">
        <v>4206</v>
      </c>
      <c r="H4213" s="16">
        <f t="shared" ca="1" si="73"/>
        <v>-6.7788719529136662E-2</v>
      </c>
    </row>
    <row r="4214" spans="7:8" x14ac:dyDescent="0.35">
      <c r="G4214" s="215">
        <v>4207</v>
      </c>
      <c r="H4214" s="16">
        <f t="shared" ca="1" si="73"/>
        <v>-5.9123643565614156E-2</v>
      </c>
    </row>
    <row r="4215" spans="7:8" x14ac:dyDescent="0.35">
      <c r="G4215" s="215">
        <v>4208</v>
      </c>
      <c r="H4215" s="16">
        <f t="shared" ca="1" si="73"/>
        <v>0.17177068388484187</v>
      </c>
    </row>
    <row r="4216" spans="7:8" x14ac:dyDescent="0.35">
      <c r="G4216" s="215">
        <v>4209</v>
      </c>
      <c r="H4216" s="16">
        <f t="shared" ca="1" si="73"/>
        <v>1.9771004009182074E-4</v>
      </c>
    </row>
    <row r="4217" spans="7:8" x14ac:dyDescent="0.35">
      <c r="G4217" s="215">
        <v>4210</v>
      </c>
      <c r="H4217" s="16">
        <f t="shared" ca="1" si="73"/>
        <v>-8.0189375405817859E-2</v>
      </c>
    </row>
    <row r="4218" spans="7:8" x14ac:dyDescent="0.35">
      <c r="G4218" s="215">
        <v>4211</v>
      </c>
      <c r="H4218" s="16">
        <f t="shared" ca="1" si="73"/>
        <v>-0.11139129133311845</v>
      </c>
    </row>
    <row r="4219" spans="7:8" x14ac:dyDescent="0.35">
      <c r="G4219" s="215">
        <v>4212</v>
      </c>
      <c r="H4219" s="16">
        <f t="shared" ca="1" si="73"/>
        <v>5.5276525013811195E-2</v>
      </c>
    </row>
    <row r="4220" spans="7:8" x14ac:dyDescent="0.35">
      <c r="G4220" s="215">
        <v>4213</v>
      </c>
      <c r="H4220" s="16">
        <f t="shared" ca="1" si="73"/>
        <v>9.8447206389480291E-2</v>
      </c>
    </row>
    <row r="4221" spans="7:8" x14ac:dyDescent="0.35">
      <c r="G4221" s="215">
        <v>4214</v>
      </c>
      <c r="H4221" s="16">
        <f t="shared" ca="1" si="73"/>
        <v>4.3033011314470793E-2</v>
      </c>
    </row>
    <row r="4222" spans="7:8" x14ac:dyDescent="0.35">
      <c r="G4222" s="215">
        <v>4215</v>
      </c>
      <c r="H4222" s="16">
        <f t="shared" ca="1" si="73"/>
        <v>-4.1789691429168566E-3</v>
      </c>
    </row>
    <row r="4223" spans="7:8" x14ac:dyDescent="0.35">
      <c r="G4223" s="215">
        <v>4216</v>
      </c>
      <c r="H4223" s="16">
        <f t="shared" ca="1" si="73"/>
        <v>-3.8651931219509314E-2</v>
      </c>
    </row>
    <row r="4224" spans="7:8" x14ac:dyDescent="0.35">
      <c r="G4224" s="215">
        <v>4217</v>
      </c>
      <c r="H4224" s="16">
        <f t="shared" ca="1" si="73"/>
        <v>-7.7052601985844793E-2</v>
      </c>
    </row>
    <row r="4225" spans="7:8" x14ac:dyDescent="0.35">
      <c r="G4225" s="215">
        <v>4218</v>
      </c>
      <c r="H4225" s="16">
        <f t="shared" ca="1" si="73"/>
        <v>-3.4906482378002507E-2</v>
      </c>
    </row>
    <row r="4226" spans="7:8" x14ac:dyDescent="0.35">
      <c r="G4226" s="215">
        <v>4219</v>
      </c>
      <c r="H4226" s="16">
        <f t="shared" ca="1" si="73"/>
        <v>-9.986783100262793E-2</v>
      </c>
    </row>
    <row r="4227" spans="7:8" x14ac:dyDescent="0.35">
      <c r="G4227" s="215">
        <v>4220</v>
      </c>
      <c r="H4227" s="16">
        <f t="shared" ca="1" si="73"/>
        <v>-7.248668922748551E-2</v>
      </c>
    </row>
    <row r="4228" spans="7:8" x14ac:dyDescent="0.35">
      <c r="G4228" s="215">
        <v>4221</v>
      </c>
      <c r="H4228" s="16">
        <f t="shared" ca="1" si="73"/>
        <v>-6.1139450371694541E-3</v>
      </c>
    </row>
    <row r="4229" spans="7:8" x14ac:dyDescent="0.35">
      <c r="G4229" s="215">
        <v>4222</v>
      </c>
      <c r="H4229" s="16">
        <f t="shared" ca="1" si="73"/>
        <v>-3.3108281263015835E-2</v>
      </c>
    </row>
    <row r="4230" spans="7:8" x14ac:dyDescent="0.35">
      <c r="G4230" s="215">
        <v>4223</v>
      </c>
      <c r="H4230" s="16">
        <f t="shared" ca="1" si="73"/>
        <v>3.2916696748398727E-2</v>
      </c>
    </row>
    <row r="4231" spans="7:8" x14ac:dyDescent="0.35">
      <c r="G4231" s="215">
        <v>4224</v>
      </c>
      <c r="H4231" s="16">
        <f t="shared" ca="1" si="73"/>
        <v>-1.0294095991908839E-2</v>
      </c>
    </row>
    <row r="4232" spans="7:8" x14ac:dyDescent="0.35">
      <c r="G4232" s="215">
        <v>4225</v>
      </c>
      <c r="H4232" s="16">
        <f t="shared" ref="H4232:H4295" ca="1" si="74">_xlfn.NORM.INV(RAND(),M$10,M$11)</f>
        <v>-0.12036058859358056</v>
      </c>
    </row>
    <row r="4233" spans="7:8" x14ac:dyDescent="0.35">
      <c r="G4233" s="215">
        <v>4226</v>
      </c>
      <c r="H4233" s="16">
        <f t="shared" ca="1" si="74"/>
        <v>-8.4223120380066074E-2</v>
      </c>
    </row>
    <row r="4234" spans="7:8" x14ac:dyDescent="0.35">
      <c r="G4234" s="215">
        <v>4227</v>
      </c>
      <c r="H4234" s="16">
        <f t="shared" ca="1" si="74"/>
        <v>-9.0670123728807117E-2</v>
      </c>
    </row>
    <row r="4235" spans="7:8" x14ac:dyDescent="0.35">
      <c r="G4235" s="215">
        <v>4228</v>
      </c>
      <c r="H4235" s="16">
        <f t="shared" ca="1" si="74"/>
        <v>-7.6212860449462988E-2</v>
      </c>
    </row>
    <row r="4236" spans="7:8" x14ac:dyDescent="0.35">
      <c r="G4236" s="215">
        <v>4229</v>
      </c>
      <c r="H4236" s="16">
        <f t="shared" ca="1" si="74"/>
        <v>-0.10960313429560202</v>
      </c>
    </row>
    <row r="4237" spans="7:8" x14ac:dyDescent="0.35">
      <c r="G4237" s="215">
        <v>4230</v>
      </c>
      <c r="H4237" s="16">
        <f t="shared" ca="1" si="74"/>
        <v>9.0856244500926581E-2</v>
      </c>
    </row>
    <row r="4238" spans="7:8" x14ac:dyDescent="0.35">
      <c r="G4238" s="215">
        <v>4231</v>
      </c>
      <c r="H4238" s="16">
        <f t="shared" ca="1" si="74"/>
        <v>-3.0330594241495135E-2</v>
      </c>
    </row>
    <row r="4239" spans="7:8" x14ac:dyDescent="0.35">
      <c r="G4239" s="215">
        <v>4232</v>
      </c>
      <c r="H4239" s="16">
        <f t="shared" ca="1" si="74"/>
        <v>-0.13991847397582133</v>
      </c>
    </row>
    <row r="4240" spans="7:8" x14ac:dyDescent="0.35">
      <c r="G4240" s="215">
        <v>4233</v>
      </c>
      <c r="H4240" s="16">
        <f t="shared" ca="1" si="74"/>
        <v>-9.0504430786305205E-3</v>
      </c>
    </row>
    <row r="4241" spans="7:8" x14ac:dyDescent="0.35">
      <c r="G4241" s="215">
        <v>4234</v>
      </c>
      <c r="H4241" s="16">
        <f t="shared" ca="1" si="74"/>
        <v>9.7621107353633357E-2</v>
      </c>
    </row>
    <row r="4242" spans="7:8" x14ac:dyDescent="0.35">
      <c r="G4242" s="215">
        <v>4235</v>
      </c>
      <c r="H4242" s="16">
        <f t="shared" ca="1" si="74"/>
        <v>-0.15444510302848352</v>
      </c>
    </row>
    <row r="4243" spans="7:8" x14ac:dyDescent="0.35">
      <c r="G4243" s="215">
        <v>4236</v>
      </c>
      <c r="H4243" s="16">
        <f t="shared" ca="1" si="74"/>
        <v>0.11017622910128014</v>
      </c>
    </row>
    <row r="4244" spans="7:8" x14ac:dyDescent="0.35">
      <c r="G4244" s="215">
        <v>4237</v>
      </c>
      <c r="H4244" s="16">
        <f t="shared" ca="1" si="74"/>
        <v>-2.7959927758982286E-2</v>
      </c>
    </row>
    <row r="4245" spans="7:8" x14ac:dyDescent="0.35">
      <c r="G4245" s="215">
        <v>4238</v>
      </c>
      <c r="H4245" s="16">
        <f t="shared" ca="1" si="74"/>
        <v>3.9429781242480109E-4</v>
      </c>
    </row>
    <row r="4246" spans="7:8" x14ac:dyDescent="0.35">
      <c r="G4246" s="215">
        <v>4239</v>
      </c>
      <c r="H4246" s="16">
        <f t="shared" ca="1" si="74"/>
        <v>8.7344519276550375E-2</v>
      </c>
    </row>
    <row r="4247" spans="7:8" x14ac:dyDescent="0.35">
      <c r="G4247" s="215">
        <v>4240</v>
      </c>
      <c r="H4247" s="16">
        <f t="shared" ca="1" si="74"/>
        <v>-0.12179565069868331</v>
      </c>
    </row>
    <row r="4248" spans="7:8" x14ac:dyDescent="0.35">
      <c r="G4248" s="215">
        <v>4241</v>
      </c>
      <c r="H4248" s="16">
        <f t="shared" ca="1" si="74"/>
        <v>5.5891003047219209E-2</v>
      </c>
    </row>
    <row r="4249" spans="7:8" x14ac:dyDescent="0.35">
      <c r="G4249" s="215">
        <v>4242</v>
      </c>
      <c r="H4249" s="16">
        <f t="shared" ca="1" si="74"/>
        <v>-2.1610553293313749E-2</v>
      </c>
    </row>
    <row r="4250" spans="7:8" x14ac:dyDescent="0.35">
      <c r="G4250" s="215">
        <v>4243</v>
      </c>
      <c r="H4250" s="16">
        <f t="shared" ca="1" si="74"/>
        <v>7.3320739147844163E-2</v>
      </c>
    </row>
    <row r="4251" spans="7:8" x14ac:dyDescent="0.35">
      <c r="G4251" s="215">
        <v>4244</v>
      </c>
      <c r="H4251" s="16">
        <f t="shared" ca="1" si="74"/>
        <v>-2.4911443695204375E-2</v>
      </c>
    </row>
    <row r="4252" spans="7:8" x14ac:dyDescent="0.35">
      <c r="G4252" s="215">
        <v>4245</v>
      </c>
      <c r="H4252" s="16">
        <f t="shared" ca="1" si="74"/>
        <v>8.761451718185273E-2</v>
      </c>
    </row>
    <row r="4253" spans="7:8" x14ac:dyDescent="0.35">
      <c r="G4253" s="215">
        <v>4246</v>
      </c>
      <c r="H4253" s="16">
        <f t="shared" ca="1" si="74"/>
        <v>-5.3871565415219508E-2</v>
      </c>
    </row>
    <row r="4254" spans="7:8" x14ac:dyDescent="0.35">
      <c r="G4254" s="215">
        <v>4247</v>
      </c>
      <c r="H4254" s="16">
        <f t="shared" ca="1" si="74"/>
        <v>7.6034933679291011E-2</v>
      </c>
    </row>
    <row r="4255" spans="7:8" x14ac:dyDescent="0.35">
      <c r="G4255" s="215">
        <v>4248</v>
      </c>
      <c r="H4255" s="16">
        <f t="shared" ca="1" si="74"/>
        <v>0.10093908975248506</v>
      </c>
    </row>
    <row r="4256" spans="7:8" x14ac:dyDescent="0.35">
      <c r="G4256" s="215">
        <v>4249</v>
      </c>
      <c r="H4256" s="16">
        <f t="shared" ca="1" si="74"/>
        <v>7.6580530786104786E-2</v>
      </c>
    </row>
    <row r="4257" spans="7:8" x14ac:dyDescent="0.35">
      <c r="G4257" s="215">
        <v>4250</v>
      </c>
      <c r="H4257" s="16">
        <f t="shared" ca="1" si="74"/>
        <v>0.104180746333598</v>
      </c>
    </row>
    <row r="4258" spans="7:8" x14ac:dyDescent="0.35">
      <c r="G4258" s="215">
        <v>4251</v>
      </c>
      <c r="H4258" s="16">
        <f t="shared" ca="1" si="74"/>
        <v>4.6873819785910084E-2</v>
      </c>
    </row>
    <row r="4259" spans="7:8" x14ac:dyDescent="0.35">
      <c r="G4259" s="215">
        <v>4252</v>
      </c>
      <c r="H4259" s="16">
        <f t="shared" ca="1" si="74"/>
        <v>0.20502472924068282</v>
      </c>
    </row>
    <row r="4260" spans="7:8" x14ac:dyDescent="0.35">
      <c r="G4260" s="215">
        <v>4253</v>
      </c>
      <c r="H4260" s="16">
        <f t="shared" ca="1" si="74"/>
        <v>-5.8786895826244287E-2</v>
      </c>
    </row>
    <row r="4261" spans="7:8" x14ac:dyDescent="0.35">
      <c r="G4261" s="215">
        <v>4254</v>
      </c>
      <c r="H4261" s="16">
        <f t="shared" ca="1" si="74"/>
        <v>4.9884193193773449E-2</v>
      </c>
    </row>
    <row r="4262" spans="7:8" x14ac:dyDescent="0.35">
      <c r="G4262" s="215">
        <v>4255</v>
      </c>
      <c r="H4262" s="16">
        <f t="shared" ca="1" si="74"/>
        <v>-6.9730426552715316E-2</v>
      </c>
    </row>
    <row r="4263" spans="7:8" x14ac:dyDescent="0.35">
      <c r="G4263" s="215">
        <v>4256</v>
      </c>
      <c r="H4263" s="16">
        <f t="shared" ca="1" si="74"/>
        <v>0.16516851210573599</v>
      </c>
    </row>
    <row r="4264" spans="7:8" x14ac:dyDescent="0.35">
      <c r="G4264" s="215">
        <v>4257</v>
      </c>
      <c r="H4264" s="16">
        <f t="shared" ca="1" si="74"/>
        <v>-3.9465645204139352E-2</v>
      </c>
    </row>
    <row r="4265" spans="7:8" x14ac:dyDescent="0.35">
      <c r="G4265" s="215">
        <v>4258</v>
      </c>
      <c r="H4265" s="16">
        <f t="shared" ca="1" si="74"/>
        <v>-5.0573626197690458E-2</v>
      </c>
    </row>
    <row r="4266" spans="7:8" x14ac:dyDescent="0.35">
      <c r="G4266" s="215">
        <v>4259</v>
      </c>
      <c r="H4266" s="16">
        <f t="shared" ca="1" si="74"/>
        <v>5.7505953922168786E-3</v>
      </c>
    </row>
    <row r="4267" spans="7:8" x14ac:dyDescent="0.35">
      <c r="G4267" s="215">
        <v>4260</v>
      </c>
      <c r="H4267" s="16">
        <f t="shared" ca="1" si="74"/>
        <v>0.16580341541679353</v>
      </c>
    </row>
    <row r="4268" spans="7:8" x14ac:dyDescent="0.35">
      <c r="G4268" s="215">
        <v>4261</v>
      </c>
      <c r="H4268" s="16">
        <f t="shared" ca="1" si="74"/>
        <v>4.5521747556895878E-2</v>
      </c>
    </row>
    <row r="4269" spans="7:8" x14ac:dyDescent="0.35">
      <c r="G4269" s="215">
        <v>4262</v>
      </c>
      <c r="H4269" s="16">
        <f t="shared" ca="1" si="74"/>
        <v>3.2727748084297001E-2</v>
      </c>
    </row>
    <row r="4270" spans="7:8" x14ac:dyDescent="0.35">
      <c r="G4270" s="215">
        <v>4263</v>
      </c>
      <c r="H4270" s="16">
        <f t="shared" ca="1" si="74"/>
        <v>1.3113604671840896E-2</v>
      </c>
    </row>
    <row r="4271" spans="7:8" x14ac:dyDescent="0.35">
      <c r="G4271" s="215">
        <v>4264</v>
      </c>
      <c r="H4271" s="16">
        <f t="shared" ca="1" si="74"/>
        <v>4.9724926655810436E-2</v>
      </c>
    </row>
    <row r="4272" spans="7:8" x14ac:dyDescent="0.35">
      <c r="G4272" s="215">
        <v>4265</v>
      </c>
      <c r="H4272" s="16">
        <f t="shared" ca="1" si="74"/>
        <v>3.8177541476726917E-2</v>
      </c>
    </row>
    <row r="4273" spans="7:8" x14ac:dyDescent="0.35">
      <c r="G4273" s="215">
        <v>4266</v>
      </c>
      <c r="H4273" s="16">
        <f t="shared" ca="1" si="74"/>
        <v>3.5860268659433314E-2</v>
      </c>
    </row>
    <row r="4274" spans="7:8" x14ac:dyDescent="0.35">
      <c r="G4274" s="215">
        <v>4267</v>
      </c>
      <c r="H4274" s="16">
        <f t="shared" ca="1" si="74"/>
        <v>5.3786357442010255E-2</v>
      </c>
    </row>
    <row r="4275" spans="7:8" x14ac:dyDescent="0.35">
      <c r="G4275" s="215">
        <v>4268</v>
      </c>
      <c r="H4275" s="16">
        <f t="shared" ca="1" si="74"/>
        <v>2.0413875287484902E-2</v>
      </c>
    </row>
    <row r="4276" spans="7:8" x14ac:dyDescent="0.35">
      <c r="G4276" s="215">
        <v>4269</v>
      </c>
      <c r="H4276" s="16">
        <f t="shared" ca="1" si="74"/>
        <v>4.9145665190054103E-2</v>
      </c>
    </row>
    <row r="4277" spans="7:8" x14ac:dyDescent="0.35">
      <c r="G4277" s="215">
        <v>4270</v>
      </c>
      <c r="H4277" s="16">
        <f t="shared" ca="1" si="74"/>
        <v>-3.68539003986924E-3</v>
      </c>
    </row>
    <row r="4278" spans="7:8" x14ac:dyDescent="0.35">
      <c r="G4278" s="215">
        <v>4271</v>
      </c>
      <c r="H4278" s="16">
        <f t="shared" ca="1" si="74"/>
        <v>-3.038576799833791E-2</v>
      </c>
    </row>
    <row r="4279" spans="7:8" x14ac:dyDescent="0.35">
      <c r="G4279" s="215">
        <v>4272</v>
      </c>
      <c r="H4279" s="16">
        <f t="shared" ca="1" si="74"/>
        <v>7.4823220828792499E-3</v>
      </c>
    </row>
    <row r="4280" spans="7:8" x14ac:dyDescent="0.35">
      <c r="G4280" s="215">
        <v>4273</v>
      </c>
      <c r="H4280" s="16">
        <f t="shared" ca="1" si="74"/>
        <v>1.6733205826986747E-3</v>
      </c>
    </row>
    <row r="4281" spans="7:8" x14ac:dyDescent="0.35">
      <c r="G4281" s="215">
        <v>4274</v>
      </c>
      <c r="H4281" s="16">
        <f t="shared" ca="1" si="74"/>
        <v>1.5671950159700979E-2</v>
      </c>
    </row>
    <row r="4282" spans="7:8" x14ac:dyDescent="0.35">
      <c r="G4282" s="215">
        <v>4275</v>
      </c>
      <c r="H4282" s="16">
        <f t="shared" ca="1" si="74"/>
        <v>-4.7005884361376697E-3</v>
      </c>
    </row>
    <row r="4283" spans="7:8" x14ac:dyDescent="0.35">
      <c r="G4283" s="215">
        <v>4276</v>
      </c>
      <c r="H4283" s="16">
        <f t="shared" ca="1" si="74"/>
        <v>-0.14509725880333649</v>
      </c>
    </row>
    <row r="4284" spans="7:8" x14ac:dyDescent="0.35">
      <c r="G4284" s="215">
        <v>4277</v>
      </c>
      <c r="H4284" s="16">
        <f t="shared" ca="1" si="74"/>
        <v>-0.10058461075807967</v>
      </c>
    </row>
    <row r="4285" spans="7:8" x14ac:dyDescent="0.35">
      <c r="G4285" s="215">
        <v>4278</v>
      </c>
      <c r="H4285" s="16">
        <f t="shared" ca="1" si="74"/>
        <v>-4.0860912891107687E-2</v>
      </c>
    </row>
    <row r="4286" spans="7:8" x14ac:dyDescent="0.35">
      <c r="G4286" s="215">
        <v>4279</v>
      </c>
      <c r="H4286" s="16">
        <f t="shared" ca="1" si="74"/>
        <v>7.2951771847931182E-2</v>
      </c>
    </row>
    <row r="4287" spans="7:8" x14ac:dyDescent="0.35">
      <c r="G4287" s="215">
        <v>4280</v>
      </c>
      <c r="H4287" s="16">
        <f t="shared" ca="1" si="74"/>
        <v>6.3883700227114912E-2</v>
      </c>
    </row>
    <row r="4288" spans="7:8" x14ac:dyDescent="0.35">
      <c r="G4288" s="215">
        <v>4281</v>
      </c>
      <c r="H4288" s="16">
        <f t="shared" ca="1" si="74"/>
        <v>6.9477930725131407E-2</v>
      </c>
    </row>
    <row r="4289" spans="7:8" x14ac:dyDescent="0.35">
      <c r="G4289" s="215">
        <v>4282</v>
      </c>
      <c r="H4289" s="16">
        <f t="shared" ca="1" si="74"/>
        <v>4.1789099187665296E-2</v>
      </c>
    </row>
    <row r="4290" spans="7:8" x14ac:dyDescent="0.35">
      <c r="G4290" s="215">
        <v>4283</v>
      </c>
      <c r="H4290" s="16">
        <f t="shared" ca="1" si="74"/>
        <v>0.13624942330338816</v>
      </c>
    </row>
    <row r="4291" spans="7:8" x14ac:dyDescent="0.35">
      <c r="G4291" s="215">
        <v>4284</v>
      </c>
      <c r="H4291" s="16">
        <f t="shared" ca="1" si="74"/>
        <v>8.3796705019434189E-2</v>
      </c>
    </row>
    <row r="4292" spans="7:8" x14ac:dyDescent="0.35">
      <c r="G4292" s="215">
        <v>4285</v>
      </c>
      <c r="H4292" s="16">
        <f t="shared" ca="1" si="74"/>
        <v>0.1091705912918834</v>
      </c>
    </row>
    <row r="4293" spans="7:8" x14ac:dyDescent="0.35">
      <c r="G4293" s="215">
        <v>4286</v>
      </c>
      <c r="H4293" s="16">
        <f t="shared" ca="1" si="74"/>
        <v>3.4149818592383939E-2</v>
      </c>
    </row>
    <row r="4294" spans="7:8" x14ac:dyDescent="0.35">
      <c r="G4294" s="215">
        <v>4287</v>
      </c>
      <c r="H4294" s="16">
        <f t="shared" ca="1" si="74"/>
        <v>-5.6408289065280837E-2</v>
      </c>
    </row>
    <row r="4295" spans="7:8" x14ac:dyDescent="0.35">
      <c r="G4295" s="215">
        <v>4288</v>
      </c>
      <c r="H4295" s="16">
        <f t="shared" ca="1" si="74"/>
        <v>9.0011064039531741E-2</v>
      </c>
    </row>
    <row r="4296" spans="7:8" x14ac:dyDescent="0.35">
      <c r="G4296" s="215">
        <v>4289</v>
      </c>
      <c r="H4296" s="16">
        <f t="shared" ref="H4296:H4359" ca="1" si="75">_xlfn.NORM.INV(RAND(),M$10,M$11)</f>
        <v>9.3098075510651607E-2</v>
      </c>
    </row>
    <row r="4297" spans="7:8" x14ac:dyDescent="0.35">
      <c r="G4297" s="215">
        <v>4290</v>
      </c>
      <c r="H4297" s="16">
        <f t="shared" ca="1" si="75"/>
        <v>-7.0709825218393307E-2</v>
      </c>
    </row>
    <row r="4298" spans="7:8" x14ac:dyDescent="0.35">
      <c r="G4298" s="215">
        <v>4291</v>
      </c>
      <c r="H4298" s="16">
        <f t="shared" ca="1" si="75"/>
        <v>-1.4173969640631081E-2</v>
      </c>
    </row>
    <row r="4299" spans="7:8" x14ac:dyDescent="0.35">
      <c r="G4299" s="215">
        <v>4292</v>
      </c>
      <c r="H4299" s="16">
        <f t="shared" ca="1" si="75"/>
        <v>2.287268304978337E-2</v>
      </c>
    </row>
    <row r="4300" spans="7:8" x14ac:dyDescent="0.35">
      <c r="G4300" s="215">
        <v>4293</v>
      </c>
      <c r="H4300" s="16">
        <f t="shared" ca="1" si="75"/>
        <v>9.2942061783339094E-3</v>
      </c>
    </row>
    <row r="4301" spans="7:8" x14ac:dyDescent="0.35">
      <c r="G4301" s="215">
        <v>4294</v>
      </c>
      <c r="H4301" s="16">
        <f t="shared" ca="1" si="75"/>
        <v>4.5943330151222678E-2</v>
      </c>
    </row>
    <row r="4302" spans="7:8" x14ac:dyDescent="0.35">
      <c r="G4302" s="215">
        <v>4295</v>
      </c>
      <c r="H4302" s="16">
        <f t="shared" ca="1" si="75"/>
        <v>2.2762899442263829E-2</v>
      </c>
    </row>
    <row r="4303" spans="7:8" x14ac:dyDescent="0.35">
      <c r="G4303" s="215">
        <v>4296</v>
      </c>
      <c r="H4303" s="16">
        <f t="shared" ca="1" si="75"/>
        <v>2.5433817361020759E-4</v>
      </c>
    </row>
    <row r="4304" spans="7:8" x14ac:dyDescent="0.35">
      <c r="G4304" s="215">
        <v>4297</v>
      </c>
      <c r="H4304" s="16">
        <f t="shared" ca="1" si="75"/>
        <v>-7.0508621253807024E-2</v>
      </c>
    </row>
    <row r="4305" spans="7:8" x14ac:dyDescent="0.35">
      <c r="G4305" s="215">
        <v>4298</v>
      </c>
      <c r="H4305" s="16">
        <f t="shared" ca="1" si="75"/>
        <v>1.9263312064306676E-2</v>
      </c>
    </row>
    <row r="4306" spans="7:8" x14ac:dyDescent="0.35">
      <c r="G4306" s="215">
        <v>4299</v>
      </c>
      <c r="H4306" s="16">
        <f t="shared" ca="1" si="75"/>
        <v>0.12013983076750608</v>
      </c>
    </row>
    <row r="4307" spans="7:8" x14ac:dyDescent="0.35">
      <c r="G4307" s="215">
        <v>4300</v>
      </c>
      <c r="H4307" s="16">
        <f t="shared" ca="1" si="75"/>
        <v>4.3717920788534162E-2</v>
      </c>
    </row>
    <row r="4308" spans="7:8" x14ac:dyDescent="0.35">
      <c r="G4308" s="215">
        <v>4301</v>
      </c>
      <c r="H4308" s="16">
        <f t="shared" ca="1" si="75"/>
        <v>-3.5902174053875205E-2</v>
      </c>
    </row>
    <row r="4309" spans="7:8" x14ac:dyDescent="0.35">
      <c r="G4309" s="215">
        <v>4302</v>
      </c>
      <c r="H4309" s="16">
        <f t="shared" ca="1" si="75"/>
        <v>0.14022087715269996</v>
      </c>
    </row>
    <row r="4310" spans="7:8" x14ac:dyDescent="0.35">
      <c r="G4310" s="215">
        <v>4303</v>
      </c>
      <c r="H4310" s="16">
        <f t="shared" ca="1" si="75"/>
        <v>0.16674165510433084</v>
      </c>
    </row>
    <row r="4311" spans="7:8" x14ac:dyDescent="0.35">
      <c r="G4311" s="215">
        <v>4304</v>
      </c>
      <c r="H4311" s="16">
        <f t="shared" ca="1" si="75"/>
        <v>-1.9782723026837857E-2</v>
      </c>
    </row>
    <row r="4312" spans="7:8" x14ac:dyDescent="0.35">
      <c r="G4312" s="215">
        <v>4305</v>
      </c>
      <c r="H4312" s="16">
        <f t="shared" ca="1" si="75"/>
        <v>8.1491834150454995E-2</v>
      </c>
    </row>
    <row r="4313" spans="7:8" x14ac:dyDescent="0.35">
      <c r="G4313" s="215">
        <v>4306</v>
      </c>
      <c r="H4313" s="16">
        <f t="shared" ca="1" si="75"/>
        <v>-5.2176615041145763E-2</v>
      </c>
    </row>
    <row r="4314" spans="7:8" x14ac:dyDescent="0.35">
      <c r="G4314" s="215">
        <v>4307</v>
      </c>
      <c r="H4314" s="16">
        <f t="shared" ca="1" si="75"/>
        <v>9.5231964075790394E-3</v>
      </c>
    </row>
    <row r="4315" spans="7:8" x14ac:dyDescent="0.35">
      <c r="G4315" s="215">
        <v>4308</v>
      </c>
      <c r="H4315" s="16">
        <f t="shared" ca="1" si="75"/>
        <v>-5.1589005764044155E-2</v>
      </c>
    </row>
    <row r="4316" spans="7:8" x14ac:dyDescent="0.35">
      <c r="G4316" s="215">
        <v>4309</v>
      </c>
      <c r="H4316" s="16">
        <f t="shared" ca="1" si="75"/>
        <v>4.6700150346863062E-2</v>
      </c>
    </row>
    <row r="4317" spans="7:8" x14ac:dyDescent="0.35">
      <c r="G4317" s="215">
        <v>4310</v>
      </c>
      <c r="H4317" s="16">
        <f t="shared" ca="1" si="75"/>
        <v>-4.0985671045576919E-2</v>
      </c>
    </row>
    <row r="4318" spans="7:8" x14ac:dyDescent="0.35">
      <c r="G4318" s="215">
        <v>4311</v>
      </c>
      <c r="H4318" s="16">
        <f t="shared" ca="1" si="75"/>
        <v>5.172424970865859E-2</v>
      </c>
    </row>
    <row r="4319" spans="7:8" x14ac:dyDescent="0.35">
      <c r="G4319" s="215">
        <v>4312</v>
      </c>
      <c r="H4319" s="16">
        <f t="shared" ca="1" si="75"/>
        <v>-4.0015770793180708E-2</v>
      </c>
    </row>
    <row r="4320" spans="7:8" x14ac:dyDescent="0.35">
      <c r="G4320" s="215">
        <v>4313</v>
      </c>
      <c r="H4320" s="16">
        <f t="shared" ca="1" si="75"/>
        <v>0.17613472719833756</v>
      </c>
    </row>
    <row r="4321" spans="7:8" x14ac:dyDescent="0.35">
      <c r="G4321" s="215">
        <v>4314</v>
      </c>
      <c r="H4321" s="16">
        <f t="shared" ca="1" si="75"/>
        <v>5.845231243632619E-2</v>
      </c>
    </row>
    <row r="4322" spans="7:8" x14ac:dyDescent="0.35">
      <c r="G4322" s="215">
        <v>4315</v>
      </c>
      <c r="H4322" s="16">
        <f t="shared" ca="1" si="75"/>
        <v>5.7275066331639278E-3</v>
      </c>
    </row>
    <row r="4323" spans="7:8" x14ac:dyDescent="0.35">
      <c r="G4323" s="215">
        <v>4316</v>
      </c>
      <c r="H4323" s="16">
        <f t="shared" ca="1" si="75"/>
        <v>-6.9651182492335276E-2</v>
      </c>
    </row>
    <row r="4324" spans="7:8" x14ac:dyDescent="0.35">
      <c r="G4324" s="215">
        <v>4317</v>
      </c>
      <c r="H4324" s="16">
        <f t="shared" ca="1" si="75"/>
        <v>3.7062653869734202E-2</v>
      </c>
    </row>
    <row r="4325" spans="7:8" x14ac:dyDescent="0.35">
      <c r="G4325" s="215">
        <v>4318</v>
      </c>
      <c r="H4325" s="16">
        <f t="shared" ca="1" si="75"/>
        <v>1.6116950677633378E-2</v>
      </c>
    </row>
    <row r="4326" spans="7:8" x14ac:dyDescent="0.35">
      <c r="G4326" s="215">
        <v>4319</v>
      </c>
      <c r="H4326" s="16">
        <f t="shared" ca="1" si="75"/>
        <v>1.7824472867209028E-2</v>
      </c>
    </row>
    <row r="4327" spans="7:8" x14ac:dyDescent="0.35">
      <c r="G4327" s="215">
        <v>4320</v>
      </c>
      <c r="H4327" s="16">
        <f t="shared" ca="1" si="75"/>
        <v>6.8635576699130646E-2</v>
      </c>
    </row>
    <row r="4328" spans="7:8" x14ac:dyDescent="0.35">
      <c r="G4328" s="215">
        <v>4321</v>
      </c>
      <c r="H4328" s="16">
        <f t="shared" ca="1" si="75"/>
        <v>-9.9691066978762413E-2</v>
      </c>
    </row>
    <row r="4329" spans="7:8" x14ac:dyDescent="0.35">
      <c r="G4329" s="215">
        <v>4322</v>
      </c>
      <c r="H4329" s="16">
        <f t="shared" ca="1" si="75"/>
        <v>9.6513921011716575E-2</v>
      </c>
    </row>
    <row r="4330" spans="7:8" x14ac:dyDescent="0.35">
      <c r="G4330" s="215">
        <v>4323</v>
      </c>
      <c r="H4330" s="16">
        <f t="shared" ca="1" si="75"/>
        <v>-4.0884602004070666E-2</v>
      </c>
    </row>
    <row r="4331" spans="7:8" x14ac:dyDescent="0.35">
      <c r="G4331" s="215">
        <v>4324</v>
      </c>
      <c r="H4331" s="16">
        <f t="shared" ca="1" si="75"/>
        <v>2.5575111227806559E-2</v>
      </c>
    </row>
    <row r="4332" spans="7:8" x14ac:dyDescent="0.35">
      <c r="G4332" s="215">
        <v>4325</v>
      </c>
      <c r="H4332" s="16">
        <f t="shared" ca="1" si="75"/>
        <v>0.17079493236218704</v>
      </c>
    </row>
    <row r="4333" spans="7:8" x14ac:dyDescent="0.35">
      <c r="G4333" s="215">
        <v>4326</v>
      </c>
      <c r="H4333" s="16">
        <f t="shared" ca="1" si="75"/>
        <v>-0.176082540689115</v>
      </c>
    </row>
    <row r="4334" spans="7:8" x14ac:dyDescent="0.35">
      <c r="G4334" s="215">
        <v>4327</v>
      </c>
      <c r="H4334" s="16">
        <f t="shared" ca="1" si="75"/>
        <v>6.9964017628800904E-2</v>
      </c>
    </row>
    <row r="4335" spans="7:8" x14ac:dyDescent="0.35">
      <c r="G4335" s="215">
        <v>4328</v>
      </c>
      <c r="H4335" s="16">
        <f t="shared" ca="1" si="75"/>
        <v>-0.11455259339787241</v>
      </c>
    </row>
    <row r="4336" spans="7:8" x14ac:dyDescent="0.35">
      <c r="G4336" s="215">
        <v>4329</v>
      </c>
      <c r="H4336" s="16">
        <f t="shared" ca="1" si="75"/>
        <v>-2.9153844130812002E-2</v>
      </c>
    </row>
    <row r="4337" spans="7:8" x14ac:dyDescent="0.35">
      <c r="G4337" s="215">
        <v>4330</v>
      </c>
      <c r="H4337" s="16">
        <f t="shared" ca="1" si="75"/>
        <v>3.9219490589175038E-3</v>
      </c>
    </row>
    <row r="4338" spans="7:8" x14ac:dyDescent="0.35">
      <c r="G4338" s="215">
        <v>4331</v>
      </c>
      <c r="H4338" s="16">
        <f t="shared" ca="1" si="75"/>
        <v>-4.9157115673003487E-2</v>
      </c>
    </row>
    <row r="4339" spans="7:8" x14ac:dyDescent="0.35">
      <c r="G4339" s="215">
        <v>4332</v>
      </c>
      <c r="H4339" s="16">
        <f t="shared" ca="1" si="75"/>
        <v>3.5602122648605461E-2</v>
      </c>
    </row>
    <row r="4340" spans="7:8" x14ac:dyDescent="0.35">
      <c r="G4340" s="215">
        <v>4333</v>
      </c>
      <c r="H4340" s="16">
        <f t="shared" ca="1" si="75"/>
        <v>-1.5510553771739377E-2</v>
      </c>
    </row>
    <row r="4341" spans="7:8" x14ac:dyDescent="0.35">
      <c r="G4341" s="215">
        <v>4334</v>
      </c>
      <c r="H4341" s="16">
        <f t="shared" ca="1" si="75"/>
        <v>0.11000362636909673</v>
      </c>
    </row>
    <row r="4342" spans="7:8" x14ac:dyDescent="0.35">
      <c r="G4342" s="215">
        <v>4335</v>
      </c>
      <c r="H4342" s="16">
        <f t="shared" ca="1" si="75"/>
        <v>-3.8509587459934366E-2</v>
      </c>
    </row>
    <row r="4343" spans="7:8" x14ac:dyDescent="0.35">
      <c r="G4343" s="215">
        <v>4336</v>
      </c>
      <c r="H4343" s="16">
        <f t="shared" ca="1" si="75"/>
        <v>4.2226549870013008E-2</v>
      </c>
    </row>
    <row r="4344" spans="7:8" x14ac:dyDescent="0.35">
      <c r="G4344" s="215">
        <v>4337</v>
      </c>
      <c r="H4344" s="16">
        <f t="shared" ca="1" si="75"/>
        <v>-1.7517255998615488E-2</v>
      </c>
    </row>
    <row r="4345" spans="7:8" x14ac:dyDescent="0.35">
      <c r="G4345" s="215">
        <v>4338</v>
      </c>
      <c r="H4345" s="16">
        <f t="shared" ca="1" si="75"/>
        <v>5.4254413102856114E-2</v>
      </c>
    </row>
    <row r="4346" spans="7:8" x14ac:dyDescent="0.35">
      <c r="G4346" s="215">
        <v>4339</v>
      </c>
      <c r="H4346" s="16">
        <f t="shared" ca="1" si="75"/>
        <v>1.8156742430113296E-2</v>
      </c>
    </row>
    <row r="4347" spans="7:8" x14ac:dyDescent="0.35">
      <c r="G4347" s="215">
        <v>4340</v>
      </c>
      <c r="H4347" s="16">
        <f t="shared" ca="1" si="75"/>
        <v>-1.779691263540864E-2</v>
      </c>
    </row>
    <row r="4348" spans="7:8" x14ac:dyDescent="0.35">
      <c r="G4348" s="215">
        <v>4341</v>
      </c>
      <c r="H4348" s="16">
        <f t="shared" ca="1" si="75"/>
        <v>-2.3406998095168868E-2</v>
      </c>
    </row>
    <row r="4349" spans="7:8" x14ac:dyDescent="0.35">
      <c r="G4349" s="215">
        <v>4342</v>
      </c>
      <c r="H4349" s="16">
        <f t="shared" ca="1" si="75"/>
        <v>0.13910951857925483</v>
      </c>
    </row>
    <row r="4350" spans="7:8" x14ac:dyDescent="0.35">
      <c r="G4350" s="215">
        <v>4343</v>
      </c>
      <c r="H4350" s="16">
        <f t="shared" ca="1" si="75"/>
        <v>5.6520290258784647E-2</v>
      </c>
    </row>
    <row r="4351" spans="7:8" x14ac:dyDescent="0.35">
      <c r="G4351" s="215">
        <v>4344</v>
      </c>
      <c r="H4351" s="16">
        <f t="shared" ca="1" si="75"/>
        <v>-0.12504562852454865</v>
      </c>
    </row>
    <row r="4352" spans="7:8" x14ac:dyDescent="0.35">
      <c r="G4352" s="215">
        <v>4345</v>
      </c>
      <c r="H4352" s="16">
        <f t="shared" ca="1" si="75"/>
        <v>-0.13097553360663611</v>
      </c>
    </row>
    <row r="4353" spans="7:8" x14ac:dyDescent="0.35">
      <c r="G4353" s="215">
        <v>4346</v>
      </c>
      <c r="H4353" s="16">
        <f t="shared" ca="1" si="75"/>
        <v>-8.2272313043392185E-3</v>
      </c>
    </row>
    <row r="4354" spans="7:8" x14ac:dyDescent="0.35">
      <c r="G4354" s="215">
        <v>4347</v>
      </c>
      <c r="H4354" s="16">
        <f t="shared" ca="1" si="75"/>
        <v>-4.1072456929828957E-3</v>
      </c>
    </row>
    <row r="4355" spans="7:8" x14ac:dyDescent="0.35">
      <c r="G4355" s="215">
        <v>4348</v>
      </c>
      <c r="H4355" s="16">
        <f t="shared" ca="1" si="75"/>
        <v>-3.3639773961159553E-2</v>
      </c>
    </row>
    <row r="4356" spans="7:8" x14ac:dyDescent="0.35">
      <c r="G4356" s="215">
        <v>4349</v>
      </c>
      <c r="H4356" s="16">
        <f t="shared" ca="1" si="75"/>
        <v>3.7955916713305796E-2</v>
      </c>
    </row>
    <row r="4357" spans="7:8" x14ac:dyDescent="0.35">
      <c r="G4357" s="215">
        <v>4350</v>
      </c>
      <c r="H4357" s="16">
        <f t="shared" ca="1" si="75"/>
        <v>-6.1693753576220353E-2</v>
      </c>
    </row>
    <row r="4358" spans="7:8" x14ac:dyDescent="0.35">
      <c r="G4358" s="215">
        <v>4351</v>
      </c>
      <c r="H4358" s="16">
        <f t="shared" ca="1" si="75"/>
        <v>-0.17637102706084923</v>
      </c>
    </row>
    <row r="4359" spans="7:8" x14ac:dyDescent="0.35">
      <c r="G4359" s="215">
        <v>4352</v>
      </c>
      <c r="H4359" s="16">
        <f t="shared" ca="1" si="75"/>
        <v>0.14969957175920698</v>
      </c>
    </row>
    <row r="4360" spans="7:8" x14ac:dyDescent="0.35">
      <c r="G4360" s="215">
        <v>4353</v>
      </c>
      <c r="H4360" s="16">
        <f t="shared" ref="H4360:H4423" ca="1" si="76">_xlfn.NORM.INV(RAND(),M$10,M$11)</f>
        <v>8.8960755697289451E-2</v>
      </c>
    </row>
    <row r="4361" spans="7:8" x14ac:dyDescent="0.35">
      <c r="G4361" s="215">
        <v>4354</v>
      </c>
      <c r="H4361" s="16">
        <f t="shared" ca="1" si="76"/>
        <v>5.1790268333468961E-2</v>
      </c>
    </row>
    <row r="4362" spans="7:8" x14ac:dyDescent="0.35">
      <c r="G4362" s="215">
        <v>4355</v>
      </c>
      <c r="H4362" s="16">
        <f t="shared" ca="1" si="76"/>
        <v>-3.7234706204277032E-2</v>
      </c>
    </row>
    <row r="4363" spans="7:8" x14ac:dyDescent="0.35">
      <c r="G4363" s="215">
        <v>4356</v>
      </c>
      <c r="H4363" s="16">
        <f t="shared" ca="1" si="76"/>
        <v>2.0555456972404275E-2</v>
      </c>
    </row>
    <row r="4364" spans="7:8" x14ac:dyDescent="0.35">
      <c r="G4364" s="215">
        <v>4357</v>
      </c>
      <c r="H4364" s="16">
        <f t="shared" ca="1" si="76"/>
        <v>3.4657513839678841E-2</v>
      </c>
    </row>
    <row r="4365" spans="7:8" x14ac:dyDescent="0.35">
      <c r="G4365" s="215">
        <v>4358</v>
      </c>
      <c r="H4365" s="16">
        <f t="shared" ca="1" si="76"/>
        <v>2.3500230955018735E-4</v>
      </c>
    </row>
    <row r="4366" spans="7:8" x14ac:dyDescent="0.35">
      <c r="G4366" s="215">
        <v>4359</v>
      </c>
      <c r="H4366" s="16">
        <f t="shared" ca="1" si="76"/>
        <v>-5.831609735360703E-2</v>
      </c>
    </row>
    <row r="4367" spans="7:8" x14ac:dyDescent="0.35">
      <c r="G4367" s="215">
        <v>4360</v>
      </c>
      <c r="H4367" s="16">
        <f t="shared" ca="1" si="76"/>
        <v>-2.2821733616316928E-2</v>
      </c>
    </row>
    <row r="4368" spans="7:8" x14ac:dyDescent="0.35">
      <c r="G4368" s="215">
        <v>4361</v>
      </c>
      <c r="H4368" s="16">
        <f t="shared" ca="1" si="76"/>
        <v>3.5236957796974E-2</v>
      </c>
    </row>
    <row r="4369" spans="7:8" x14ac:dyDescent="0.35">
      <c r="G4369" s="215">
        <v>4362</v>
      </c>
      <c r="H4369" s="16">
        <f t="shared" ca="1" si="76"/>
        <v>1.3050025381640622E-2</v>
      </c>
    </row>
    <row r="4370" spans="7:8" x14ac:dyDescent="0.35">
      <c r="G4370" s="215">
        <v>4363</v>
      </c>
      <c r="H4370" s="16">
        <f t="shared" ca="1" si="76"/>
        <v>1.5948491193523172E-2</v>
      </c>
    </row>
    <row r="4371" spans="7:8" x14ac:dyDescent="0.35">
      <c r="G4371" s="215">
        <v>4364</v>
      </c>
      <c r="H4371" s="16">
        <f t="shared" ca="1" si="76"/>
        <v>2.2943087537852999E-3</v>
      </c>
    </row>
    <row r="4372" spans="7:8" x14ac:dyDescent="0.35">
      <c r="G4372" s="215">
        <v>4365</v>
      </c>
      <c r="H4372" s="16">
        <f t="shared" ca="1" si="76"/>
        <v>7.1601493530327256E-2</v>
      </c>
    </row>
    <row r="4373" spans="7:8" x14ac:dyDescent="0.35">
      <c r="G4373" s="215">
        <v>4366</v>
      </c>
      <c r="H4373" s="16">
        <f t="shared" ca="1" si="76"/>
        <v>-2.5911201010823896E-2</v>
      </c>
    </row>
    <row r="4374" spans="7:8" x14ac:dyDescent="0.35">
      <c r="G4374" s="215">
        <v>4367</v>
      </c>
      <c r="H4374" s="16">
        <f t="shared" ca="1" si="76"/>
        <v>3.2578893201080587E-2</v>
      </c>
    </row>
    <row r="4375" spans="7:8" x14ac:dyDescent="0.35">
      <c r="G4375" s="215">
        <v>4368</v>
      </c>
      <c r="H4375" s="16">
        <f t="shared" ca="1" si="76"/>
        <v>-5.4595787057839018E-2</v>
      </c>
    </row>
    <row r="4376" spans="7:8" x14ac:dyDescent="0.35">
      <c r="G4376" s="215">
        <v>4369</v>
      </c>
      <c r="H4376" s="16">
        <f t="shared" ca="1" si="76"/>
        <v>0.20853595338160219</v>
      </c>
    </row>
    <row r="4377" spans="7:8" x14ac:dyDescent="0.35">
      <c r="G4377" s="215">
        <v>4370</v>
      </c>
      <c r="H4377" s="16">
        <f t="shared" ca="1" si="76"/>
        <v>6.7927703975794632E-2</v>
      </c>
    </row>
    <row r="4378" spans="7:8" x14ac:dyDescent="0.35">
      <c r="G4378" s="215">
        <v>4371</v>
      </c>
      <c r="H4378" s="16">
        <f t="shared" ca="1" si="76"/>
        <v>0.12598001850435411</v>
      </c>
    </row>
    <row r="4379" spans="7:8" x14ac:dyDescent="0.35">
      <c r="G4379" s="215">
        <v>4372</v>
      </c>
      <c r="H4379" s="16">
        <f t="shared" ca="1" si="76"/>
        <v>-0.22318594559887456</v>
      </c>
    </row>
    <row r="4380" spans="7:8" x14ac:dyDescent="0.35">
      <c r="G4380" s="215">
        <v>4373</v>
      </c>
      <c r="H4380" s="16">
        <f t="shared" ca="1" si="76"/>
        <v>-7.6317826335079983E-2</v>
      </c>
    </row>
    <row r="4381" spans="7:8" x14ac:dyDescent="0.35">
      <c r="G4381" s="215">
        <v>4374</v>
      </c>
      <c r="H4381" s="16">
        <f t="shared" ca="1" si="76"/>
        <v>-5.7707530849523292E-2</v>
      </c>
    </row>
    <row r="4382" spans="7:8" x14ac:dyDescent="0.35">
      <c r="G4382" s="215">
        <v>4375</v>
      </c>
      <c r="H4382" s="16">
        <f t="shared" ca="1" si="76"/>
        <v>2.7136216618109561E-4</v>
      </c>
    </row>
    <row r="4383" spans="7:8" x14ac:dyDescent="0.35">
      <c r="G4383" s="215">
        <v>4376</v>
      </c>
      <c r="H4383" s="16">
        <f t="shared" ca="1" si="76"/>
        <v>2.2755487663605668E-2</v>
      </c>
    </row>
    <row r="4384" spans="7:8" x14ac:dyDescent="0.35">
      <c r="G4384" s="215">
        <v>4377</v>
      </c>
      <c r="H4384" s="16">
        <f t="shared" ca="1" si="76"/>
        <v>-7.4261562268202359E-3</v>
      </c>
    </row>
    <row r="4385" spans="7:8" x14ac:dyDescent="0.35">
      <c r="G4385" s="215">
        <v>4378</v>
      </c>
      <c r="H4385" s="16">
        <f t="shared" ca="1" si="76"/>
        <v>4.8716151044875446E-3</v>
      </c>
    </row>
    <row r="4386" spans="7:8" x14ac:dyDescent="0.35">
      <c r="G4386" s="215">
        <v>4379</v>
      </c>
      <c r="H4386" s="16">
        <f t="shared" ca="1" si="76"/>
        <v>3.4271839973171563E-3</v>
      </c>
    </row>
    <row r="4387" spans="7:8" x14ac:dyDescent="0.35">
      <c r="G4387" s="215">
        <v>4380</v>
      </c>
      <c r="H4387" s="16">
        <f t="shared" ca="1" si="76"/>
        <v>-5.667552513273718E-3</v>
      </c>
    </row>
    <row r="4388" spans="7:8" x14ac:dyDescent="0.35">
      <c r="G4388" s="215">
        <v>4381</v>
      </c>
      <c r="H4388" s="16">
        <f t="shared" ca="1" si="76"/>
        <v>5.0887589426211383E-2</v>
      </c>
    </row>
    <row r="4389" spans="7:8" x14ac:dyDescent="0.35">
      <c r="G4389" s="215">
        <v>4382</v>
      </c>
      <c r="H4389" s="16">
        <f t="shared" ca="1" si="76"/>
        <v>-2.9652380258761223E-2</v>
      </c>
    </row>
    <row r="4390" spans="7:8" x14ac:dyDescent="0.35">
      <c r="G4390" s="215">
        <v>4383</v>
      </c>
      <c r="H4390" s="16">
        <f t="shared" ca="1" si="76"/>
        <v>-2.395666433156533E-2</v>
      </c>
    </row>
    <row r="4391" spans="7:8" x14ac:dyDescent="0.35">
      <c r="G4391" s="215">
        <v>4384</v>
      </c>
      <c r="H4391" s="16">
        <f t="shared" ca="1" si="76"/>
        <v>3.8781520712149929E-2</v>
      </c>
    </row>
    <row r="4392" spans="7:8" x14ac:dyDescent="0.35">
      <c r="G4392" s="215">
        <v>4385</v>
      </c>
      <c r="H4392" s="16">
        <f t="shared" ca="1" si="76"/>
        <v>1.5276103121097562E-2</v>
      </c>
    </row>
    <row r="4393" spans="7:8" x14ac:dyDescent="0.35">
      <c r="G4393" s="215">
        <v>4386</v>
      </c>
      <c r="H4393" s="16">
        <f t="shared" ca="1" si="76"/>
        <v>-1.0345820481973082E-2</v>
      </c>
    </row>
    <row r="4394" spans="7:8" x14ac:dyDescent="0.35">
      <c r="G4394" s="215">
        <v>4387</v>
      </c>
      <c r="H4394" s="16">
        <f t="shared" ca="1" si="76"/>
        <v>1.2299546367248847E-3</v>
      </c>
    </row>
    <row r="4395" spans="7:8" x14ac:dyDescent="0.35">
      <c r="G4395" s="215">
        <v>4388</v>
      </c>
      <c r="H4395" s="16">
        <f t="shared" ca="1" si="76"/>
        <v>-0.11354439137892033</v>
      </c>
    </row>
    <row r="4396" spans="7:8" x14ac:dyDescent="0.35">
      <c r="G4396" s="215">
        <v>4389</v>
      </c>
      <c r="H4396" s="16">
        <f t="shared" ca="1" si="76"/>
        <v>-5.3324956770204657E-2</v>
      </c>
    </row>
    <row r="4397" spans="7:8" x14ac:dyDescent="0.35">
      <c r="G4397" s="215">
        <v>4390</v>
      </c>
      <c r="H4397" s="16">
        <f t="shared" ca="1" si="76"/>
        <v>1.4916514684768623E-2</v>
      </c>
    </row>
    <row r="4398" spans="7:8" x14ac:dyDescent="0.35">
      <c r="G4398" s="215">
        <v>4391</v>
      </c>
      <c r="H4398" s="16">
        <f t="shared" ca="1" si="76"/>
        <v>9.8690199495774553E-2</v>
      </c>
    </row>
    <row r="4399" spans="7:8" x14ac:dyDescent="0.35">
      <c r="G4399" s="215">
        <v>4392</v>
      </c>
      <c r="H4399" s="16">
        <f t="shared" ca="1" si="76"/>
        <v>2.1259410564948657E-2</v>
      </c>
    </row>
    <row r="4400" spans="7:8" x14ac:dyDescent="0.35">
      <c r="G4400" s="215">
        <v>4393</v>
      </c>
      <c r="H4400" s="16">
        <f t="shared" ca="1" si="76"/>
        <v>5.7402871637928336E-3</v>
      </c>
    </row>
    <row r="4401" spans="7:8" x14ac:dyDescent="0.35">
      <c r="G4401" s="215">
        <v>4394</v>
      </c>
      <c r="H4401" s="16">
        <f t="shared" ca="1" si="76"/>
        <v>-0.11173634589843813</v>
      </c>
    </row>
    <row r="4402" spans="7:8" x14ac:dyDescent="0.35">
      <c r="G4402" s="215">
        <v>4395</v>
      </c>
      <c r="H4402" s="16">
        <f t="shared" ca="1" si="76"/>
        <v>-1.4215300684966511E-2</v>
      </c>
    </row>
    <row r="4403" spans="7:8" x14ac:dyDescent="0.35">
      <c r="G4403" s="215">
        <v>4396</v>
      </c>
      <c r="H4403" s="16">
        <f t="shared" ca="1" si="76"/>
        <v>5.2304057901989984E-2</v>
      </c>
    </row>
    <row r="4404" spans="7:8" x14ac:dyDescent="0.35">
      <c r="G4404" s="215">
        <v>4397</v>
      </c>
      <c r="H4404" s="16">
        <f t="shared" ca="1" si="76"/>
        <v>3.9050692204639179E-2</v>
      </c>
    </row>
    <row r="4405" spans="7:8" x14ac:dyDescent="0.35">
      <c r="G4405" s="215">
        <v>4398</v>
      </c>
      <c r="H4405" s="16">
        <f t="shared" ca="1" si="76"/>
        <v>-0.10519014973998411</v>
      </c>
    </row>
    <row r="4406" spans="7:8" x14ac:dyDescent="0.35">
      <c r="G4406" s="215">
        <v>4399</v>
      </c>
      <c r="H4406" s="16">
        <f t="shared" ca="1" si="76"/>
        <v>-4.6601342652921679E-2</v>
      </c>
    </row>
    <row r="4407" spans="7:8" x14ac:dyDescent="0.35">
      <c r="G4407" s="215">
        <v>4400</v>
      </c>
      <c r="H4407" s="16">
        <f t="shared" ca="1" si="76"/>
        <v>0.12529512206434465</v>
      </c>
    </row>
    <row r="4408" spans="7:8" x14ac:dyDescent="0.35">
      <c r="G4408" s="215">
        <v>4401</v>
      </c>
      <c r="H4408" s="16">
        <f t="shared" ca="1" si="76"/>
        <v>8.2761973060952204E-2</v>
      </c>
    </row>
    <row r="4409" spans="7:8" x14ac:dyDescent="0.35">
      <c r="G4409" s="215">
        <v>4402</v>
      </c>
      <c r="H4409" s="16">
        <f t="shared" ca="1" si="76"/>
        <v>2.0679695331407261E-2</v>
      </c>
    </row>
    <row r="4410" spans="7:8" x14ac:dyDescent="0.35">
      <c r="G4410" s="215">
        <v>4403</v>
      </c>
      <c r="H4410" s="16">
        <f t="shared" ca="1" si="76"/>
        <v>8.271377070451498E-2</v>
      </c>
    </row>
    <row r="4411" spans="7:8" x14ac:dyDescent="0.35">
      <c r="G4411" s="215">
        <v>4404</v>
      </c>
      <c r="H4411" s="16">
        <f t="shared" ca="1" si="76"/>
        <v>3.5845896573671876E-2</v>
      </c>
    </row>
    <row r="4412" spans="7:8" x14ac:dyDescent="0.35">
      <c r="G4412" s="215">
        <v>4405</v>
      </c>
      <c r="H4412" s="16">
        <f t="shared" ca="1" si="76"/>
        <v>-5.7499995411440019E-2</v>
      </c>
    </row>
    <row r="4413" spans="7:8" x14ac:dyDescent="0.35">
      <c r="G4413" s="215">
        <v>4406</v>
      </c>
      <c r="H4413" s="16">
        <f t="shared" ca="1" si="76"/>
        <v>1.4217810614668671E-2</v>
      </c>
    </row>
    <row r="4414" spans="7:8" x14ac:dyDescent="0.35">
      <c r="G4414" s="215">
        <v>4407</v>
      </c>
      <c r="H4414" s="16">
        <f t="shared" ca="1" si="76"/>
        <v>4.2960513367276423E-2</v>
      </c>
    </row>
    <row r="4415" spans="7:8" x14ac:dyDescent="0.35">
      <c r="G4415" s="215">
        <v>4408</v>
      </c>
      <c r="H4415" s="16">
        <f t="shared" ca="1" si="76"/>
        <v>7.3290227427484422E-2</v>
      </c>
    </row>
    <row r="4416" spans="7:8" x14ac:dyDescent="0.35">
      <c r="G4416" s="215">
        <v>4409</v>
      </c>
      <c r="H4416" s="16">
        <f t="shared" ca="1" si="76"/>
        <v>-9.2899375865973452E-3</v>
      </c>
    </row>
    <row r="4417" spans="7:8" x14ac:dyDescent="0.35">
      <c r="G4417" s="215">
        <v>4410</v>
      </c>
      <c r="H4417" s="16">
        <f t="shared" ca="1" si="76"/>
        <v>-2.8298875123583703E-2</v>
      </c>
    </row>
    <row r="4418" spans="7:8" x14ac:dyDescent="0.35">
      <c r="G4418" s="215">
        <v>4411</v>
      </c>
      <c r="H4418" s="16">
        <f t="shared" ca="1" si="76"/>
        <v>4.8339280236713744E-2</v>
      </c>
    </row>
    <row r="4419" spans="7:8" x14ac:dyDescent="0.35">
      <c r="G4419" s="215">
        <v>4412</v>
      </c>
      <c r="H4419" s="16">
        <f t="shared" ca="1" si="76"/>
        <v>-1.0550037397222798E-2</v>
      </c>
    </row>
    <row r="4420" spans="7:8" x14ac:dyDescent="0.35">
      <c r="G4420" s="215">
        <v>4413</v>
      </c>
      <c r="H4420" s="16">
        <f t="shared" ca="1" si="76"/>
        <v>-0.11131552821408627</v>
      </c>
    </row>
    <row r="4421" spans="7:8" x14ac:dyDescent="0.35">
      <c r="G4421" s="215">
        <v>4414</v>
      </c>
      <c r="H4421" s="16">
        <f t="shared" ca="1" si="76"/>
        <v>-7.7479797262762939E-2</v>
      </c>
    </row>
    <row r="4422" spans="7:8" x14ac:dyDescent="0.35">
      <c r="G4422" s="215">
        <v>4415</v>
      </c>
      <c r="H4422" s="16">
        <f t="shared" ca="1" si="76"/>
        <v>-6.9750825900564348E-2</v>
      </c>
    </row>
    <row r="4423" spans="7:8" x14ac:dyDescent="0.35">
      <c r="G4423" s="215">
        <v>4416</v>
      </c>
      <c r="H4423" s="16">
        <f t="shared" ca="1" si="76"/>
        <v>3.5058396585140941E-2</v>
      </c>
    </row>
    <row r="4424" spans="7:8" x14ac:dyDescent="0.35">
      <c r="G4424" s="215">
        <v>4417</v>
      </c>
      <c r="H4424" s="16">
        <f t="shared" ref="H4424:H4487" ca="1" si="77">_xlfn.NORM.INV(RAND(),M$10,M$11)</f>
        <v>-9.9662936702735183E-3</v>
      </c>
    </row>
    <row r="4425" spans="7:8" x14ac:dyDescent="0.35">
      <c r="G4425" s="215">
        <v>4418</v>
      </c>
      <c r="H4425" s="16">
        <f t="shared" ca="1" si="77"/>
        <v>6.4557437725106387E-2</v>
      </c>
    </row>
    <row r="4426" spans="7:8" x14ac:dyDescent="0.35">
      <c r="G4426" s="215">
        <v>4419</v>
      </c>
      <c r="H4426" s="16">
        <f t="shared" ca="1" si="77"/>
        <v>7.0853702653146292E-2</v>
      </c>
    </row>
    <row r="4427" spans="7:8" x14ac:dyDescent="0.35">
      <c r="G4427" s="215">
        <v>4420</v>
      </c>
      <c r="H4427" s="16">
        <f t="shared" ca="1" si="77"/>
        <v>-3.1401695944437827E-2</v>
      </c>
    </row>
    <row r="4428" spans="7:8" x14ac:dyDescent="0.35">
      <c r="G4428" s="215">
        <v>4421</v>
      </c>
      <c r="H4428" s="16">
        <f t="shared" ca="1" si="77"/>
        <v>0.11197057544506982</v>
      </c>
    </row>
    <row r="4429" spans="7:8" x14ac:dyDescent="0.35">
      <c r="G4429" s="215">
        <v>4422</v>
      </c>
      <c r="H4429" s="16">
        <f t="shared" ca="1" si="77"/>
        <v>3.8098196789390151E-2</v>
      </c>
    </row>
    <row r="4430" spans="7:8" x14ac:dyDescent="0.35">
      <c r="G4430" s="215">
        <v>4423</v>
      </c>
      <c r="H4430" s="16">
        <f t="shared" ca="1" si="77"/>
        <v>9.818877425475786E-2</v>
      </c>
    </row>
    <row r="4431" spans="7:8" x14ac:dyDescent="0.35">
      <c r="G4431" s="215">
        <v>4424</v>
      </c>
      <c r="H4431" s="16">
        <f t="shared" ca="1" si="77"/>
        <v>-0.14532613720969692</v>
      </c>
    </row>
    <row r="4432" spans="7:8" x14ac:dyDescent="0.35">
      <c r="G4432" s="215">
        <v>4425</v>
      </c>
      <c r="H4432" s="16">
        <f t="shared" ca="1" si="77"/>
        <v>4.2063125182536701E-2</v>
      </c>
    </row>
    <row r="4433" spans="7:8" x14ac:dyDescent="0.35">
      <c r="G4433" s="215">
        <v>4426</v>
      </c>
      <c r="H4433" s="16">
        <f t="shared" ca="1" si="77"/>
        <v>3.4973049431702742E-3</v>
      </c>
    </row>
    <row r="4434" spans="7:8" x14ac:dyDescent="0.35">
      <c r="G4434" s="215">
        <v>4427</v>
      </c>
      <c r="H4434" s="16">
        <f t="shared" ca="1" si="77"/>
        <v>2.688418500039047E-2</v>
      </c>
    </row>
    <row r="4435" spans="7:8" x14ac:dyDescent="0.35">
      <c r="G4435" s="215">
        <v>4428</v>
      </c>
      <c r="H4435" s="16">
        <f t="shared" ca="1" si="77"/>
        <v>-9.5720788922744063E-2</v>
      </c>
    </row>
    <row r="4436" spans="7:8" x14ac:dyDescent="0.35">
      <c r="G4436" s="215">
        <v>4429</v>
      </c>
      <c r="H4436" s="16">
        <f t="shared" ca="1" si="77"/>
        <v>0.15870876876612131</v>
      </c>
    </row>
    <row r="4437" spans="7:8" x14ac:dyDescent="0.35">
      <c r="G4437" s="215">
        <v>4430</v>
      </c>
      <c r="H4437" s="16">
        <f t="shared" ca="1" si="77"/>
        <v>-0.13974097253070697</v>
      </c>
    </row>
    <row r="4438" spans="7:8" x14ac:dyDescent="0.35">
      <c r="G4438" s="215">
        <v>4431</v>
      </c>
      <c r="H4438" s="16">
        <f t="shared" ca="1" si="77"/>
        <v>-4.6879559156034145E-2</v>
      </c>
    </row>
    <row r="4439" spans="7:8" x14ac:dyDescent="0.35">
      <c r="G4439" s="215">
        <v>4432</v>
      </c>
      <c r="H4439" s="16">
        <f t="shared" ca="1" si="77"/>
        <v>9.0734773585570347E-2</v>
      </c>
    </row>
    <row r="4440" spans="7:8" x14ac:dyDescent="0.35">
      <c r="G4440" s="215">
        <v>4433</v>
      </c>
      <c r="H4440" s="16">
        <f t="shared" ca="1" si="77"/>
        <v>-8.3788605751474746E-2</v>
      </c>
    </row>
    <row r="4441" spans="7:8" x14ac:dyDescent="0.35">
      <c r="G4441" s="215">
        <v>4434</v>
      </c>
      <c r="H4441" s="16">
        <f t="shared" ca="1" si="77"/>
        <v>0.11262429978011144</v>
      </c>
    </row>
    <row r="4442" spans="7:8" x14ac:dyDescent="0.35">
      <c r="G4442" s="215">
        <v>4435</v>
      </c>
      <c r="H4442" s="16">
        <f t="shared" ca="1" si="77"/>
        <v>-3.3910996207644581E-2</v>
      </c>
    </row>
    <row r="4443" spans="7:8" x14ac:dyDescent="0.35">
      <c r="G4443" s="215">
        <v>4436</v>
      </c>
      <c r="H4443" s="16">
        <f t="shared" ca="1" si="77"/>
        <v>8.9895539315555981E-2</v>
      </c>
    </row>
    <row r="4444" spans="7:8" x14ac:dyDescent="0.35">
      <c r="G4444" s="215">
        <v>4437</v>
      </c>
      <c r="H4444" s="16">
        <f t="shared" ca="1" si="77"/>
        <v>-1.3892161841389812E-2</v>
      </c>
    </row>
    <row r="4445" spans="7:8" x14ac:dyDescent="0.35">
      <c r="G4445" s="215">
        <v>4438</v>
      </c>
      <c r="H4445" s="16">
        <f t="shared" ca="1" si="77"/>
        <v>7.3520750671368304E-2</v>
      </c>
    </row>
    <row r="4446" spans="7:8" x14ac:dyDescent="0.35">
      <c r="G4446" s="215">
        <v>4439</v>
      </c>
      <c r="H4446" s="16">
        <f t="shared" ca="1" si="77"/>
        <v>9.1219058174088666E-2</v>
      </c>
    </row>
    <row r="4447" spans="7:8" x14ac:dyDescent="0.35">
      <c r="G4447" s="215">
        <v>4440</v>
      </c>
      <c r="H4447" s="16">
        <f t="shared" ca="1" si="77"/>
        <v>9.4576750704319645E-2</v>
      </c>
    </row>
    <row r="4448" spans="7:8" x14ac:dyDescent="0.35">
      <c r="G4448" s="215">
        <v>4441</v>
      </c>
      <c r="H4448" s="16">
        <f t="shared" ca="1" si="77"/>
        <v>7.9228261917526303E-3</v>
      </c>
    </row>
    <row r="4449" spans="7:8" x14ac:dyDescent="0.35">
      <c r="G4449" s="215">
        <v>4442</v>
      </c>
      <c r="H4449" s="16">
        <f t="shared" ca="1" si="77"/>
        <v>4.674077996929521E-2</v>
      </c>
    </row>
    <row r="4450" spans="7:8" x14ac:dyDescent="0.35">
      <c r="G4450" s="215">
        <v>4443</v>
      </c>
      <c r="H4450" s="16">
        <f t="shared" ca="1" si="77"/>
        <v>2.7814754433161757E-3</v>
      </c>
    </row>
    <row r="4451" spans="7:8" x14ac:dyDescent="0.35">
      <c r="G4451" s="215">
        <v>4444</v>
      </c>
      <c r="H4451" s="16">
        <f t="shared" ca="1" si="77"/>
        <v>-0.10788667131281605</v>
      </c>
    </row>
    <row r="4452" spans="7:8" x14ac:dyDescent="0.35">
      <c r="G4452" s="215">
        <v>4445</v>
      </c>
      <c r="H4452" s="16">
        <f t="shared" ca="1" si="77"/>
        <v>2.9237152339146581E-2</v>
      </c>
    </row>
    <row r="4453" spans="7:8" x14ac:dyDescent="0.35">
      <c r="G4453" s="215">
        <v>4446</v>
      </c>
      <c r="H4453" s="16">
        <f t="shared" ca="1" si="77"/>
        <v>3.1173637527885472E-2</v>
      </c>
    </row>
    <row r="4454" spans="7:8" x14ac:dyDescent="0.35">
      <c r="G4454" s="215">
        <v>4447</v>
      </c>
      <c r="H4454" s="16">
        <f t="shared" ca="1" si="77"/>
        <v>9.8596771048808041E-2</v>
      </c>
    </row>
    <row r="4455" spans="7:8" x14ac:dyDescent="0.35">
      <c r="G4455" s="215">
        <v>4448</v>
      </c>
      <c r="H4455" s="16">
        <f t="shared" ca="1" si="77"/>
        <v>-5.3192178464843226E-2</v>
      </c>
    </row>
    <row r="4456" spans="7:8" x14ac:dyDescent="0.35">
      <c r="G4456" s="215">
        <v>4449</v>
      </c>
      <c r="H4456" s="16">
        <f t="shared" ca="1" si="77"/>
        <v>8.2186511860041292E-2</v>
      </c>
    </row>
    <row r="4457" spans="7:8" x14ac:dyDescent="0.35">
      <c r="G4457" s="215">
        <v>4450</v>
      </c>
      <c r="H4457" s="16">
        <f t="shared" ca="1" si="77"/>
        <v>-6.672903275070359E-2</v>
      </c>
    </row>
    <row r="4458" spans="7:8" x14ac:dyDescent="0.35">
      <c r="G4458" s="215">
        <v>4451</v>
      </c>
      <c r="H4458" s="16">
        <f t="shared" ca="1" si="77"/>
        <v>3.5285632219478696E-2</v>
      </c>
    </row>
    <row r="4459" spans="7:8" x14ac:dyDescent="0.35">
      <c r="G4459" s="215">
        <v>4452</v>
      </c>
      <c r="H4459" s="16">
        <f t="shared" ca="1" si="77"/>
        <v>-2.1324731514520665E-2</v>
      </c>
    </row>
    <row r="4460" spans="7:8" x14ac:dyDescent="0.35">
      <c r="G4460" s="215">
        <v>4453</v>
      </c>
      <c r="H4460" s="16">
        <f t="shared" ca="1" si="77"/>
        <v>1.3873958038715823E-2</v>
      </c>
    </row>
    <row r="4461" spans="7:8" x14ac:dyDescent="0.35">
      <c r="G4461" s="215">
        <v>4454</v>
      </c>
      <c r="H4461" s="16">
        <f t="shared" ca="1" si="77"/>
        <v>-1.1512822734171951E-3</v>
      </c>
    </row>
    <row r="4462" spans="7:8" x14ac:dyDescent="0.35">
      <c r="G4462" s="215">
        <v>4455</v>
      </c>
      <c r="H4462" s="16">
        <f t="shared" ca="1" si="77"/>
        <v>-6.5312261509450492E-2</v>
      </c>
    </row>
    <row r="4463" spans="7:8" x14ac:dyDescent="0.35">
      <c r="G4463" s="215">
        <v>4456</v>
      </c>
      <c r="H4463" s="16">
        <f t="shared" ca="1" si="77"/>
        <v>-3.4562961557935881E-2</v>
      </c>
    </row>
    <row r="4464" spans="7:8" x14ac:dyDescent="0.35">
      <c r="G4464" s="215">
        <v>4457</v>
      </c>
      <c r="H4464" s="16">
        <f t="shared" ca="1" si="77"/>
        <v>-5.3832199517286461E-2</v>
      </c>
    </row>
    <row r="4465" spans="7:8" x14ac:dyDescent="0.35">
      <c r="G4465" s="215">
        <v>4458</v>
      </c>
      <c r="H4465" s="16">
        <f t="shared" ca="1" si="77"/>
        <v>-8.8946928906213044E-2</v>
      </c>
    </row>
    <row r="4466" spans="7:8" x14ac:dyDescent="0.35">
      <c r="G4466" s="215">
        <v>4459</v>
      </c>
      <c r="H4466" s="16">
        <f t="shared" ca="1" si="77"/>
        <v>-4.6307270887493382E-2</v>
      </c>
    </row>
    <row r="4467" spans="7:8" x14ac:dyDescent="0.35">
      <c r="G4467" s="215">
        <v>4460</v>
      </c>
      <c r="H4467" s="16">
        <f t="shared" ca="1" si="77"/>
        <v>-6.2434743064266343E-2</v>
      </c>
    </row>
    <row r="4468" spans="7:8" x14ac:dyDescent="0.35">
      <c r="G4468" s="215">
        <v>4461</v>
      </c>
      <c r="H4468" s="16">
        <f t="shared" ca="1" si="77"/>
        <v>3.5452131599455108E-2</v>
      </c>
    </row>
    <row r="4469" spans="7:8" x14ac:dyDescent="0.35">
      <c r="G4469" s="215">
        <v>4462</v>
      </c>
      <c r="H4469" s="16">
        <f t="shared" ca="1" si="77"/>
        <v>6.3243643060437948E-2</v>
      </c>
    </row>
    <row r="4470" spans="7:8" x14ac:dyDescent="0.35">
      <c r="G4470" s="215">
        <v>4463</v>
      </c>
      <c r="H4470" s="16">
        <f t="shared" ca="1" si="77"/>
        <v>-5.9800973470272217E-2</v>
      </c>
    </row>
    <row r="4471" spans="7:8" x14ac:dyDescent="0.35">
      <c r="G4471" s="215">
        <v>4464</v>
      </c>
      <c r="H4471" s="16">
        <f t="shared" ca="1" si="77"/>
        <v>-2.2270253757331031E-2</v>
      </c>
    </row>
    <row r="4472" spans="7:8" x14ac:dyDescent="0.35">
      <c r="G4472" s="215">
        <v>4465</v>
      </c>
      <c r="H4472" s="16">
        <f t="shared" ca="1" si="77"/>
        <v>5.7885018990067705E-2</v>
      </c>
    </row>
    <row r="4473" spans="7:8" x14ac:dyDescent="0.35">
      <c r="G4473" s="215">
        <v>4466</v>
      </c>
      <c r="H4473" s="16">
        <f t="shared" ca="1" si="77"/>
        <v>4.4370084851544145E-2</v>
      </c>
    </row>
    <row r="4474" spans="7:8" x14ac:dyDescent="0.35">
      <c r="G4474" s="215">
        <v>4467</v>
      </c>
      <c r="H4474" s="16">
        <f t="shared" ca="1" si="77"/>
        <v>-0.13514788068760356</v>
      </c>
    </row>
    <row r="4475" spans="7:8" x14ac:dyDescent="0.35">
      <c r="G4475" s="215">
        <v>4468</v>
      </c>
      <c r="H4475" s="16">
        <f t="shared" ca="1" si="77"/>
        <v>-9.3424501376558888E-3</v>
      </c>
    </row>
    <row r="4476" spans="7:8" x14ac:dyDescent="0.35">
      <c r="G4476" s="215">
        <v>4469</v>
      </c>
      <c r="H4476" s="16">
        <f t="shared" ca="1" si="77"/>
        <v>-2.0911489738500242E-2</v>
      </c>
    </row>
    <row r="4477" spans="7:8" x14ac:dyDescent="0.35">
      <c r="G4477" s="215">
        <v>4470</v>
      </c>
      <c r="H4477" s="16">
        <f t="shared" ca="1" si="77"/>
        <v>-8.125896680867481E-4</v>
      </c>
    </row>
    <row r="4478" spans="7:8" x14ac:dyDescent="0.35">
      <c r="G4478" s="215">
        <v>4471</v>
      </c>
      <c r="H4478" s="16">
        <f t="shared" ca="1" si="77"/>
        <v>5.7486244910365775E-2</v>
      </c>
    </row>
    <row r="4479" spans="7:8" x14ac:dyDescent="0.35">
      <c r="G4479" s="215">
        <v>4472</v>
      </c>
      <c r="H4479" s="16">
        <f t="shared" ca="1" si="77"/>
        <v>7.8028829727294483E-2</v>
      </c>
    </row>
    <row r="4480" spans="7:8" x14ac:dyDescent="0.35">
      <c r="G4480" s="215">
        <v>4473</v>
      </c>
      <c r="H4480" s="16">
        <f t="shared" ca="1" si="77"/>
        <v>8.8592013082224603E-3</v>
      </c>
    </row>
    <row r="4481" spans="7:8" x14ac:dyDescent="0.35">
      <c r="G4481" s="215">
        <v>4474</v>
      </c>
      <c r="H4481" s="16">
        <f t="shared" ca="1" si="77"/>
        <v>3.5605339191598778E-2</v>
      </c>
    </row>
    <row r="4482" spans="7:8" x14ac:dyDescent="0.35">
      <c r="G4482" s="215">
        <v>4475</v>
      </c>
      <c r="H4482" s="16">
        <f t="shared" ca="1" si="77"/>
        <v>-4.8850999513783827E-4</v>
      </c>
    </row>
    <row r="4483" spans="7:8" x14ac:dyDescent="0.35">
      <c r="G4483" s="215">
        <v>4476</v>
      </c>
      <c r="H4483" s="16">
        <f t="shared" ca="1" si="77"/>
        <v>-7.8150786011515053E-2</v>
      </c>
    </row>
    <row r="4484" spans="7:8" x14ac:dyDescent="0.35">
      <c r="G4484" s="215">
        <v>4477</v>
      </c>
      <c r="H4484" s="16">
        <f t="shared" ca="1" si="77"/>
        <v>0.13928289106554428</v>
      </c>
    </row>
    <row r="4485" spans="7:8" x14ac:dyDescent="0.35">
      <c r="G4485" s="215">
        <v>4478</v>
      </c>
      <c r="H4485" s="16">
        <f t="shared" ca="1" si="77"/>
        <v>6.35947032856614E-2</v>
      </c>
    </row>
    <row r="4486" spans="7:8" x14ac:dyDescent="0.35">
      <c r="G4486" s="215">
        <v>4479</v>
      </c>
      <c r="H4486" s="16">
        <f t="shared" ca="1" si="77"/>
        <v>-7.8661747272329302E-2</v>
      </c>
    </row>
    <row r="4487" spans="7:8" x14ac:dyDescent="0.35">
      <c r="G4487" s="215">
        <v>4480</v>
      </c>
      <c r="H4487" s="16">
        <f t="shared" ca="1" si="77"/>
        <v>4.6427975982466785E-3</v>
      </c>
    </row>
    <row r="4488" spans="7:8" x14ac:dyDescent="0.35">
      <c r="G4488" s="215">
        <v>4481</v>
      </c>
      <c r="H4488" s="16">
        <f t="shared" ref="H4488:H4551" ca="1" si="78">_xlfn.NORM.INV(RAND(),M$10,M$11)</f>
        <v>-3.6821909916001705E-2</v>
      </c>
    </row>
    <row r="4489" spans="7:8" x14ac:dyDescent="0.35">
      <c r="G4489" s="215">
        <v>4482</v>
      </c>
      <c r="H4489" s="16">
        <f t="shared" ca="1" si="78"/>
        <v>5.7664230719649809E-2</v>
      </c>
    </row>
    <row r="4490" spans="7:8" x14ac:dyDescent="0.35">
      <c r="G4490" s="215">
        <v>4483</v>
      </c>
      <c r="H4490" s="16">
        <f t="shared" ca="1" si="78"/>
        <v>0.25323741100400221</v>
      </c>
    </row>
    <row r="4491" spans="7:8" x14ac:dyDescent="0.35">
      <c r="G4491" s="215">
        <v>4484</v>
      </c>
      <c r="H4491" s="16">
        <f t="shared" ca="1" si="78"/>
        <v>-5.4272623910234213E-2</v>
      </c>
    </row>
    <row r="4492" spans="7:8" x14ac:dyDescent="0.35">
      <c r="G4492" s="215">
        <v>4485</v>
      </c>
      <c r="H4492" s="16">
        <f t="shared" ca="1" si="78"/>
        <v>1.5358954651924273E-2</v>
      </c>
    </row>
    <row r="4493" spans="7:8" x14ac:dyDescent="0.35">
      <c r="G4493" s="215">
        <v>4486</v>
      </c>
      <c r="H4493" s="16">
        <f t="shared" ca="1" si="78"/>
        <v>2.9855720226389337E-2</v>
      </c>
    </row>
    <row r="4494" spans="7:8" x14ac:dyDescent="0.35">
      <c r="G4494" s="215">
        <v>4487</v>
      </c>
      <c r="H4494" s="16">
        <f t="shared" ca="1" si="78"/>
        <v>3.3224681486154532E-2</v>
      </c>
    </row>
    <row r="4495" spans="7:8" x14ac:dyDescent="0.35">
      <c r="G4495" s="215">
        <v>4488</v>
      </c>
      <c r="H4495" s="16">
        <f t="shared" ca="1" si="78"/>
        <v>-7.6051909086018429E-2</v>
      </c>
    </row>
    <row r="4496" spans="7:8" x14ac:dyDescent="0.35">
      <c r="G4496" s="215">
        <v>4489</v>
      </c>
      <c r="H4496" s="16">
        <f t="shared" ca="1" si="78"/>
        <v>-8.2036888851387033E-2</v>
      </c>
    </row>
    <row r="4497" spans="7:8" x14ac:dyDescent="0.35">
      <c r="G4497" s="215">
        <v>4490</v>
      </c>
      <c r="H4497" s="16">
        <f t="shared" ca="1" si="78"/>
        <v>1.7696435252272553E-3</v>
      </c>
    </row>
    <row r="4498" spans="7:8" x14ac:dyDescent="0.35">
      <c r="G4498" s="215">
        <v>4491</v>
      </c>
      <c r="H4498" s="16">
        <f t="shared" ca="1" si="78"/>
        <v>9.2490550646633085E-2</v>
      </c>
    </row>
    <row r="4499" spans="7:8" x14ac:dyDescent="0.35">
      <c r="G4499" s="215">
        <v>4492</v>
      </c>
      <c r="H4499" s="16">
        <f t="shared" ca="1" si="78"/>
        <v>6.2618106421856418E-2</v>
      </c>
    </row>
    <row r="4500" spans="7:8" x14ac:dyDescent="0.35">
      <c r="G4500" s="215">
        <v>4493</v>
      </c>
      <c r="H4500" s="16">
        <f t="shared" ca="1" si="78"/>
        <v>-6.015989065526707E-2</v>
      </c>
    </row>
    <row r="4501" spans="7:8" x14ac:dyDescent="0.35">
      <c r="G4501" s="215">
        <v>4494</v>
      </c>
      <c r="H4501" s="16">
        <f t="shared" ca="1" si="78"/>
        <v>4.639483678239447E-3</v>
      </c>
    </row>
    <row r="4502" spans="7:8" x14ac:dyDescent="0.35">
      <c r="G4502" s="215">
        <v>4495</v>
      </c>
      <c r="H4502" s="16">
        <f t="shared" ca="1" si="78"/>
        <v>1.7614585391248078E-3</v>
      </c>
    </row>
    <row r="4503" spans="7:8" x14ac:dyDescent="0.35">
      <c r="G4503" s="215">
        <v>4496</v>
      </c>
      <c r="H4503" s="16">
        <f t="shared" ca="1" si="78"/>
        <v>-5.7298494888154E-3</v>
      </c>
    </row>
    <row r="4504" spans="7:8" x14ac:dyDescent="0.35">
      <c r="G4504" s="215">
        <v>4497</v>
      </c>
      <c r="H4504" s="16">
        <f t="shared" ca="1" si="78"/>
        <v>0.14078819761655451</v>
      </c>
    </row>
    <row r="4505" spans="7:8" x14ac:dyDescent="0.35">
      <c r="G4505" s="215">
        <v>4498</v>
      </c>
      <c r="H4505" s="16">
        <f t="shared" ca="1" si="78"/>
        <v>-1.5232717090310804E-2</v>
      </c>
    </row>
    <row r="4506" spans="7:8" x14ac:dyDescent="0.35">
      <c r="G4506" s="215">
        <v>4499</v>
      </c>
      <c r="H4506" s="16">
        <f t="shared" ca="1" si="78"/>
        <v>6.4623577604747018E-2</v>
      </c>
    </row>
    <row r="4507" spans="7:8" x14ac:dyDescent="0.35">
      <c r="G4507" s="215">
        <v>4500</v>
      </c>
      <c r="H4507" s="16">
        <f t="shared" ca="1" si="78"/>
        <v>0.17568032639128336</v>
      </c>
    </row>
    <row r="4508" spans="7:8" x14ac:dyDescent="0.35">
      <c r="G4508" s="215">
        <v>4501</v>
      </c>
      <c r="H4508" s="16">
        <f t="shared" ca="1" si="78"/>
        <v>-5.1467109112030091E-2</v>
      </c>
    </row>
    <row r="4509" spans="7:8" x14ac:dyDescent="0.35">
      <c r="G4509" s="215">
        <v>4502</v>
      </c>
      <c r="H4509" s="16">
        <f t="shared" ca="1" si="78"/>
        <v>-5.7222684045370557E-3</v>
      </c>
    </row>
    <row r="4510" spans="7:8" x14ac:dyDescent="0.35">
      <c r="G4510" s="215">
        <v>4503</v>
      </c>
      <c r="H4510" s="16">
        <f t="shared" ca="1" si="78"/>
        <v>-1.8923070856211973E-2</v>
      </c>
    </row>
    <row r="4511" spans="7:8" x14ac:dyDescent="0.35">
      <c r="G4511" s="215">
        <v>4504</v>
      </c>
      <c r="H4511" s="16">
        <f t="shared" ca="1" si="78"/>
        <v>-4.7072601032453879E-2</v>
      </c>
    </row>
    <row r="4512" spans="7:8" x14ac:dyDescent="0.35">
      <c r="G4512" s="215">
        <v>4505</v>
      </c>
      <c r="H4512" s="16">
        <f t="shared" ca="1" si="78"/>
        <v>0.13017188396127607</v>
      </c>
    </row>
    <row r="4513" spans="7:8" x14ac:dyDescent="0.35">
      <c r="G4513" s="215">
        <v>4506</v>
      </c>
      <c r="H4513" s="16">
        <f t="shared" ca="1" si="78"/>
        <v>0.2340479465353672</v>
      </c>
    </row>
    <row r="4514" spans="7:8" x14ac:dyDescent="0.35">
      <c r="G4514" s="215">
        <v>4507</v>
      </c>
      <c r="H4514" s="16">
        <f t="shared" ca="1" si="78"/>
        <v>3.1323340629118471E-2</v>
      </c>
    </row>
    <row r="4515" spans="7:8" x14ac:dyDescent="0.35">
      <c r="G4515" s="215">
        <v>4508</v>
      </c>
      <c r="H4515" s="16">
        <f t="shared" ca="1" si="78"/>
        <v>4.4405066001105678E-2</v>
      </c>
    </row>
    <row r="4516" spans="7:8" x14ac:dyDescent="0.35">
      <c r="G4516" s="215">
        <v>4509</v>
      </c>
      <c r="H4516" s="16">
        <f t="shared" ca="1" si="78"/>
        <v>-0.1041215681205985</v>
      </c>
    </row>
    <row r="4517" spans="7:8" x14ac:dyDescent="0.35">
      <c r="G4517" s="215">
        <v>4510</v>
      </c>
      <c r="H4517" s="16">
        <f t="shared" ca="1" si="78"/>
        <v>8.5467694875721353E-2</v>
      </c>
    </row>
    <row r="4518" spans="7:8" x14ac:dyDescent="0.35">
      <c r="G4518" s="215">
        <v>4511</v>
      </c>
      <c r="H4518" s="16">
        <f t="shared" ca="1" si="78"/>
        <v>5.4732606189517183E-2</v>
      </c>
    </row>
    <row r="4519" spans="7:8" x14ac:dyDescent="0.35">
      <c r="G4519" s="215">
        <v>4512</v>
      </c>
      <c r="H4519" s="16">
        <f t="shared" ca="1" si="78"/>
        <v>-3.1355669141308523E-2</v>
      </c>
    </row>
    <row r="4520" spans="7:8" x14ac:dyDescent="0.35">
      <c r="G4520" s="215">
        <v>4513</v>
      </c>
      <c r="H4520" s="16">
        <f t="shared" ca="1" si="78"/>
        <v>-9.3326035521304321E-2</v>
      </c>
    </row>
    <row r="4521" spans="7:8" x14ac:dyDescent="0.35">
      <c r="G4521" s="215">
        <v>4514</v>
      </c>
      <c r="H4521" s="16">
        <f t="shared" ca="1" si="78"/>
        <v>0.10142715595444994</v>
      </c>
    </row>
    <row r="4522" spans="7:8" x14ac:dyDescent="0.35">
      <c r="G4522" s="215">
        <v>4515</v>
      </c>
      <c r="H4522" s="16">
        <f t="shared" ca="1" si="78"/>
        <v>-9.0346756591534461E-3</v>
      </c>
    </row>
    <row r="4523" spans="7:8" x14ac:dyDescent="0.35">
      <c r="G4523" s="215">
        <v>4516</v>
      </c>
      <c r="H4523" s="16">
        <f t="shared" ca="1" si="78"/>
        <v>4.7731870828123385E-2</v>
      </c>
    </row>
    <row r="4524" spans="7:8" x14ac:dyDescent="0.35">
      <c r="G4524" s="215">
        <v>4517</v>
      </c>
      <c r="H4524" s="16">
        <f t="shared" ca="1" si="78"/>
        <v>7.8277795969532542E-3</v>
      </c>
    </row>
    <row r="4525" spans="7:8" x14ac:dyDescent="0.35">
      <c r="G4525" s="215">
        <v>4518</v>
      </c>
      <c r="H4525" s="16">
        <f t="shared" ca="1" si="78"/>
        <v>0.11948976034415495</v>
      </c>
    </row>
    <row r="4526" spans="7:8" x14ac:dyDescent="0.35">
      <c r="G4526" s="215">
        <v>4519</v>
      </c>
      <c r="H4526" s="16">
        <f t="shared" ca="1" si="78"/>
        <v>5.4695085790585615E-2</v>
      </c>
    </row>
    <row r="4527" spans="7:8" x14ac:dyDescent="0.35">
      <c r="G4527" s="215">
        <v>4520</v>
      </c>
      <c r="H4527" s="16">
        <f t="shared" ca="1" si="78"/>
        <v>5.6343474577361011E-2</v>
      </c>
    </row>
    <row r="4528" spans="7:8" x14ac:dyDescent="0.35">
      <c r="G4528" s="215">
        <v>4521</v>
      </c>
      <c r="H4528" s="16">
        <f t="shared" ca="1" si="78"/>
        <v>5.3511490600297723E-2</v>
      </c>
    </row>
    <row r="4529" spans="7:8" x14ac:dyDescent="0.35">
      <c r="G4529" s="215">
        <v>4522</v>
      </c>
      <c r="H4529" s="16">
        <f t="shared" ca="1" si="78"/>
        <v>-1.2250654779602251E-2</v>
      </c>
    </row>
    <row r="4530" spans="7:8" x14ac:dyDescent="0.35">
      <c r="G4530" s="215">
        <v>4523</v>
      </c>
      <c r="H4530" s="16">
        <f t="shared" ca="1" si="78"/>
        <v>9.023180783545004E-2</v>
      </c>
    </row>
    <row r="4531" spans="7:8" x14ac:dyDescent="0.35">
      <c r="G4531" s="215">
        <v>4524</v>
      </c>
      <c r="H4531" s="16">
        <f t="shared" ca="1" si="78"/>
        <v>7.2097795673911794E-2</v>
      </c>
    </row>
    <row r="4532" spans="7:8" x14ac:dyDescent="0.35">
      <c r="G4532" s="215">
        <v>4525</v>
      </c>
      <c r="H4532" s="16">
        <f t="shared" ca="1" si="78"/>
        <v>2.9712285693200738E-2</v>
      </c>
    </row>
    <row r="4533" spans="7:8" x14ac:dyDescent="0.35">
      <c r="G4533" s="215">
        <v>4526</v>
      </c>
      <c r="H4533" s="16">
        <f t="shared" ca="1" si="78"/>
        <v>-5.7375877683149779E-2</v>
      </c>
    </row>
    <row r="4534" spans="7:8" x14ac:dyDescent="0.35">
      <c r="G4534" s="215">
        <v>4527</v>
      </c>
      <c r="H4534" s="16">
        <f t="shared" ca="1" si="78"/>
        <v>-3.6640991126627748E-2</v>
      </c>
    </row>
    <row r="4535" spans="7:8" x14ac:dyDescent="0.35">
      <c r="G4535" s="215">
        <v>4528</v>
      </c>
      <c r="H4535" s="16">
        <f t="shared" ca="1" si="78"/>
        <v>-8.7425271357232555E-3</v>
      </c>
    </row>
    <row r="4536" spans="7:8" x14ac:dyDescent="0.35">
      <c r="G4536" s="215">
        <v>4529</v>
      </c>
      <c r="H4536" s="16">
        <f t="shared" ca="1" si="78"/>
        <v>-0.10093904522856025</v>
      </c>
    </row>
    <row r="4537" spans="7:8" x14ac:dyDescent="0.35">
      <c r="G4537" s="215">
        <v>4530</v>
      </c>
      <c r="H4537" s="16">
        <f t="shared" ca="1" si="78"/>
        <v>0.20550764934366256</v>
      </c>
    </row>
    <row r="4538" spans="7:8" x14ac:dyDescent="0.35">
      <c r="G4538" s="215">
        <v>4531</v>
      </c>
      <c r="H4538" s="16">
        <f t="shared" ca="1" si="78"/>
        <v>-5.7798556345401222E-3</v>
      </c>
    </row>
    <row r="4539" spans="7:8" x14ac:dyDescent="0.35">
      <c r="G4539" s="215">
        <v>4532</v>
      </c>
      <c r="H4539" s="16">
        <f t="shared" ca="1" si="78"/>
        <v>0.10304645471480134</v>
      </c>
    </row>
    <row r="4540" spans="7:8" x14ac:dyDescent="0.35">
      <c r="G4540" s="215">
        <v>4533</v>
      </c>
      <c r="H4540" s="16">
        <f t="shared" ca="1" si="78"/>
        <v>-2.3329822290855496E-2</v>
      </c>
    </row>
    <row r="4541" spans="7:8" x14ac:dyDescent="0.35">
      <c r="G4541" s="215">
        <v>4534</v>
      </c>
      <c r="H4541" s="16">
        <f t="shared" ca="1" si="78"/>
        <v>-6.029858247052565E-2</v>
      </c>
    </row>
    <row r="4542" spans="7:8" x14ac:dyDescent="0.35">
      <c r="G4542" s="215">
        <v>4535</v>
      </c>
      <c r="H4542" s="16">
        <f t="shared" ca="1" si="78"/>
        <v>0.10306317288571985</v>
      </c>
    </row>
    <row r="4543" spans="7:8" x14ac:dyDescent="0.35">
      <c r="G4543" s="215">
        <v>4536</v>
      </c>
      <c r="H4543" s="16">
        <f t="shared" ca="1" si="78"/>
        <v>5.5615520691908241E-2</v>
      </c>
    </row>
    <row r="4544" spans="7:8" x14ac:dyDescent="0.35">
      <c r="G4544" s="215">
        <v>4537</v>
      </c>
      <c r="H4544" s="16">
        <f t="shared" ca="1" si="78"/>
        <v>-1.5692872783790394E-3</v>
      </c>
    </row>
    <row r="4545" spans="7:8" x14ac:dyDescent="0.35">
      <c r="G4545" s="215">
        <v>4538</v>
      </c>
      <c r="H4545" s="16">
        <f t="shared" ca="1" si="78"/>
        <v>-1.3097384194574183E-2</v>
      </c>
    </row>
    <row r="4546" spans="7:8" x14ac:dyDescent="0.35">
      <c r="G4546" s="215">
        <v>4539</v>
      </c>
      <c r="H4546" s="16">
        <f t="shared" ca="1" si="78"/>
        <v>-7.9693840939647084E-2</v>
      </c>
    </row>
    <row r="4547" spans="7:8" x14ac:dyDescent="0.35">
      <c r="G4547" s="215">
        <v>4540</v>
      </c>
      <c r="H4547" s="16">
        <f t="shared" ca="1" si="78"/>
        <v>9.5095171542943641E-2</v>
      </c>
    </row>
    <row r="4548" spans="7:8" x14ac:dyDescent="0.35">
      <c r="G4548" s="215">
        <v>4541</v>
      </c>
      <c r="H4548" s="16">
        <f t="shared" ca="1" si="78"/>
        <v>-0.12030670825369122</v>
      </c>
    </row>
    <row r="4549" spans="7:8" x14ac:dyDescent="0.35">
      <c r="G4549" s="215">
        <v>4542</v>
      </c>
      <c r="H4549" s="16">
        <f t="shared" ca="1" si="78"/>
        <v>4.7787402728152392E-2</v>
      </c>
    </row>
    <row r="4550" spans="7:8" x14ac:dyDescent="0.35">
      <c r="G4550" s="215">
        <v>4543</v>
      </c>
      <c r="H4550" s="16">
        <f t="shared" ca="1" si="78"/>
        <v>-5.2471165959095997E-2</v>
      </c>
    </row>
    <row r="4551" spans="7:8" x14ac:dyDescent="0.35">
      <c r="G4551" s="215">
        <v>4544</v>
      </c>
      <c r="H4551" s="16">
        <f t="shared" ca="1" si="78"/>
        <v>3.4067657712139168E-2</v>
      </c>
    </row>
    <row r="4552" spans="7:8" x14ac:dyDescent="0.35">
      <c r="G4552" s="215">
        <v>4545</v>
      </c>
      <c r="H4552" s="16">
        <f t="shared" ref="H4552:H4615" ca="1" si="79">_xlfn.NORM.INV(RAND(),M$10,M$11)</f>
        <v>-5.8637991980237766E-2</v>
      </c>
    </row>
    <row r="4553" spans="7:8" x14ac:dyDescent="0.35">
      <c r="G4553" s="215">
        <v>4546</v>
      </c>
      <c r="H4553" s="16">
        <f t="shared" ca="1" si="79"/>
        <v>0.13005792218135653</v>
      </c>
    </row>
    <row r="4554" spans="7:8" x14ac:dyDescent="0.35">
      <c r="G4554" s="215">
        <v>4547</v>
      </c>
      <c r="H4554" s="16">
        <f t="shared" ca="1" si="79"/>
        <v>5.8336091735987042E-2</v>
      </c>
    </row>
    <row r="4555" spans="7:8" x14ac:dyDescent="0.35">
      <c r="G4555" s="215">
        <v>4548</v>
      </c>
      <c r="H4555" s="16">
        <f t="shared" ca="1" si="79"/>
        <v>-5.9811987565710836E-3</v>
      </c>
    </row>
    <row r="4556" spans="7:8" x14ac:dyDescent="0.35">
      <c r="G4556" s="215">
        <v>4549</v>
      </c>
      <c r="H4556" s="16">
        <f t="shared" ca="1" si="79"/>
        <v>0.10021422199383585</v>
      </c>
    </row>
    <row r="4557" spans="7:8" x14ac:dyDescent="0.35">
      <c r="G4557" s="215">
        <v>4550</v>
      </c>
      <c r="H4557" s="16">
        <f t="shared" ca="1" si="79"/>
        <v>5.0723912188667217E-2</v>
      </c>
    </row>
    <row r="4558" spans="7:8" x14ac:dyDescent="0.35">
      <c r="G4558" s="215">
        <v>4551</v>
      </c>
      <c r="H4558" s="16">
        <f t="shared" ca="1" si="79"/>
        <v>4.6726392352765267E-4</v>
      </c>
    </row>
    <row r="4559" spans="7:8" x14ac:dyDescent="0.35">
      <c r="G4559" s="215">
        <v>4552</v>
      </c>
      <c r="H4559" s="16">
        <f t="shared" ca="1" si="79"/>
        <v>2.5796876629267523E-2</v>
      </c>
    </row>
    <row r="4560" spans="7:8" x14ac:dyDescent="0.35">
      <c r="G4560" s="215">
        <v>4553</v>
      </c>
      <c r="H4560" s="16">
        <f t="shared" ca="1" si="79"/>
        <v>-3.9457321819858115E-2</v>
      </c>
    </row>
    <row r="4561" spans="7:8" x14ac:dyDescent="0.35">
      <c r="G4561" s="215">
        <v>4554</v>
      </c>
      <c r="H4561" s="16">
        <f t="shared" ca="1" si="79"/>
        <v>1.5149705178510218E-2</v>
      </c>
    </row>
    <row r="4562" spans="7:8" x14ac:dyDescent="0.35">
      <c r="G4562" s="215">
        <v>4555</v>
      </c>
      <c r="H4562" s="16">
        <f t="shared" ca="1" si="79"/>
        <v>5.3263484349975562E-2</v>
      </c>
    </row>
    <row r="4563" spans="7:8" x14ac:dyDescent="0.35">
      <c r="G4563" s="215">
        <v>4556</v>
      </c>
      <c r="H4563" s="16">
        <f t="shared" ca="1" si="79"/>
        <v>1.0134448625690337E-2</v>
      </c>
    </row>
    <row r="4564" spans="7:8" x14ac:dyDescent="0.35">
      <c r="G4564" s="215">
        <v>4557</v>
      </c>
      <c r="H4564" s="16">
        <f t="shared" ca="1" si="79"/>
        <v>-2.875257736125544E-2</v>
      </c>
    </row>
    <row r="4565" spans="7:8" x14ac:dyDescent="0.35">
      <c r="G4565" s="215">
        <v>4558</v>
      </c>
      <c r="H4565" s="16">
        <f t="shared" ca="1" si="79"/>
        <v>8.2242449225771883E-2</v>
      </c>
    </row>
    <row r="4566" spans="7:8" x14ac:dyDescent="0.35">
      <c r="G4566" s="215">
        <v>4559</v>
      </c>
      <c r="H4566" s="16">
        <f t="shared" ca="1" si="79"/>
        <v>-0.11280671955034227</v>
      </c>
    </row>
    <row r="4567" spans="7:8" x14ac:dyDescent="0.35">
      <c r="G4567" s="215">
        <v>4560</v>
      </c>
      <c r="H4567" s="16">
        <f t="shared" ca="1" si="79"/>
        <v>1.6780493881266029E-3</v>
      </c>
    </row>
    <row r="4568" spans="7:8" x14ac:dyDescent="0.35">
      <c r="G4568" s="215">
        <v>4561</v>
      </c>
      <c r="H4568" s="16">
        <f t="shared" ca="1" si="79"/>
        <v>-0.1104421327839077</v>
      </c>
    </row>
    <row r="4569" spans="7:8" x14ac:dyDescent="0.35">
      <c r="G4569" s="215">
        <v>4562</v>
      </c>
      <c r="H4569" s="16">
        <f t="shared" ca="1" si="79"/>
        <v>2.2808307159567907E-2</v>
      </c>
    </row>
    <row r="4570" spans="7:8" x14ac:dyDescent="0.35">
      <c r="G4570" s="215">
        <v>4563</v>
      </c>
      <c r="H4570" s="16">
        <f t="shared" ca="1" si="79"/>
        <v>1.4933063921312301E-2</v>
      </c>
    </row>
    <row r="4571" spans="7:8" x14ac:dyDescent="0.35">
      <c r="G4571" s="215">
        <v>4564</v>
      </c>
      <c r="H4571" s="16">
        <f t="shared" ca="1" si="79"/>
        <v>6.765443773466194E-2</v>
      </c>
    </row>
    <row r="4572" spans="7:8" x14ac:dyDescent="0.35">
      <c r="G4572" s="215">
        <v>4565</v>
      </c>
      <c r="H4572" s="16">
        <f t="shared" ca="1" si="79"/>
        <v>6.1235086928331864E-2</v>
      </c>
    </row>
    <row r="4573" spans="7:8" x14ac:dyDescent="0.35">
      <c r="G4573" s="215">
        <v>4566</v>
      </c>
      <c r="H4573" s="16">
        <f t="shared" ca="1" si="79"/>
        <v>6.7188143066057554E-2</v>
      </c>
    </row>
    <row r="4574" spans="7:8" x14ac:dyDescent="0.35">
      <c r="G4574" s="215">
        <v>4567</v>
      </c>
      <c r="H4574" s="16">
        <f t="shared" ca="1" si="79"/>
        <v>-5.6230657013009319E-2</v>
      </c>
    </row>
    <row r="4575" spans="7:8" x14ac:dyDescent="0.35">
      <c r="G4575" s="215">
        <v>4568</v>
      </c>
      <c r="H4575" s="16">
        <f t="shared" ca="1" si="79"/>
        <v>1.9324015075780975E-2</v>
      </c>
    </row>
    <row r="4576" spans="7:8" x14ac:dyDescent="0.35">
      <c r="G4576" s="215">
        <v>4569</v>
      </c>
      <c r="H4576" s="16">
        <f t="shared" ca="1" si="79"/>
        <v>0.13706778205468453</v>
      </c>
    </row>
    <row r="4577" spans="7:8" x14ac:dyDescent="0.35">
      <c r="G4577" s="215">
        <v>4570</v>
      </c>
      <c r="H4577" s="16">
        <f t="shared" ca="1" si="79"/>
        <v>4.1022051777307708E-2</v>
      </c>
    </row>
    <row r="4578" spans="7:8" x14ac:dyDescent="0.35">
      <c r="G4578" s="215">
        <v>4571</v>
      </c>
      <c r="H4578" s="16">
        <f t="shared" ca="1" si="79"/>
        <v>-2.9483445316902199E-2</v>
      </c>
    </row>
    <row r="4579" spans="7:8" x14ac:dyDescent="0.35">
      <c r="G4579" s="215">
        <v>4572</v>
      </c>
      <c r="H4579" s="16">
        <f t="shared" ca="1" si="79"/>
        <v>9.0764094312953125E-2</v>
      </c>
    </row>
    <row r="4580" spans="7:8" x14ac:dyDescent="0.35">
      <c r="G4580" s="215">
        <v>4573</v>
      </c>
      <c r="H4580" s="16">
        <f t="shared" ca="1" si="79"/>
        <v>-9.4434052876949406E-2</v>
      </c>
    </row>
    <row r="4581" spans="7:8" x14ac:dyDescent="0.35">
      <c r="G4581" s="215">
        <v>4574</v>
      </c>
      <c r="H4581" s="16">
        <f t="shared" ca="1" si="79"/>
        <v>1.1947671932854677E-2</v>
      </c>
    </row>
    <row r="4582" spans="7:8" x14ac:dyDescent="0.35">
      <c r="G4582" s="215">
        <v>4575</v>
      </c>
      <c r="H4582" s="16">
        <f t="shared" ca="1" si="79"/>
        <v>-8.3930902309341422E-4</v>
      </c>
    </row>
    <row r="4583" spans="7:8" x14ac:dyDescent="0.35">
      <c r="G4583" s="215">
        <v>4576</v>
      </c>
      <c r="H4583" s="16">
        <f t="shared" ca="1" si="79"/>
        <v>2.9991127521318686E-2</v>
      </c>
    </row>
    <row r="4584" spans="7:8" x14ac:dyDescent="0.35">
      <c r="G4584" s="215">
        <v>4577</v>
      </c>
      <c r="H4584" s="16">
        <f t="shared" ca="1" si="79"/>
        <v>5.591368139622608E-3</v>
      </c>
    </row>
    <row r="4585" spans="7:8" x14ac:dyDescent="0.35">
      <c r="G4585" s="215">
        <v>4578</v>
      </c>
      <c r="H4585" s="16">
        <f t="shared" ca="1" si="79"/>
        <v>1.3059162978653088E-2</v>
      </c>
    </row>
    <row r="4586" spans="7:8" x14ac:dyDescent="0.35">
      <c r="G4586" s="215">
        <v>4579</v>
      </c>
      <c r="H4586" s="16">
        <f t="shared" ca="1" si="79"/>
        <v>3.0865624465464554E-3</v>
      </c>
    </row>
    <row r="4587" spans="7:8" x14ac:dyDescent="0.35">
      <c r="G4587" s="215">
        <v>4580</v>
      </c>
      <c r="H4587" s="16">
        <f t="shared" ca="1" si="79"/>
        <v>-0.11350658217158865</v>
      </c>
    </row>
    <row r="4588" spans="7:8" x14ac:dyDescent="0.35">
      <c r="G4588" s="215">
        <v>4581</v>
      </c>
      <c r="H4588" s="16">
        <f t="shared" ca="1" si="79"/>
        <v>8.5012540511269413E-2</v>
      </c>
    </row>
    <row r="4589" spans="7:8" x14ac:dyDescent="0.35">
      <c r="G4589" s="215">
        <v>4582</v>
      </c>
      <c r="H4589" s="16">
        <f t="shared" ca="1" si="79"/>
        <v>0.11955480389733601</v>
      </c>
    </row>
    <row r="4590" spans="7:8" x14ac:dyDescent="0.35">
      <c r="G4590" s="215">
        <v>4583</v>
      </c>
      <c r="H4590" s="16">
        <f t="shared" ca="1" si="79"/>
        <v>2.2019866569330335E-3</v>
      </c>
    </row>
    <row r="4591" spans="7:8" x14ac:dyDescent="0.35">
      <c r="G4591" s="215">
        <v>4584</v>
      </c>
      <c r="H4591" s="16">
        <f t="shared" ca="1" si="79"/>
        <v>4.1562783907441239E-2</v>
      </c>
    </row>
    <row r="4592" spans="7:8" x14ac:dyDescent="0.35">
      <c r="G4592" s="215">
        <v>4585</v>
      </c>
      <c r="H4592" s="16">
        <f t="shared" ca="1" si="79"/>
        <v>0.15006566575659241</v>
      </c>
    </row>
    <row r="4593" spans="7:8" x14ac:dyDescent="0.35">
      <c r="G4593" s="215">
        <v>4586</v>
      </c>
      <c r="H4593" s="16">
        <f t="shared" ca="1" si="79"/>
        <v>1.6252632360225731E-2</v>
      </c>
    </row>
    <row r="4594" spans="7:8" x14ac:dyDescent="0.35">
      <c r="G4594" s="215">
        <v>4587</v>
      </c>
      <c r="H4594" s="16">
        <f t="shared" ca="1" si="79"/>
        <v>5.5972912201270486E-2</v>
      </c>
    </row>
    <row r="4595" spans="7:8" x14ac:dyDescent="0.35">
      <c r="G4595" s="215">
        <v>4588</v>
      </c>
      <c r="H4595" s="16">
        <f t="shared" ca="1" si="79"/>
        <v>-2.6098727262150238E-2</v>
      </c>
    </row>
    <row r="4596" spans="7:8" x14ac:dyDescent="0.35">
      <c r="G4596" s="215">
        <v>4589</v>
      </c>
      <c r="H4596" s="16">
        <f t="shared" ca="1" si="79"/>
        <v>-0.12554724620054991</v>
      </c>
    </row>
    <row r="4597" spans="7:8" x14ac:dyDescent="0.35">
      <c r="G4597" s="215">
        <v>4590</v>
      </c>
      <c r="H4597" s="16">
        <f t="shared" ca="1" si="79"/>
        <v>2.4432767395547939E-2</v>
      </c>
    </row>
    <row r="4598" spans="7:8" x14ac:dyDescent="0.35">
      <c r="G4598" s="215">
        <v>4591</v>
      </c>
      <c r="H4598" s="16">
        <f t="shared" ca="1" si="79"/>
        <v>-0.10540981614100235</v>
      </c>
    </row>
    <row r="4599" spans="7:8" x14ac:dyDescent="0.35">
      <c r="G4599" s="215">
        <v>4592</v>
      </c>
      <c r="H4599" s="16">
        <f t="shared" ca="1" si="79"/>
        <v>-0.14922062770143918</v>
      </c>
    </row>
    <row r="4600" spans="7:8" x14ac:dyDescent="0.35">
      <c r="G4600" s="215">
        <v>4593</v>
      </c>
      <c r="H4600" s="16">
        <f t="shared" ca="1" si="79"/>
        <v>1.0459691545069328E-2</v>
      </c>
    </row>
    <row r="4601" spans="7:8" x14ac:dyDescent="0.35">
      <c r="G4601" s="215">
        <v>4594</v>
      </c>
      <c r="H4601" s="16">
        <f t="shared" ca="1" si="79"/>
        <v>-5.6894291200211888E-2</v>
      </c>
    </row>
    <row r="4602" spans="7:8" x14ac:dyDescent="0.35">
      <c r="G4602" s="215">
        <v>4595</v>
      </c>
      <c r="H4602" s="16">
        <f t="shared" ca="1" si="79"/>
        <v>3.9632178480656546E-2</v>
      </c>
    </row>
    <row r="4603" spans="7:8" x14ac:dyDescent="0.35">
      <c r="G4603" s="215">
        <v>4596</v>
      </c>
      <c r="H4603" s="16">
        <f t="shared" ca="1" si="79"/>
        <v>-2.4323194408570479E-2</v>
      </c>
    </row>
    <row r="4604" spans="7:8" x14ac:dyDescent="0.35">
      <c r="G4604" s="215">
        <v>4597</v>
      </c>
      <c r="H4604" s="16">
        <f t="shared" ca="1" si="79"/>
        <v>-1.3177872103270875E-2</v>
      </c>
    </row>
    <row r="4605" spans="7:8" x14ac:dyDescent="0.35">
      <c r="G4605" s="215">
        <v>4598</v>
      </c>
      <c r="H4605" s="16">
        <f t="shared" ca="1" si="79"/>
        <v>4.7019023466351714E-2</v>
      </c>
    </row>
    <row r="4606" spans="7:8" x14ac:dyDescent="0.35">
      <c r="G4606" s="215">
        <v>4599</v>
      </c>
      <c r="H4606" s="16">
        <f t="shared" ca="1" si="79"/>
        <v>7.7974654861327389E-2</v>
      </c>
    </row>
    <row r="4607" spans="7:8" x14ac:dyDescent="0.35">
      <c r="G4607" s="215">
        <v>4600</v>
      </c>
      <c r="H4607" s="16">
        <f t="shared" ca="1" si="79"/>
        <v>-7.6915205549953736E-2</v>
      </c>
    </row>
    <row r="4608" spans="7:8" x14ac:dyDescent="0.35">
      <c r="G4608" s="215">
        <v>4601</v>
      </c>
      <c r="H4608" s="16">
        <f t="shared" ca="1" si="79"/>
        <v>4.7711594836912868E-2</v>
      </c>
    </row>
    <row r="4609" spans="7:8" x14ac:dyDescent="0.35">
      <c r="G4609" s="215">
        <v>4602</v>
      </c>
      <c r="H4609" s="16">
        <f t="shared" ca="1" si="79"/>
        <v>2.2875276847213438E-2</v>
      </c>
    </row>
    <row r="4610" spans="7:8" x14ac:dyDescent="0.35">
      <c r="G4610" s="215">
        <v>4603</v>
      </c>
      <c r="H4610" s="16">
        <f t="shared" ca="1" si="79"/>
        <v>-2.6630525336551424E-2</v>
      </c>
    </row>
    <row r="4611" spans="7:8" x14ac:dyDescent="0.35">
      <c r="G4611" s="215">
        <v>4604</v>
      </c>
      <c r="H4611" s="16">
        <f t="shared" ca="1" si="79"/>
        <v>-1.4025779066882009E-2</v>
      </c>
    </row>
    <row r="4612" spans="7:8" x14ac:dyDescent="0.35">
      <c r="G4612" s="215">
        <v>4605</v>
      </c>
      <c r="H4612" s="16">
        <f t="shared" ca="1" si="79"/>
        <v>5.5239221019742296E-2</v>
      </c>
    </row>
    <row r="4613" spans="7:8" x14ac:dyDescent="0.35">
      <c r="G4613" s="215">
        <v>4606</v>
      </c>
      <c r="H4613" s="16">
        <f t="shared" ca="1" si="79"/>
        <v>5.0593250366058481E-2</v>
      </c>
    </row>
    <row r="4614" spans="7:8" x14ac:dyDescent="0.35">
      <c r="G4614" s="215">
        <v>4607</v>
      </c>
      <c r="H4614" s="16">
        <f t="shared" ca="1" si="79"/>
        <v>-6.7834139392523488E-2</v>
      </c>
    </row>
    <row r="4615" spans="7:8" x14ac:dyDescent="0.35">
      <c r="G4615" s="215">
        <v>4608</v>
      </c>
      <c r="H4615" s="16">
        <f t="shared" ca="1" si="79"/>
        <v>1.7137991646020062E-2</v>
      </c>
    </row>
    <row r="4616" spans="7:8" x14ac:dyDescent="0.35">
      <c r="G4616" s="215">
        <v>4609</v>
      </c>
      <c r="H4616" s="16">
        <f t="shared" ref="H4616:H4679" ca="1" si="80">_xlfn.NORM.INV(RAND(),M$10,M$11)</f>
        <v>-0.11741830006594128</v>
      </c>
    </row>
    <row r="4617" spans="7:8" x14ac:dyDescent="0.35">
      <c r="G4617" s="215">
        <v>4610</v>
      </c>
      <c r="H4617" s="16">
        <f t="shared" ca="1" si="80"/>
        <v>0.12650879847358962</v>
      </c>
    </row>
    <row r="4618" spans="7:8" x14ac:dyDescent="0.35">
      <c r="G4618" s="215">
        <v>4611</v>
      </c>
      <c r="H4618" s="16">
        <f t="shared" ca="1" si="80"/>
        <v>-7.2319179312520077E-2</v>
      </c>
    </row>
    <row r="4619" spans="7:8" x14ac:dyDescent="0.35">
      <c r="G4619" s="215">
        <v>4612</v>
      </c>
      <c r="H4619" s="16">
        <f t="shared" ca="1" si="80"/>
        <v>7.3178183461362553E-2</v>
      </c>
    </row>
    <row r="4620" spans="7:8" x14ac:dyDescent="0.35">
      <c r="G4620" s="215">
        <v>4613</v>
      </c>
      <c r="H4620" s="16">
        <f t="shared" ca="1" si="80"/>
        <v>4.9335373123096642E-3</v>
      </c>
    </row>
    <row r="4621" spans="7:8" x14ac:dyDescent="0.35">
      <c r="G4621" s="215">
        <v>4614</v>
      </c>
      <c r="H4621" s="16">
        <f t="shared" ca="1" si="80"/>
        <v>5.8492974119278507E-2</v>
      </c>
    </row>
    <row r="4622" spans="7:8" x14ac:dyDescent="0.35">
      <c r="G4622" s="215">
        <v>4615</v>
      </c>
      <c r="H4622" s="16">
        <f t="shared" ca="1" si="80"/>
        <v>5.7505671339445064E-2</v>
      </c>
    </row>
    <row r="4623" spans="7:8" x14ac:dyDescent="0.35">
      <c r="G4623" s="215">
        <v>4616</v>
      </c>
      <c r="H4623" s="16">
        <f t="shared" ca="1" si="80"/>
        <v>-2.7529715180067502E-3</v>
      </c>
    </row>
    <row r="4624" spans="7:8" x14ac:dyDescent="0.35">
      <c r="G4624" s="215">
        <v>4617</v>
      </c>
      <c r="H4624" s="16">
        <f t="shared" ca="1" si="80"/>
        <v>-3.0882991356708144E-2</v>
      </c>
    </row>
    <row r="4625" spans="7:8" x14ac:dyDescent="0.35">
      <c r="G4625" s="215">
        <v>4618</v>
      </c>
      <c r="H4625" s="16">
        <f t="shared" ca="1" si="80"/>
        <v>-0.12643624591244684</v>
      </c>
    </row>
    <row r="4626" spans="7:8" x14ac:dyDescent="0.35">
      <c r="G4626" s="215">
        <v>4619</v>
      </c>
      <c r="H4626" s="16">
        <f t="shared" ca="1" si="80"/>
        <v>1.6998769324049992E-2</v>
      </c>
    </row>
    <row r="4627" spans="7:8" x14ac:dyDescent="0.35">
      <c r="G4627" s="215">
        <v>4620</v>
      </c>
      <c r="H4627" s="16">
        <f t="shared" ca="1" si="80"/>
        <v>7.6050017213268456E-2</v>
      </c>
    </row>
    <row r="4628" spans="7:8" x14ac:dyDescent="0.35">
      <c r="G4628" s="215">
        <v>4621</v>
      </c>
      <c r="H4628" s="16">
        <f t="shared" ca="1" si="80"/>
        <v>1.3160160698971416E-2</v>
      </c>
    </row>
    <row r="4629" spans="7:8" x14ac:dyDescent="0.35">
      <c r="G4629" s="215">
        <v>4622</v>
      </c>
      <c r="H4629" s="16">
        <f t="shared" ca="1" si="80"/>
        <v>0.19230049874237437</v>
      </c>
    </row>
    <row r="4630" spans="7:8" x14ac:dyDescent="0.35">
      <c r="G4630" s="215">
        <v>4623</v>
      </c>
      <c r="H4630" s="16">
        <f t="shared" ca="1" si="80"/>
        <v>-2.1675893188139218E-2</v>
      </c>
    </row>
    <row r="4631" spans="7:8" x14ac:dyDescent="0.35">
      <c r="G4631" s="215">
        <v>4624</v>
      </c>
      <c r="H4631" s="16">
        <f t="shared" ca="1" si="80"/>
        <v>-3.8669239366840802E-2</v>
      </c>
    </row>
    <row r="4632" spans="7:8" x14ac:dyDescent="0.35">
      <c r="G4632" s="215">
        <v>4625</v>
      </c>
      <c r="H4632" s="16">
        <f t="shared" ca="1" si="80"/>
        <v>-1.1997192020320291E-2</v>
      </c>
    </row>
    <row r="4633" spans="7:8" x14ac:dyDescent="0.35">
      <c r="G4633" s="215">
        <v>4626</v>
      </c>
      <c r="H4633" s="16">
        <f t="shared" ca="1" si="80"/>
        <v>5.7187428358969936E-2</v>
      </c>
    </row>
    <row r="4634" spans="7:8" x14ac:dyDescent="0.35">
      <c r="G4634" s="215">
        <v>4627</v>
      </c>
      <c r="H4634" s="16">
        <f t="shared" ca="1" si="80"/>
        <v>-6.2240315764916371E-2</v>
      </c>
    </row>
    <row r="4635" spans="7:8" x14ac:dyDescent="0.35">
      <c r="G4635" s="215">
        <v>4628</v>
      </c>
      <c r="H4635" s="16">
        <f t="shared" ca="1" si="80"/>
        <v>-6.5884850339632539E-3</v>
      </c>
    </row>
    <row r="4636" spans="7:8" x14ac:dyDescent="0.35">
      <c r="G4636" s="215">
        <v>4629</v>
      </c>
      <c r="H4636" s="16">
        <f t="shared" ca="1" si="80"/>
        <v>2.2825906316456319E-2</v>
      </c>
    </row>
    <row r="4637" spans="7:8" x14ac:dyDescent="0.35">
      <c r="G4637" s="215">
        <v>4630</v>
      </c>
      <c r="H4637" s="16">
        <f t="shared" ca="1" si="80"/>
        <v>8.5406730717857079E-2</v>
      </c>
    </row>
    <row r="4638" spans="7:8" x14ac:dyDescent="0.35">
      <c r="G4638" s="215">
        <v>4631</v>
      </c>
      <c r="H4638" s="16">
        <f t="shared" ca="1" si="80"/>
        <v>-9.082863052273317E-2</v>
      </c>
    </row>
    <row r="4639" spans="7:8" x14ac:dyDescent="0.35">
      <c r="G4639" s="215">
        <v>4632</v>
      </c>
      <c r="H4639" s="16">
        <f t="shared" ca="1" si="80"/>
        <v>-5.1614048697632281E-2</v>
      </c>
    </row>
    <row r="4640" spans="7:8" x14ac:dyDescent="0.35">
      <c r="G4640" s="215">
        <v>4633</v>
      </c>
      <c r="H4640" s="16">
        <f t="shared" ca="1" si="80"/>
        <v>-5.5245316004791434E-2</v>
      </c>
    </row>
    <row r="4641" spans="7:8" x14ac:dyDescent="0.35">
      <c r="G4641" s="215">
        <v>4634</v>
      </c>
      <c r="H4641" s="16">
        <f t="shared" ca="1" si="80"/>
        <v>-5.7286657006851177E-2</v>
      </c>
    </row>
    <row r="4642" spans="7:8" x14ac:dyDescent="0.35">
      <c r="G4642" s="215">
        <v>4635</v>
      </c>
      <c r="H4642" s="16">
        <f t="shared" ca="1" si="80"/>
        <v>3.2693401707040166E-2</v>
      </c>
    </row>
    <row r="4643" spans="7:8" x14ac:dyDescent="0.35">
      <c r="G4643" s="215">
        <v>4636</v>
      </c>
      <c r="H4643" s="16">
        <f t="shared" ca="1" si="80"/>
        <v>8.287653430321576E-3</v>
      </c>
    </row>
    <row r="4644" spans="7:8" x14ac:dyDescent="0.35">
      <c r="G4644" s="215">
        <v>4637</v>
      </c>
      <c r="H4644" s="16">
        <f t="shared" ca="1" si="80"/>
        <v>1.4897599927405702E-2</v>
      </c>
    </row>
    <row r="4645" spans="7:8" x14ac:dyDescent="0.35">
      <c r="G4645" s="215">
        <v>4638</v>
      </c>
      <c r="H4645" s="16">
        <f t="shared" ca="1" si="80"/>
        <v>-4.9523927353002692E-2</v>
      </c>
    </row>
    <row r="4646" spans="7:8" x14ac:dyDescent="0.35">
      <c r="G4646" s="215">
        <v>4639</v>
      </c>
      <c r="H4646" s="16">
        <f t="shared" ca="1" si="80"/>
        <v>-2.6000834688230719E-2</v>
      </c>
    </row>
    <row r="4647" spans="7:8" x14ac:dyDescent="0.35">
      <c r="G4647" s="215">
        <v>4640</v>
      </c>
      <c r="H4647" s="16">
        <f t="shared" ca="1" si="80"/>
        <v>-2.6073139346350058E-2</v>
      </c>
    </row>
    <row r="4648" spans="7:8" x14ac:dyDescent="0.35">
      <c r="G4648" s="215">
        <v>4641</v>
      </c>
      <c r="H4648" s="16">
        <f t="shared" ca="1" si="80"/>
        <v>-7.232218417104537E-2</v>
      </c>
    </row>
    <row r="4649" spans="7:8" x14ac:dyDescent="0.35">
      <c r="G4649" s="215">
        <v>4642</v>
      </c>
      <c r="H4649" s="16">
        <f t="shared" ca="1" si="80"/>
        <v>-0.10283445839248231</v>
      </c>
    </row>
    <row r="4650" spans="7:8" x14ac:dyDescent="0.35">
      <c r="G4650" s="215">
        <v>4643</v>
      </c>
      <c r="H4650" s="16">
        <f t="shared" ca="1" si="80"/>
        <v>5.9792251057023835E-2</v>
      </c>
    </row>
    <row r="4651" spans="7:8" x14ac:dyDescent="0.35">
      <c r="G4651" s="215">
        <v>4644</v>
      </c>
      <c r="H4651" s="16">
        <f t="shared" ca="1" si="80"/>
        <v>-2.7351679088612749E-2</v>
      </c>
    </row>
    <row r="4652" spans="7:8" x14ac:dyDescent="0.35">
      <c r="G4652" s="215">
        <v>4645</v>
      </c>
      <c r="H4652" s="16">
        <f t="shared" ca="1" si="80"/>
        <v>-4.4099586628060669E-2</v>
      </c>
    </row>
    <row r="4653" spans="7:8" x14ac:dyDescent="0.35">
      <c r="G4653" s="215">
        <v>4646</v>
      </c>
      <c r="H4653" s="16">
        <f t="shared" ca="1" si="80"/>
        <v>-1.5787746098443644E-2</v>
      </c>
    </row>
    <row r="4654" spans="7:8" x14ac:dyDescent="0.35">
      <c r="G4654" s="215">
        <v>4647</v>
      </c>
      <c r="H4654" s="16">
        <f t="shared" ca="1" si="80"/>
        <v>-0.12193036890778186</v>
      </c>
    </row>
    <row r="4655" spans="7:8" x14ac:dyDescent="0.35">
      <c r="G4655" s="215">
        <v>4648</v>
      </c>
      <c r="H4655" s="16">
        <f t="shared" ca="1" si="80"/>
        <v>-1.9421427816245344E-2</v>
      </c>
    </row>
    <row r="4656" spans="7:8" x14ac:dyDescent="0.35">
      <c r="G4656" s="215">
        <v>4649</v>
      </c>
      <c r="H4656" s="16">
        <f t="shared" ca="1" si="80"/>
        <v>-6.7378946596446915E-2</v>
      </c>
    </row>
    <row r="4657" spans="7:8" x14ac:dyDescent="0.35">
      <c r="G4657" s="215">
        <v>4650</v>
      </c>
      <c r="H4657" s="16">
        <f t="shared" ca="1" si="80"/>
        <v>6.6170335948483983E-2</v>
      </c>
    </row>
    <row r="4658" spans="7:8" x14ac:dyDescent="0.35">
      <c r="G4658" s="215">
        <v>4651</v>
      </c>
      <c r="H4658" s="16">
        <f t="shared" ca="1" si="80"/>
        <v>0.1725821816478208</v>
      </c>
    </row>
    <row r="4659" spans="7:8" x14ac:dyDescent="0.35">
      <c r="G4659" s="215">
        <v>4652</v>
      </c>
      <c r="H4659" s="16">
        <f t="shared" ca="1" si="80"/>
        <v>-4.9512437972463921E-2</v>
      </c>
    </row>
    <row r="4660" spans="7:8" x14ac:dyDescent="0.35">
      <c r="G4660" s="215">
        <v>4653</v>
      </c>
      <c r="H4660" s="16">
        <f t="shared" ca="1" si="80"/>
        <v>9.6817824610425061E-3</v>
      </c>
    </row>
    <row r="4661" spans="7:8" x14ac:dyDescent="0.35">
      <c r="G4661" s="215">
        <v>4654</v>
      </c>
      <c r="H4661" s="16">
        <f t="shared" ca="1" si="80"/>
        <v>-0.10413501741633731</v>
      </c>
    </row>
    <row r="4662" spans="7:8" x14ac:dyDescent="0.35">
      <c r="G4662" s="215">
        <v>4655</v>
      </c>
      <c r="H4662" s="16">
        <f t="shared" ca="1" si="80"/>
        <v>1.9840313749598958E-2</v>
      </c>
    </row>
    <row r="4663" spans="7:8" x14ac:dyDescent="0.35">
      <c r="G4663" s="215">
        <v>4656</v>
      </c>
      <c r="H4663" s="16">
        <f t="shared" ca="1" si="80"/>
        <v>6.1187316492736121E-2</v>
      </c>
    </row>
    <row r="4664" spans="7:8" x14ac:dyDescent="0.35">
      <c r="G4664" s="215">
        <v>4657</v>
      </c>
      <c r="H4664" s="16">
        <f t="shared" ca="1" si="80"/>
        <v>0.10856419529677223</v>
      </c>
    </row>
    <row r="4665" spans="7:8" x14ac:dyDescent="0.35">
      <c r="G4665" s="215">
        <v>4658</v>
      </c>
      <c r="H4665" s="16">
        <f t="shared" ca="1" si="80"/>
        <v>-3.9995187318629E-2</v>
      </c>
    </row>
    <row r="4666" spans="7:8" x14ac:dyDescent="0.35">
      <c r="G4666" s="215">
        <v>4659</v>
      </c>
      <c r="H4666" s="16">
        <f t="shared" ca="1" si="80"/>
        <v>-7.2739466752385906E-2</v>
      </c>
    </row>
    <row r="4667" spans="7:8" x14ac:dyDescent="0.35">
      <c r="G4667" s="215">
        <v>4660</v>
      </c>
      <c r="H4667" s="16">
        <f t="shared" ca="1" si="80"/>
        <v>-2.4169233599461572E-2</v>
      </c>
    </row>
    <row r="4668" spans="7:8" x14ac:dyDescent="0.35">
      <c r="G4668" s="215">
        <v>4661</v>
      </c>
      <c r="H4668" s="16">
        <f t="shared" ca="1" si="80"/>
        <v>2.8963149331604324E-2</v>
      </c>
    </row>
    <row r="4669" spans="7:8" x14ac:dyDescent="0.35">
      <c r="G4669" s="215">
        <v>4662</v>
      </c>
      <c r="H4669" s="16">
        <f t="shared" ca="1" si="80"/>
        <v>2.6921227271780743E-2</v>
      </c>
    </row>
    <row r="4670" spans="7:8" x14ac:dyDescent="0.35">
      <c r="G4670" s="215">
        <v>4663</v>
      </c>
      <c r="H4670" s="16">
        <f t="shared" ca="1" si="80"/>
        <v>9.7495489053114642E-2</v>
      </c>
    </row>
    <row r="4671" spans="7:8" x14ac:dyDescent="0.35">
      <c r="G4671" s="215">
        <v>4664</v>
      </c>
      <c r="H4671" s="16">
        <f t="shared" ca="1" si="80"/>
        <v>8.6395724814591086E-3</v>
      </c>
    </row>
    <row r="4672" spans="7:8" x14ac:dyDescent="0.35">
      <c r="G4672" s="215">
        <v>4665</v>
      </c>
      <c r="H4672" s="16">
        <f t="shared" ca="1" si="80"/>
        <v>0.11941886336286792</v>
      </c>
    </row>
    <row r="4673" spans="7:8" x14ac:dyDescent="0.35">
      <c r="G4673" s="215">
        <v>4666</v>
      </c>
      <c r="H4673" s="16">
        <f t="shared" ca="1" si="80"/>
        <v>2.1271039650716604E-2</v>
      </c>
    </row>
    <row r="4674" spans="7:8" x14ac:dyDescent="0.35">
      <c r="G4674" s="215">
        <v>4667</v>
      </c>
      <c r="H4674" s="16">
        <f t="shared" ca="1" si="80"/>
        <v>5.9651750484894558E-2</v>
      </c>
    </row>
    <row r="4675" spans="7:8" x14ac:dyDescent="0.35">
      <c r="G4675" s="215">
        <v>4668</v>
      </c>
      <c r="H4675" s="16">
        <f t="shared" ca="1" si="80"/>
        <v>3.1242890079685809E-2</v>
      </c>
    </row>
    <row r="4676" spans="7:8" x14ac:dyDescent="0.35">
      <c r="G4676" s="215">
        <v>4669</v>
      </c>
      <c r="H4676" s="16">
        <f t="shared" ca="1" si="80"/>
        <v>-1.5555182885356348E-2</v>
      </c>
    </row>
    <row r="4677" spans="7:8" x14ac:dyDescent="0.35">
      <c r="G4677" s="215">
        <v>4670</v>
      </c>
      <c r="H4677" s="16">
        <f t="shared" ca="1" si="80"/>
        <v>-0.10747528930767848</v>
      </c>
    </row>
    <row r="4678" spans="7:8" x14ac:dyDescent="0.35">
      <c r="G4678" s="215">
        <v>4671</v>
      </c>
      <c r="H4678" s="16">
        <f t="shared" ca="1" si="80"/>
        <v>0.12691959616571044</v>
      </c>
    </row>
    <row r="4679" spans="7:8" x14ac:dyDescent="0.35">
      <c r="G4679" s="215">
        <v>4672</v>
      </c>
      <c r="H4679" s="16">
        <f t="shared" ca="1" si="80"/>
        <v>-8.3564047115420301E-2</v>
      </c>
    </row>
    <row r="4680" spans="7:8" x14ac:dyDescent="0.35">
      <c r="G4680" s="215">
        <v>4673</v>
      </c>
      <c r="H4680" s="16">
        <f t="shared" ref="H4680:H4743" ca="1" si="81">_xlfn.NORM.INV(RAND(),M$10,M$11)</f>
        <v>-8.2441976417674021E-2</v>
      </c>
    </row>
    <row r="4681" spans="7:8" x14ac:dyDescent="0.35">
      <c r="G4681" s="215">
        <v>4674</v>
      </c>
      <c r="H4681" s="16">
        <f t="shared" ca="1" si="81"/>
        <v>0.10699275464770999</v>
      </c>
    </row>
    <row r="4682" spans="7:8" x14ac:dyDescent="0.35">
      <c r="G4682" s="215">
        <v>4675</v>
      </c>
      <c r="H4682" s="16">
        <f t="shared" ca="1" si="81"/>
        <v>0.17729548947767795</v>
      </c>
    </row>
    <row r="4683" spans="7:8" x14ac:dyDescent="0.35">
      <c r="G4683" s="215">
        <v>4676</v>
      </c>
      <c r="H4683" s="16">
        <f t="shared" ca="1" si="81"/>
        <v>5.6459022834472919E-2</v>
      </c>
    </row>
    <row r="4684" spans="7:8" x14ac:dyDescent="0.35">
      <c r="G4684" s="215">
        <v>4677</v>
      </c>
      <c r="H4684" s="16">
        <f t="shared" ca="1" si="81"/>
        <v>9.4962322584286482E-2</v>
      </c>
    </row>
    <row r="4685" spans="7:8" x14ac:dyDescent="0.35">
      <c r="G4685" s="215">
        <v>4678</v>
      </c>
      <c r="H4685" s="16">
        <f t="shared" ca="1" si="81"/>
        <v>3.9716762993189721E-2</v>
      </c>
    </row>
    <row r="4686" spans="7:8" x14ac:dyDescent="0.35">
      <c r="G4686" s="215">
        <v>4679</v>
      </c>
      <c r="H4686" s="16">
        <f t="shared" ca="1" si="81"/>
        <v>8.6609454213136233E-2</v>
      </c>
    </row>
    <row r="4687" spans="7:8" x14ac:dyDescent="0.35">
      <c r="G4687" s="215">
        <v>4680</v>
      </c>
      <c r="H4687" s="16">
        <f t="shared" ca="1" si="81"/>
        <v>9.1062130601976141E-2</v>
      </c>
    </row>
    <row r="4688" spans="7:8" x14ac:dyDescent="0.35">
      <c r="G4688" s="215">
        <v>4681</v>
      </c>
      <c r="H4688" s="16">
        <f t="shared" ca="1" si="81"/>
        <v>1.0462632505013277E-2</v>
      </c>
    </row>
    <row r="4689" spans="7:8" x14ac:dyDescent="0.35">
      <c r="G4689" s="215">
        <v>4682</v>
      </c>
      <c r="H4689" s="16">
        <f t="shared" ca="1" si="81"/>
        <v>-5.6523286949478474E-3</v>
      </c>
    </row>
    <row r="4690" spans="7:8" x14ac:dyDescent="0.35">
      <c r="G4690" s="215">
        <v>4683</v>
      </c>
      <c r="H4690" s="16">
        <f t="shared" ca="1" si="81"/>
        <v>9.2942570266024913E-3</v>
      </c>
    </row>
    <row r="4691" spans="7:8" x14ac:dyDescent="0.35">
      <c r="G4691" s="215">
        <v>4684</v>
      </c>
      <c r="H4691" s="16">
        <f t="shared" ca="1" si="81"/>
        <v>-0.1578471322155697</v>
      </c>
    </row>
    <row r="4692" spans="7:8" x14ac:dyDescent="0.35">
      <c r="G4692" s="215">
        <v>4685</v>
      </c>
      <c r="H4692" s="16">
        <f t="shared" ca="1" si="81"/>
        <v>2.1220719498175687E-2</v>
      </c>
    </row>
    <row r="4693" spans="7:8" x14ac:dyDescent="0.35">
      <c r="G4693" s="215">
        <v>4686</v>
      </c>
      <c r="H4693" s="16">
        <f t="shared" ca="1" si="81"/>
        <v>7.1168463085719141E-2</v>
      </c>
    </row>
    <row r="4694" spans="7:8" x14ac:dyDescent="0.35">
      <c r="G4694" s="215">
        <v>4687</v>
      </c>
      <c r="H4694" s="16">
        <f t="shared" ca="1" si="81"/>
        <v>-5.6121948404034672E-2</v>
      </c>
    </row>
    <row r="4695" spans="7:8" x14ac:dyDescent="0.35">
      <c r="G4695" s="215">
        <v>4688</v>
      </c>
      <c r="H4695" s="16">
        <f t="shared" ca="1" si="81"/>
        <v>-8.3598363472437764E-2</v>
      </c>
    </row>
    <row r="4696" spans="7:8" x14ac:dyDescent="0.35">
      <c r="G4696" s="215">
        <v>4689</v>
      </c>
      <c r="H4696" s="16">
        <f t="shared" ca="1" si="81"/>
        <v>8.8568127767749041E-2</v>
      </c>
    </row>
    <row r="4697" spans="7:8" x14ac:dyDescent="0.35">
      <c r="G4697" s="215">
        <v>4690</v>
      </c>
      <c r="H4697" s="16">
        <f t="shared" ca="1" si="81"/>
        <v>6.4486071952786647E-2</v>
      </c>
    </row>
    <row r="4698" spans="7:8" x14ac:dyDescent="0.35">
      <c r="G4698" s="215">
        <v>4691</v>
      </c>
      <c r="H4698" s="16">
        <f t="shared" ca="1" si="81"/>
        <v>0.18889040245327812</v>
      </c>
    </row>
    <row r="4699" spans="7:8" x14ac:dyDescent="0.35">
      <c r="G4699" s="215">
        <v>4692</v>
      </c>
      <c r="H4699" s="16">
        <f t="shared" ca="1" si="81"/>
        <v>0.15452192845248822</v>
      </c>
    </row>
    <row r="4700" spans="7:8" x14ac:dyDescent="0.35">
      <c r="G4700" s="215">
        <v>4693</v>
      </c>
      <c r="H4700" s="16">
        <f t="shared" ca="1" si="81"/>
        <v>-1.8573513568133963E-2</v>
      </c>
    </row>
    <row r="4701" spans="7:8" x14ac:dyDescent="0.35">
      <c r="G4701" s="215">
        <v>4694</v>
      </c>
      <c r="H4701" s="16">
        <f t="shared" ca="1" si="81"/>
        <v>1.2898696499548558E-2</v>
      </c>
    </row>
    <row r="4702" spans="7:8" x14ac:dyDescent="0.35">
      <c r="G4702" s="215">
        <v>4695</v>
      </c>
      <c r="H4702" s="16">
        <f t="shared" ca="1" si="81"/>
        <v>-3.9621234565248145E-2</v>
      </c>
    </row>
    <row r="4703" spans="7:8" x14ac:dyDescent="0.35">
      <c r="G4703" s="215">
        <v>4696</v>
      </c>
      <c r="H4703" s="16">
        <f t="shared" ca="1" si="81"/>
        <v>6.0061636026949208E-2</v>
      </c>
    </row>
    <row r="4704" spans="7:8" x14ac:dyDescent="0.35">
      <c r="G4704" s="215">
        <v>4697</v>
      </c>
      <c r="H4704" s="16">
        <f t="shared" ca="1" si="81"/>
        <v>5.838871030119562E-2</v>
      </c>
    </row>
    <row r="4705" spans="7:8" x14ac:dyDescent="0.35">
      <c r="G4705" s="215">
        <v>4698</v>
      </c>
      <c r="H4705" s="16">
        <f t="shared" ca="1" si="81"/>
        <v>9.0607703829320069E-2</v>
      </c>
    </row>
    <row r="4706" spans="7:8" x14ac:dyDescent="0.35">
      <c r="G4706" s="215">
        <v>4699</v>
      </c>
      <c r="H4706" s="16">
        <f t="shared" ca="1" si="81"/>
        <v>-0.10534839419573111</v>
      </c>
    </row>
    <row r="4707" spans="7:8" x14ac:dyDescent="0.35">
      <c r="G4707" s="215">
        <v>4700</v>
      </c>
      <c r="H4707" s="16">
        <f t="shared" ca="1" si="81"/>
        <v>4.0779519068661826E-4</v>
      </c>
    </row>
    <row r="4708" spans="7:8" x14ac:dyDescent="0.35">
      <c r="G4708" s="215">
        <v>4701</v>
      </c>
      <c r="H4708" s="16">
        <f t="shared" ca="1" si="81"/>
        <v>8.7215041580586655E-2</v>
      </c>
    </row>
    <row r="4709" spans="7:8" x14ac:dyDescent="0.35">
      <c r="G4709" s="215">
        <v>4702</v>
      </c>
      <c r="H4709" s="16">
        <f t="shared" ca="1" si="81"/>
        <v>3.8489793278154341E-2</v>
      </c>
    </row>
    <row r="4710" spans="7:8" x14ac:dyDescent="0.35">
      <c r="G4710" s="215">
        <v>4703</v>
      </c>
      <c r="H4710" s="16">
        <f t="shared" ca="1" si="81"/>
        <v>4.4326721306008524E-2</v>
      </c>
    </row>
    <row r="4711" spans="7:8" x14ac:dyDescent="0.35">
      <c r="G4711" s="215">
        <v>4704</v>
      </c>
      <c r="H4711" s="16">
        <f t="shared" ca="1" si="81"/>
        <v>-7.2577675839143388E-2</v>
      </c>
    </row>
    <row r="4712" spans="7:8" x14ac:dyDescent="0.35">
      <c r="G4712" s="215">
        <v>4705</v>
      </c>
      <c r="H4712" s="16">
        <f t="shared" ca="1" si="81"/>
        <v>6.3737260256221576E-2</v>
      </c>
    </row>
    <row r="4713" spans="7:8" x14ac:dyDescent="0.35">
      <c r="G4713" s="215">
        <v>4706</v>
      </c>
      <c r="H4713" s="16">
        <f t="shared" ca="1" si="81"/>
        <v>-3.6925550215593891E-2</v>
      </c>
    </row>
    <row r="4714" spans="7:8" x14ac:dyDescent="0.35">
      <c r="G4714" s="215">
        <v>4707</v>
      </c>
      <c r="H4714" s="16">
        <f t="shared" ca="1" si="81"/>
        <v>8.8986966995387287E-2</v>
      </c>
    </row>
    <row r="4715" spans="7:8" x14ac:dyDescent="0.35">
      <c r="G4715" s="215">
        <v>4708</v>
      </c>
      <c r="H4715" s="16">
        <f t="shared" ca="1" si="81"/>
        <v>-4.0728660914155279E-2</v>
      </c>
    </row>
    <row r="4716" spans="7:8" x14ac:dyDescent="0.35">
      <c r="G4716" s="215">
        <v>4709</v>
      </c>
      <c r="H4716" s="16">
        <f t="shared" ca="1" si="81"/>
        <v>6.8951454447983479E-2</v>
      </c>
    </row>
    <row r="4717" spans="7:8" x14ac:dyDescent="0.35">
      <c r="G4717" s="215">
        <v>4710</v>
      </c>
      <c r="H4717" s="16">
        <f t="shared" ca="1" si="81"/>
        <v>-8.1112868863982793E-2</v>
      </c>
    </row>
    <row r="4718" spans="7:8" x14ac:dyDescent="0.35">
      <c r="G4718" s="215">
        <v>4711</v>
      </c>
      <c r="H4718" s="16">
        <f t="shared" ca="1" si="81"/>
        <v>2.3735163556985222E-2</v>
      </c>
    </row>
    <row r="4719" spans="7:8" x14ac:dyDescent="0.35">
      <c r="G4719" s="215">
        <v>4712</v>
      </c>
      <c r="H4719" s="16">
        <f t="shared" ca="1" si="81"/>
        <v>8.9750608469265497E-2</v>
      </c>
    </row>
    <row r="4720" spans="7:8" x14ac:dyDescent="0.35">
      <c r="G4720" s="215">
        <v>4713</v>
      </c>
      <c r="H4720" s="16">
        <f t="shared" ca="1" si="81"/>
        <v>0.11193369335213513</v>
      </c>
    </row>
    <row r="4721" spans="7:8" x14ac:dyDescent="0.35">
      <c r="G4721" s="215">
        <v>4714</v>
      </c>
      <c r="H4721" s="16">
        <f t="shared" ca="1" si="81"/>
        <v>2.2445390667831223E-2</v>
      </c>
    </row>
    <row r="4722" spans="7:8" x14ac:dyDescent="0.35">
      <c r="G4722" s="215">
        <v>4715</v>
      </c>
      <c r="H4722" s="16">
        <f t="shared" ca="1" si="81"/>
        <v>-8.4582196954463007E-2</v>
      </c>
    </row>
    <row r="4723" spans="7:8" x14ac:dyDescent="0.35">
      <c r="G4723" s="215">
        <v>4716</v>
      </c>
      <c r="H4723" s="16">
        <f t="shared" ca="1" si="81"/>
        <v>-2.845526102133962E-3</v>
      </c>
    </row>
    <row r="4724" spans="7:8" x14ac:dyDescent="0.35">
      <c r="G4724" s="215">
        <v>4717</v>
      </c>
      <c r="H4724" s="16">
        <f t="shared" ca="1" si="81"/>
        <v>0.12021031432925529</v>
      </c>
    </row>
    <row r="4725" spans="7:8" x14ac:dyDescent="0.35">
      <c r="G4725" s="215">
        <v>4718</v>
      </c>
      <c r="H4725" s="16">
        <f t="shared" ca="1" si="81"/>
        <v>0.1028684188557636</v>
      </c>
    </row>
    <row r="4726" spans="7:8" x14ac:dyDescent="0.35">
      <c r="G4726" s="215">
        <v>4719</v>
      </c>
      <c r="H4726" s="16">
        <f t="shared" ca="1" si="81"/>
        <v>-3.2924912803763196E-2</v>
      </c>
    </row>
    <row r="4727" spans="7:8" x14ac:dyDescent="0.35">
      <c r="G4727" s="215">
        <v>4720</v>
      </c>
      <c r="H4727" s="16">
        <f t="shared" ca="1" si="81"/>
        <v>-8.3562701019222196E-2</v>
      </c>
    </row>
    <row r="4728" spans="7:8" x14ac:dyDescent="0.35">
      <c r="G4728" s="215">
        <v>4721</v>
      </c>
      <c r="H4728" s="16">
        <f t="shared" ca="1" si="81"/>
        <v>7.4906270020685117E-2</v>
      </c>
    </row>
    <row r="4729" spans="7:8" x14ac:dyDescent="0.35">
      <c r="G4729" s="215">
        <v>4722</v>
      </c>
      <c r="H4729" s="16">
        <f t="shared" ca="1" si="81"/>
        <v>-5.8696980092790008E-4</v>
      </c>
    </row>
    <row r="4730" spans="7:8" x14ac:dyDescent="0.35">
      <c r="G4730" s="215">
        <v>4723</v>
      </c>
      <c r="H4730" s="16">
        <f t="shared" ca="1" si="81"/>
        <v>-0.10283863248155434</v>
      </c>
    </row>
    <row r="4731" spans="7:8" x14ac:dyDescent="0.35">
      <c r="G4731" s="215">
        <v>4724</v>
      </c>
      <c r="H4731" s="16">
        <f t="shared" ca="1" si="81"/>
        <v>-4.1884608234332876E-2</v>
      </c>
    </row>
    <row r="4732" spans="7:8" x14ac:dyDescent="0.35">
      <c r="G4732" s="215">
        <v>4725</v>
      </c>
      <c r="H4732" s="16">
        <f t="shared" ca="1" si="81"/>
        <v>-2.5856206170830866E-2</v>
      </c>
    </row>
    <row r="4733" spans="7:8" x14ac:dyDescent="0.35">
      <c r="G4733" s="215">
        <v>4726</v>
      </c>
      <c r="H4733" s="16">
        <f t="shared" ca="1" si="81"/>
        <v>-0.19405754297930106</v>
      </c>
    </row>
    <row r="4734" spans="7:8" x14ac:dyDescent="0.35">
      <c r="G4734" s="215">
        <v>4727</v>
      </c>
      <c r="H4734" s="16">
        <f t="shared" ca="1" si="81"/>
        <v>-7.6024921521497327E-2</v>
      </c>
    </row>
    <row r="4735" spans="7:8" x14ac:dyDescent="0.35">
      <c r="G4735" s="215">
        <v>4728</v>
      </c>
      <c r="H4735" s="16">
        <f t="shared" ca="1" si="81"/>
        <v>0.21486532097031447</v>
      </c>
    </row>
    <row r="4736" spans="7:8" x14ac:dyDescent="0.35">
      <c r="G4736" s="215">
        <v>4729</v>
      </c>
      <c r="H4736" s="16">
        <f t="shared" ca="1" si="81"/>
        <v>5.3517011226297526E-2</v>
      </c>
    </row>
    <row r="4737" spans="7:8" x14ac:dyDescent="0.35">
      <c r="G4737" s="215">
        <v>4730</v>
      </c>
      <c r="H4737" s="16">
        <f t="shared" ca="1" si="81"/>
        <v>9.4704599637541291E-3</v>
      </c>
    </row>
    <row r="4738" spans="7:8" x14ac:dyDescent="0.35">
      <c r="G4738" s="215">
        <v>4731</v>
      </c>
      <c r="H4738" s="16">
        <f t="shared" ca="1" si="81"/>
        <v>-6.7983771152186859E-2</v>
      </c>
    </row>
    <row r="4739" spans="7:8" x14ac:dyDescent="0.35">
      <c r="G4739" s="215">
        <v>4732</v>
      </c>
      <c r="H4739" s="16">
        <f t="shared" ca="1" si="81"/>
        <v>2.0276888894520107E-2</v>
      </c>
    </row>
    <row r="4740" spans="7:8" x14ac:dyDescent="0.35">
      <c r="G4740" s="215">
        <v>4733</v>
      </c>
      <c r="H4740" s="16">
        <f t="shared" ca="1" si="81"/>
        <v>-0.1236391309928988</v>
      </c>
    </row>
    <row r="4741" spans="7:8" x14ac:dyDescent="0.35">
      <c r="G4741" s="215">
        <v>4734</v>
      </c>
      <c r="H4741" s="16">
        <f t="shared" ca="1" si="81"/>
        <v>4.8536525210601089E-2</v>
      </c>
    </row>
    <row r="4742" spans="7:8" x14ac:dyDescent="0.35">
      <c r="G4742" s="215">
        <v>4735</v>
      </c>
      <c r="H4742" s="16">
        <f t="shared" ca="1" si="81"/>
        <v>-8.9399244053629007E-2</v>
      </c>
    </row>
    <row r="4743" spans="7:8" x14ac:dyDescent="0.35">
      <c r="G4743" s="215">
        <v>4736</v>
      </c>
      <c r="H4743" s="16">
        <f t="shared" ca="1" si="81"/>
        <v>7.5606163072344176E-2</v>
      </c>
    </row>
    <row r="4744" spans="7:8" x14ac:dyDescent="0.35">
      <c r="G4744" s="215">
        <v>4737</v>
      </c>
      <c r="H4744" s="16">
        <f t="shared" ref="H4744:H4807" ca="1" si="82">_xlfn.NORM.INV(RAND(),M$10,M$11)</f>
        <v>8.5044496760105628E-2</v>
      </c>
    </row>
    <row r="4745" spans="7:8" x14ac:dyDescent="0.35">
      <c r="G4745" s="215">
        <v>4738</v>
      </c>
      <c r="H4745" s="16">
        <f t="shared" ca="1" si="82"/>
        <v>9.9443727865025533E-2</v>
      </c>
    </row>
    <row r="4746" spans="7:8" x14ac:dyDescent="0.35">
      <c r="G4746" s="215">
        <v>4739</v>
      </c>
      <c r="H4746" s="16">
        <f t="shared" ca="1" si="82"/>
        <v>7.2798060575955337E-2</v>
      </c>
    </row>
    <row r="4747" spans="7:8" x14ac:dyDescent="0.35">
      <c r="G4747" s="215">
        <v>4740</v>
      </c>
      <c r="H4747" s="16">
        <f t="shared" ca="1" si="82"/>
        <v>-7.3150469166147605E-2</v>
      </c>
    </row>
    <row r="4748" spans="7:8" x14ac:dyDescent="0.35">
      <c r="G4748" s="215">
        <v>4741</v>
      </c>
      <c r="H4748" s="16">
        <f t="shared" ca="1" si="82"/>
        <v>0.15339075228431678</v>
      </c>
    </row>
    <row r="4749" spans="7:8" x14ac:dyDescent="0.35">
      <c r="G4749" s="215">
        <v>4742</v>
      </c>
      <c r="H4749" s="16">
        <f t="shared" ca="1" si="82"/>
        <v>1.6909736400277462E-3</v>
      </c>
    </row>
    <row r="4750" spans="7:8" x14ac:dyDescent="0.35">
      <c r="G4750" s="215">
        <v>4743</v>
      </c>
      <c r="H4750" s="16">
        <f t="shared" ca="1" si="82"/>
        <v>0.12621832602514571</v>
      </c>
    </row>
    <row r="4751" spans="7:8" x14ac:dyDescent="0.35">
      <c r="G4751" s="215">
        <v>4744</v>
      </c>
      <c r="H4751" s="16">
        <f t="shared" ca="1" si="82"/>
        <v>0.12628218000984923</v>
      </c>
    </row>
    <row r="4752" spans="7:8" x14ac:dyDescent="0.35">
      <c r="G4752" s="215">
        <v>4745</v>
      </c>
      <c r="H4752" s="16">
        <f t="shared" ca="1" si="82"/>
        <v>5.6231250129154767E-2</v>
      </c>
    </row>
    <row r="4753" spans="7:8" x14ac:dyDescent="0.35">
      <c r="G4753" s="215">
        <v>4746</v>
      </c>
      <c r="H4753" s="16">
        <f t="shared" ca="1" si="82"/>
        <v>0.15312094979456087</v>
      </c>
    </row>
    <row r="4754" spans="7:8" x14ac:dyDescent="0.35">
      <c r="G4754" s="215">
        <v>4747</v>
      </c>
      <c r="H4754" s="16">
        <f t="shared" ca="1" si="82"/>
        <v>8.513319944899015E-3</v>
      </c>
    </row>
    <row r="4755" spans="7:8" x14ac:dyDescent="0.35">
      <c r="G4755" s="215">
        <v>4748</v>
      </c>
      <c r="H4755" s="16">
        <f t="shared" ca="1" si="82"/>
        <v>1.1121865309178698E-4</v>
      </c>
    </row>
    <row r="4756" spans="7:8" x14ac:dyDescent="0.35">
      <c r="G4756" s="215">
        <v>4749</v>
      </c>
      <c r="H4756" s="16">
        <f t="shared" ca="1" si="82"/>
        <v>-4.0144279336975952E-2</v>
      </c>
    </row>
    <row r="4757" spans="7:8" x14ac:dyDescent="0.35">
      <c r="G4757" s="215">
        <v>4750</v>
      </c>
      <c r="H4757" s="16">
        <f t="shared" ca="1" si="82"/>
        <v>5.841667168663521E-2</v>
      </c>
    </row>
    <row r="4758" spans="7:8" x14ac:dyDescent="0.35">
      <c r="G4758" s="215">
        <v>4751</v>
      </c>
      <c r="H4758" s="16">
        <f t="shared" ca="1" si="82"/>
        <v>2.2600993305228655E-2</v>
      </c>
    </row>
    <row r="4759" spans="7:8" x14ac:dyDescent="0.35">
      <c r="G4759" s="215">
        <v>4752</v>
      </c>
      <c r="H4759" s="16">
        <f t="shared" ca="1" si="82"/>
        <v>2.8897707431702994E-2</v>
      </c>
    </row>
    <row r="4760" spans="7:8" x14ac:dyDescent="0.35">
      <c r="G4760" s="215">
        <v>4753</v>
      </c>
      <c r="H4760" s="16">
        <f t="shared" ca="1" si="82"/>
        <v>6.7536308429767987E-3</v>
      </c>
    </row>
    <row r="4761" spans="7:8" x14ac:dyDescent="0.35">
      <c r="G4761" s="215">
        <v>4754</v>
      </c>
      <c r="H4761" s="16">
        <f t="shared" ca="1" si="82"/>
        <v>6.673442589177972E-3</v>
      </c>
    </row>
    <row r="4762" spans="7:8" x14ac:dyDescent="0.35">
      <c r="G4762" s="215">
        <v>4755</v>
      </c>
      <c r="H4762" s="16">
        <f t="shared" ca="1" si="82"/>
        <v>2.7340874727283533E-2</v>
      </c>
    </row>
    <row r="4763" spans="7:8" x14ac:dyDescent="0.35">
      <c r="G4763" s="215">
        <v>4756</v>
      </c>
      <c r="H4763" s="16">
        <f t="shared" ca="1" si="82"/>
        <v>6.7248112952609296E-2</v>
      </c>
    </row>
    <row r="4764" spans="7:8" x14ac:dyDescent="0.35">
      <c r="G4764" s="215">
        <v>4757</v>
      </c>
      <c r="H4764" s="16">
        <f t="shared" ca="1" si="82"/>
        <v>4.9256495417319607E-2</v>
      </c>
    </row>
    <row r="4765" spans="7:8" x14ac:dyDescent="0.35">
      <c r="G4765" s="215">
        <v>4758</v>
      </c>
      <c r="H4765" s="16">
        <f t="shared" ca="1" si="82"/>
        <v>-0.13455755473428033</v>
      </c>
    </row>
    <row r="4766" spans="7:8" x14ac:dyDescent="0.35">
      <c r="G4766" s="215">
        <v>4759</v>
      </c>
      <c r="H4766" s="16">
        <f t="shared" ca="1" si="82"/>
        <v>1.6699129866946556E-2</v>
      </c>
    </row>
    <row r="4767" spans="7:8" x14ac:dyDescent="0.35">
      <c r="G4767" s="215">
        <v>4760</v>
      </c>
      <c r="H4767" s="16">
        <f t="shared" ca="1" si="82"/>
        <v>9.6230317446583304E-3</v>
      </c>
    </row>
    <row r="4768" spans="7:8" x14ac:dyDescent="0.35">
      <c r="G4768" s="215">
        <v>4761</v>
      </c>
      <c r="H4768" s="16">
        <f t="shared" ca="1" si="82"/>
        <v>6.6525979381880429E-2</v>
      </c>
    </row>
    <row r="4769" spans="7:8" x14ac:dyDescent="0.35">
      <c r="G4769" s="215">
        <v>4762</v>
      </c>
      <c r="H4769" s="16">
        <f t="shared" ca="1" si="82"/>
        <v>-0.1112374773634799</v>
      </c>
    </row>
    <row r="4770" spans="7:8" x14ac:dyDescent="0.35">
      <c r="G4770" s="215">
        <v>4763</v>
      </c>
      <c r="H4770" s="16">
        <f t="shared" ca="1" si="82"/>
        <v>1.7785996303194281E-2</v>
      </c>
    </row>
    <row r="4771" spans="7:8" x14ac:dyDescent="0.35">
      <c r="G4771" s="215">
        <v>4764</v>
      </c>
      <c r="H4771" s="16">
        <f t="shared" ca="1" si="82"/>
        <v>0.10993512444438361</v>
      </c>
    </row>
    <row r="4772" spans="7:8" x14ac:dyDescent="0.35">
      <c r="G4772" s="215">
        <v>4765</v>
      </c>
      <c r="H4772" s="16">
        <f t="shared" ca="1" si="82"/>
        <v>1.9812013783009768E-2</v>
      </c>
    </row>
    <row r="4773" spans="7:8" x14ac:dyDescent="0.35">
      <c r="G4773" s="215">
        <v>4766</v>
      </c>
      <c r="H4773" s="16">
        <f t="shared" ca="1" si="82"/>
        <v>9.7969604591151838E-2</v>
      </c>
    </row>
    <row r="4774" spans="7:8" x14ac:dyDescent="0.35">
      <c r="G4774" s="215">
        <v>4767</v>
      </c>
      <c r="H4774" s="16">
        <f t="shared" ca="1" si="82"/>
        <v>-4.2174631423089359E-2</v>
      </c>
    </row>
    <row r="4775" spans="7:8" x14ac:dyDescent="0.35">
      <c r="G4775" s="215">
        <v>4768</v>
      </c>
      <c r="H4775" s="16">
        <f t="shared" ca="1" si="82"/>
        <v>7.2060290535871971E-2</v>
      </c>
    </row>
    <row r="4776" spans="7:8" x14ac:dyDescent="0.35">
      <c r="G4776" s="215">
        <v>4769</v>
      </c>
      <c r="H4776" s="16">
        <f t="shared" ca="1" si="82"/>
        <v>7.1432513454248142E-2</v>
      </c>
    </row>
    <row r="4777" spans="7:8" x14ac:dyDescent="0.35">
      <c r="G4777" s="215">
        <v>4770</v>
      </c>
      <c r="H4777" s="16">
        <f t="shared" ca="1" si="82"/>
        <v>3.0290615470781861E-3</v>
      </c>
    </row>
    <row r="4778" spans="7:8" x14ac:dyDescent="0.35">
      <c r="G4778" s="215">
        <v>4771</v>
      </c>
      <c r="H4778" s="16">
        <f t="shared" ca="1" si="82"/>
        <v>9.491450871344978E-2</v>
      </c>
    </row>
    <row r="4779" spans="7:8" x14ac:dyDescent="0.35">
      <c r="G4779" s="215">
        <v>4772</v>
      </c>
      <c r="H4779" s="16">
        <f t="shared" ca="1" si="82"/>
        <v>-0.10583106294459045</v>
      </c>
    </row>
    <row r="4780" spans="7:8" x14ac:dyDescent="0.35">
      <c r="G4780" s="215">
        <v>4773</v>
      </c>
      <c r="H4780" s="16">
        <f t="shared" ca="1" si="82"/>
        <v>8.0702689459439397E-5</v>
      </c>
    </row>
    <row r="4781" spans="7:8" x14ac:dyDescent="0.35">
      <c r="G4781" s="215">
        <v>4774</v>
      </c>
      <c r="H4781" s="16">
        <f t="shared" ca="1" si="82"/>
        <v>3.1763058920047743E-2</v>
      </c>
    </row>
    <row r="4782" spans="7:8" x14ac:dyDescent="0.35">
      <c r="G4782" s="215">
        <v>4775</v>
      </c>
      <c r="H4782" s="16">
        <f t="shared" ca="1" si="82"/>
        <v>-2.4658078822983567E-2</v>
      </c>
    </row>
    <row r="4783" spans="7:8" x14ac:dyDescent="0.35">
      <c r="G4783" s="215">
        <v>4776</v>
      </c>
      <c r="H4783" s="16">
        <f t="shared" ca="1" si="82"/>
        <v>-5.6250072725974848E-2</v>
      </c>
    </row>
    <row r="4784" spans="7:8" x14ac:dyDescent="0.35">
      <c r="G4784" s="215">
        <v>4777</v>
      </c>
      <c r="H4784" s="16">
        <f t="shared" ca="1" si="82"/>
        <v>8.6581011410333628E-2</v>
      </c>
    </row>
    <row r="4785" spans="7:8" x14ac:dyDescent="0.35">
      <c r="G4785" s="215">
        <v>4778</v>
      </c>
      <c r="H4785" s="16">
        <f t="shared" ca="1" si="82"/>
        <v>3.4014825682821888E-2</v>
      </c>
    </row>
    <row r="4786" spans="7:8" x14ac:dyDescent="0.35">
      <c r="G4786" s="215">
        <v>4779</v>
      </c>
      <c r="H4786" s="16">
        <f t="shared" ca="1" si="82"/>
        <v>1.2475828999929604E-2</v>
      </c>
    </row>
    <row r="4787" spans="7:8" x14ac:dyDescent="0.35">
      <c r="G4787" s="215">
        <v>4780</v>
      </c>
      <c r="H4787" s="16">
        <f t="shared" ca="1" si="82"/>
        <v>-4.3758706617100726E-2</v>
      </c>
    </row>
    <row r="4788" spans="7:8" x14ac:dyDescent="0.35">
      <c r="G4788" s="215">
        <v>4781</v>
      </c>
      <c r="H4788" s="16">
        <f t="shared" ca="1" si="82"/>
        <v>-1.2712151144506394E-2</v>
      </c>
    </row>
    <row r="4789" spans="7:8" x14ac:dyDescent="0.35">
      <c r="G4789" s="215">
        <v>4782</v>
      </c>
      <c r="H4789" s="16">
        <f t="shared" ca="1" si="82"/>
        <v>1.6078093680530651E-2</v>
      </c>
    </row>
    <row r="4790" spans="7:8" x14ac:dyDescent="0.35">
      <c r="G4790" s="215">
        <v>4783</v>
      </c>
      <c r="H4790" s="16">
        <f t="shared" ca="1" si="82"/>
        <v>0.15532699177378914</v>
      </c>
    </row>
    <row r="4791" spans="7:8" x14ac:dyDescent="0.35">
      <c r="G4791" s="215">
        <v>4784</v>
      </c>
      <c r="H4791" s="16">
        <f t="shared" ca="1" si="82"/>
        <v>-2.5707476998908033E-3</v>
      </c>
    </row>
    <row r="4792" spans="7:8" x14ac:dyDescent="0.35">
      <c r="G4792" s="215">
        <v>4785</v>
      </c>
      <c r="H4792" s="16">
        <f t="shared" ca="1" si="82"/>
        <v>-1.1347445487213299E-2</v>
      </c>
    </row>
    <row r="4793" spans="7:8" x14ac:dyDescent="0.35">
      <c r="G4793" s="215">
        <v>4786</v>
      </c>
      <c r="H4793" s="16">
        <f t="shared" ca="1" si="82"/>
        <v>2.9812313912965661E-2</v>
      </c>
    </row>
    <row r="4794" spans="7:8" x14ac:dyDescent="0.35">
      <c r="G4794" s="215">
        <v>4787</v>
      </c>
      <c r="H4794" s="16">
        <f t="shared" ca="1" si="82"/>
        <v>3.3821456039681216E-3</v>
      </c>
    </row>
    <row r="4795" spans="7:8" x14ac:dyDescent="0.35">
      <c r="G4795" s="215">
        <v>4788</v>
      </c>
      <c r="H4795" s="16">
        <f t="shared" ca="1" si="82"/>
        <v>-1.330763488756144E-2</v>
      </c>
    </row>
    <row r="4796" spans="7:8" x14ac:dyDescent="0.35">
      <c r="G4796" s="215">
        <v>4789</v>
      </c>
      <c r="H4796" s="16">
        <f t="shared" ca="1" si="82"/>
        <v>-5.1132781775060976E-2</v>
      </c>
    </row>
    <row r="4797" spans="7:8" x14ac:dyDescent="0.35">
      <c r="G4797" s="215">
        <v>4790</v>
      </c>
      <c r="H4797" s="16">
        <f t="shared" ca="1" si="82"/>
        <v>2.1899966513703115E-2</v>
      </c>
    </row>
    <row r="4798" spans="7:8" x14ac:dyDescent="0.35">
      <c r="G4798" s="215">
        <v>4791</v>
      </c>
      <c r="H4798" s="16">
        <f t="shared" ca="1" si="82"/>
        <v>0.1066840446146788</v>
      </c>
    </row>
    <row r="4799" spans="7:8" x14ac:dyDescent="0.35">
      <c r="G4799" s="215">
        <v>4792</v>
      </c>
      <c r="H4799" s="16">
        <f t="shared" ca="1" si="82"/>
        <v>-1.725914069157294E-2</v>
      </c>
    </row>
    <row r="4800" spans="7:8" x14ac:dyDescent="0.35">
      <c r="G4800" s="215">
        <v>4793</v>
      </c>
      <c r="H4800" s="16">
        <f t="shared" ca="1" si="82"/>
        <v>-1.7837720924903377E-2</v>
      </c>
    </row>
    <row r="4801" spans="7:8" x14ac:dyDescent="0.35">
      <c r="G4801" s="215">
        <v>4794</v>
      </c>
      <c r="H4801" s="16">
        <f t="shared" ca="1" si="82"/>
        <v>4.4443681846337395E-3</v>
      </c>
    </row>
    <row r="4802" spans="7:8" x14ac:dyDescent="0.35">
      <c r="G4802" s="215">
        <v>4795</v>
      </c>
      <c r="H4802" s="16">
        <f t="shared" ca="1" si="82"/>
        <v>6.4325334142917648E-4</v>
      </c>
    </row>
    <row r="4803" spans="7:8" x14ac:dyDescent="0.35">
      <c r="G4803" s="215">
        <v>4796</v>
      </c>
      <c r="H4803" s="16">
        <f t="shared" ca="1" si="82"/>
        <v>9.8664709969324541E-2</v>
      </c>
    </row>
    <row r="4804" spans="7:8" x14ac:dyDescent="0.35">
      <c r="G4804" s="215">
        <v>4797</v>
      </c>
      <c r="H4804" s="16">
        <f t="shared" ca="1" si="82"/>
        <v>2.0943308777648856E-2</v>
      </c>
    </row>
    <row r="4805" spans="7:8" x14ac:dyDescent="0.35">
      <c r="G4805" s="215">
        <v>4798</v>
      </c>
      <c r="H4805" s="16">
        <f t="shared" ca="1" si="82"/>
        <v>9.1750286308380183E-2</v>
      </c>
    </row>
    <row r="4806" spans="7:8" x14ac:dyDescent="0.35">
      <c r="G4806" s="215">
        <v>4799</v>
      </c>
      <c r="H4806" s="16">
        <f t="shared" ca="1" si="82"/>
        <v>0.22139033655179369</v>
      </c>
    </row>
    <row r="4807" spans="7:8" x14ac:dyDescent="0.35">
      <c r="G4807" s="215">
        <v>4800</v>
      </c>
      <c r="H4807" s="16">
        <f t="shared" ca="1" si="82"/>
        <v>7.1625704189417355E-2</v>
      </c>
    </row>
    <row r="4808" spans="7:8" x14ac:dyDescent="0.35">
      <c r="G4808" s="215">
        <v>4801</v>
      </c>
      <c r="H4808" s="16">
        <f t="shared" ref="H4808:H4871" ca="1" si="83">_xlfn.NORM.INV(RAND(),M$10,M$11)</f>
        <v>2.2525230912030462E-2</v>
      </c>
    </row>
    <row r="4809" spans="7:8" x14ac:dyDescent="0.35">
      <c r="G4809" s="215">
        <v>4802</v>
      </c>
      <c r="H4809" s="16">
        <f t="shared" ca="1" si="83"/>
        <v>-5.0747982150134117E-3</v>
      </c>
    </row>
    <row r="4810" spans="7:8" x14ac:dyDescent="0.35">
      <c r="G4810" s="215">
        <v>4803</v>
      </c>
      <c r="H4810" s="16">
        <f t="shared" ca="1" si="83"/>
        <v>-5.6854789780554693E-2</v>
      </c>
    </row>
    <row r="4811" spans="7:8" x14ac:dyDescent="0.35">
      <c r="G4811" s="215">
        <v>4804</v>
      </c>
      <c r="H4811" s="16">
        <f t="shared" ca="1" si="83"/>
        <v>0.11425802663707711</v>
      </c>
    </row>
    <row r="4812" spans="7:8" x14ac:dyDescent="0.35">
      <c r="G4812" s="215">
        <v>4805</v>
      </c>
      <c r="H4812" s="16">
        <f t="shared" ca="1" si="83"/>
        <v>2.3425499875887542E-2</v>
      </c>
    </row>
    <row r="4813" spans="7:8" x14ac:dyDescent="0.35">
      <c r="G4813" s="215">
        <v>4806</v>
      </c>
      <c r="H4813" s="16">
        <f t="shared" ca="1" si="83"/>
        <v>-7.9100733240754131E-2</v>
      </c>
    </row>
    <row r="4814" spans="7:8" x14ac:dyDescent="0.35">
      <c r="G4814" s="215">
        <v>4807</v>
      </c>
      <c r="H4814" s="16">
        <f t="shared" ca="1" si="83"/>
        <v>0.15998394293003299</v>
      </c>
    </row>
    <row r="4815" spans="7:8" x14ac:dyDescent="0.35">
      <c r="G4815" s="215">
        <v>4808</v>
      </c>
      <c r="H4815" s="16">
        <f t="shared" ca="1" si="83"/>
        <v>-4.1868917446680198E-3</v>
      </c>
    </row>
    <row r="4816" spans="7:8" x14ac:dyDescent="0.35">
      <c r="G4816" s="215">
        <v>4809</v>
      </c>
      <c r="H4816" s="16">
        <f t="shared" ca="1" si="83"/>
        <v>3.0238530481027301E-5</v>
      </c>
    </row>
    <row r="4817" spans="7:8" x14ac:dyDescent="0.35">
      <c r="G4817" s="215">
        <v>4810</v>
      </c>
      <c r="H4817" s="16">
        <f t="shared" ca="1" si="83"/>
        <v>5.9869679492560737E-2</v>
      </c>
    </row>
    <row r="4818" spans="7:8" x14ac:dyDescent="0.35">
      <c r="G4818" s="215">
        <v>4811</v>
      </c>
      <c r="H4818" s="16">
        <f t="shared" ca="1" si="83"/>
        <v>-8.0886492590800427E-2</v>
      </c>
    </row>
    <row r="4819" spans="7:8" x14ac:dyDescent="0.35">
      <c r="G4819" s="215">
        <v>4812</v>
      </c>
      <c r="H4819" s="16">
        <f t="shared" ca="1" si="83"/>
        <v>9.925088168132418E-3</v>
      </c>
    </row>
    <row r="4820" spans="7:8" x14ac:dyDescent="0.35">
      <c r="G4820" s="215">
        <v>4813</v>
      </c>
      <c r="H4820" s="16">
        <f t="shared" ca="1" si="83"/>
        <v>-8.4458576414218847E-2</v>
      </c>
    </row>
    <row r="4821" spans="7:8" x14ac:dyDescent="0.35">
      <c r="G4821" s="215">
        <v>4814</v>
      </c>
      <c r="H4821" s="16">
        <f t="shared" ca="1" si="83"/>
        <v>3.7159596635713506E-2</v>
      </c>
    </row>
    <row r="4822" spans="7:8" x14ac:dyDescent="0.35">
      <c r="G4822" s="215">
        <v>4815</v>
      </c>
      <c r="H4822" s="16">
        <f t="shared" ca="1" si="83"/>
        <v>-5.220676410041046E-2</v>
      </c>
    </row>
    <row r="4823" spans="7:8" x14ac:dyDescent="0.35">
      <c r="G4823" s="215">
        <v>4816</v>
      </c>
      <c r="H4823" s="16">
        <f t="shared" ca="1" si="83"/>
        <v>-5.6892259365177195E-2</v>
      </c>
    </row>
    <row r="4824" spans="7:8" x14ac:dyDescent="0.35">
      <c r="G4824" s="215">
        <v>4817</v>
      </c>
      <c r="H4824" s="16">
        <f t="shared" ca="1" si="83"/>
        <v>8.0473101701771049E-2</v>
      </c>
    </row>
    <row r="4825" spans="7:8" x14ac:dyDescent="0.35">
      <c r="G4825" s="215">
        <v>4818</v>
      </c>
      <c r="H4825" s="16">
        <f t="shared" ca="1" si="83"/>
        <v>3.7610575692875788E-3</v>
      </c>
    </row>
    <row r="4826" spans="7:8" x14ac:dyDescent="0.35">
      <c r="G4826" s="215">
        <v>4819</v>
      </c>
      <c r="H4826" s="16">
        <f t="shared" ca="1" si="83"/>
        <v>-2.2493912592623112E-2</v>
      </c>
    </row>
    <row r="4827" spans="7:8" x14ac:dyDescent="0.35">
      <c r="G4827" s="215">
        <v>4820</v>
      </c>
      <c r="H4827" s="16">
        <f t="shared" ca="1" si="83"/>
        <v>-8.325608170845214E-2</v>
      </c>
    </row>
    <row r="4828" spans="7:8" x14ac:dyDescent="0.35">
      <c r="G4828" s="215">
        <v>4821</v>
      </c>
      <c r="H4828" s="16">
        <f t="shared" ca="1" si="83"/>
        <v>3.4447078569967184E-2</v>
      </c>
    </row>
    <row r="4829" spans="7:8" x14ac:dyDescent="0.35">
      <c r="G4829" s="215">
        <v>4822</v>
      </c>
      <c r="H4829" s="16">
        <f t="shared" ca="1" si="83"/>
        <v>-0.10392256829222894</v>
      </c>
    </row>
    <row r="4830" spans="7:8" x14ac:dyDescent="0.35">
      <c r="G4830" s="215">
        <v>4823</v>
      </c>
      <c r="H4830" s="16">
        <f t="shared" ca="1" si="83"/>
        <v>-5.4800465990506947E-2</v>
      </c>
    </row>
    <row r="4831" spans="7:8" x14ac:dyDescent="0.35">
      <c r="G4831" s="215">
        <v>4824</v>
      </c>
      <c r="H4831" s="16">
        <f t="shared" ca="1" si="83"/>
        <v>-6.734019584633634E-2</v>
      </c>
    </row>
    <row r="4832" spans="7:8" x14ac:dyDescent="0.35">
      <c r="G4832" s="215">
        <v>4825</v>
      </c>
      <c r="H4832" s="16">
        <f t="shared" ca="1" si="83"/>
        <v>7.8051182894896654E-2</v>
      </c>
    </row>
    <row r="4833" spans="7:8" x14ac:dyDescent="0.35">
      <c r="G4833" s="215">
        <v>4826</v>
      </c>
      <c r="H4833" s="16">
        <f t="shared" ca="1" si="83"/>
        <v>0.12991990194739622</v>
      </c>
    </row>
    <row r="4834" spans="7:8" x14ac:dyDescent="0.35">
      <c r="G4834" s="215">
        <v>4827</v>
      </c>
      <c r="H4834" s="16">
        <f t="shared" ca="1" si="83"/>
        <v>-4.2442751303700524E-2</v>
      </c>
    </row>
    <row r="4835" spans="7:8" x14ac:dyDescent="0.35">
      <c r="G4835" s="215">
        <v>4828</v>
      </c>
      <c r="H4835" s="16">
        <f t="shared" ca="1" si="83"/>
        <v>0.14133798569507627</v>
      </c>
    </row>
    <row r="4836" spans="7:8" x14ac:dyDescent="0.35">
      <c r="G4836" s="215">
        <v>4829</v>
      </c>
      <c r="H4836" s="16">
        <f t="shared" ca="1" si="83"/>
        <v>-8.352377572550973E-2</v>
      </c>
    </row>
    <row r="4837" spans="7:8" x14ac:dyDescent="0.35">
      <c r="G4837" s="215">
        <v>4830</v>
      </c>
      <c r="H4837" s="16">
        <f t="shared" ca="1" si="83"/>
        <v>9.416726025918945E-2</v>
      </c>
    </row>
    <row r="4838" spans="7:8" x14ac:dyDescent="0.35">
      <c r="G4838" s="215">
        <v>4831</v>
      </c>
      <c r="H4838" s="16">
        <f t="shared" ca="1" si="83"/>
        <v>9.1323318462532915E-2</v>
      </c>
    </row>
    <row r="4839" spans="7:8" x14ac:dyDescent="0.35">
      <c r="G4839" s="215">
        <v>4832</v>
      </c>
      <c r="H4839" s="16">
        <f t="shared" ca="1" si="83"/>
        <v>-2.2362456879965336E-2</v>
      </c>
    </row>
    <row r="4840" spans="7:8" x14ac:dyDescent="0.35">
      <c r="G4840" s="215">
        <v>4833</v>
      </c>
      <c r="H4840" s="16">
        <f t="shared" ca="1" si="83"/>
        <v>1.5260068437766734E-2</v>
      </c>
    </row>
    <row r="4841" spans="7:8" x14ac:dyDescent="0.35">
      <c r="G4841" s="215">
        <v>4834</v>
      </c>
      <c r="H4841" s="16">
        <f t="shared" ca="1" si="83"/>
        <v>2.3149335627311446E-3</v>
      </c>
    </row>
    <row r="4842" spans="7:8" x14ac:dyDescent="0.35">
      <c r="G4842" s="215">
        <v>4835</v>
      </c>
      <c r="H4842" s="16">
        <f t="shared" ca="1" si="83"/>
        <v>8.0487406844051479E-2</v>
      </c>
    </row>
    <row r="4843" spans="7:8" x14ac:dyDescent="0.35">
      <c r="G4843" s="215">
        <v>4836</v>
      </c>
      <c r="H4843" s="16">
        <f t="shared" ca="1" si="83"/>
        <v>-1.2022347836840076E-2</v>
      </c>
    </row>
    <row r="4844" spans="7:8" x14ac:dyDescent="0.35">
      <c r="G4844" s="215">
        <v>4837</v>
      </c>
      <c r="H4844" s="16">
        <f t="shared" ca="1" si="83"/>
        <v>2.7581419703828366E-2</v>
      </c>
    </row>
    <row r="4845" spans="7:8" x14ac:dyDescent="0.35">
      <c r="G4845" s="215">
        <v>4838</v>
      </c>
      <c r="H4845" s="16">
        <f t="shared" ca="1" si="83"/>
        <v>-9.2339567681262946E-2</v>
      </c>
    </row>
    <row r="4846" spans="7:8" x14ac:dyDescent="0.35">
      <c r="G4846" s="215">
        <v>4839</v>
      </c>
      <c r="H4846" s="16">
        <f t="shared" ca="1" si="83"/>
        <v>-4.3492761260448848E-2</v>
      </c>
    </row>
    <row r="4847" spans="7:8" x14ac:dyDescent="0.35">
      <c r="G4847" s="215">
        <v>4840</v>
      </c>
      <c r="H4847" s="16">
        <f t="shared" ca="1" si="83"/>
        <v>-3.6008322123703904E-3</v>
      </c>
    </row>
    <row r="4848" spans="7:8" x14ac:dyDescent="0.35">
      <c r="G4848" s="215">
        <v>4841</v>
      </c>
      <c r="H4848" s="16">
        <f t="shared" ca="1" si="83"/>
        <v>2.2407126436611351E-2</v>
      </c>
    </row>
    <row r="4849" spans="7:8" x14ac:dyDescent="0.35">
      <c r="G4849" s="215">
        <v>4842</v>
      </c>
      <c r="H4849" s="16">
        <f t="shared" ca="1" si="83"/>
        <v>-0.1254546288682227</v>
      </c>
    </row>
    <row r="4850" spans="7:8" x14ac:dyDescent="0.35">
      <c r="G4850" s="215">
        <v>4843</v>
      </c>
      <c r="H4850" s="16">
        <f t="shared" ca="1" si="83"/>
        <v>0.15090595117739605</v>
      </c>
    </row>
    <row r="4851" spans="7:8" x14ac:dyDescent="0.35">
      <c r="G4851" s="215">
        <v>4844</v>
      </c>
      <c r="H4851" s="16">
        <f t="shared" ca="1" si="83"/>
        <v>1.2975704316614007E-3</v>
      </c>
    </row>
    <row r="4852" spans="7:8" x14ac:dyDescent="0.35">
      <c r="G4852" s="215">
        <v>4845</v>
      </c>
      <c r="H4852" s="16">
        <f t="shared" ca="1" si="83"/>
        <v>1.9656508297038383E-2</v>
      </c>
    </row>
    <row r="4853" spans="7:8" x14ac:dyDescent="0.35">
      <c r="G4853" s="215">
        <v>4846</v>
      </c>
      <c r="H4853" s="16">
        <f t="shared" ca="1" si="83"/>
        <v>-2.3093331725919704E-2</v>
      </c>
    </row>
    <row r="4854" spans="7:8" x14ac:dyDescent="0.35">
      <c r="G4854" s="215">
        <v>4847</v>
      </c>
      <c r="H4854" s="16">
        <f t="shared" ca="1" si="83"/>
        <v>-5.557709181885824E-2</v>
      </c>
    </row>
    <row r="4855" spans="7:8" x14ac:dyDescent="0.35">
      <c r="G4855" s="215">
        <v>4848</v>
      </c>
      <c r="H4855" s="16">
        <f t="shared" ca="1" si="83"/>
        <v>-3.1962275606531365E-2</v>
      </c>
    </row>
    <row r="4856" spans="7:8" x14ac:dyDescent="0.35">
      <c r="G4856" s="215">
        <v>4849</v>
      </c>
      <c r="H4856" s="16">
        <f t="shared" ca="1" si="83"/>
        <v>-0.12231694501293608</v>
      </c>
    </row>
    <row r="4857" spans="7:8" x14ac:dyDescent="0.35">
      <c r="G4857" s="215">
        <v>4850</v>
      </c>
      <c r="H4857" s="16">
        <f t="shared" ca="1" si="83"/>
        <v>6.0687770251681053E-2</v>
      </c>
    </row>
    <row r="4858" spans="7:8" x14ac:dyDescent="0.35">
      <c r="G4858" s="215">
        <v>4851</v>
      </c>
      <c r="H4858" s="16">
        <f t="shared" ca="1" si="83"/>
        <v>9.5509186022129114E-2</v>
      </c>
    </row>
    <row r="4859" spans="7:8" x14ac:dyDescent="0.35">
      <c r="G4859" s="215">
        <v>4852</v>
      </c>
      <c r="H4859" s="16">
        <f t="shared" ca="1" si="83"/>
        <v>2.6376604185469478E-2</v>
      </c>
    </row>
    <row r="4860" spans="7:8" x14ac:dyDescent="0.35">
      <c r="G4860" s="215">
        <v>4853</v>
      </c>
      <c r="H4860" s="16">
        <f t="shared" ca="1" si="83"/>
        <v>3.3753879950624004E-2</v>
      </c>
    </row>
    <row r="4861" spans="7:8" x14ac:dyDescent="0.35">
      <c r="G4861" s="215">
        <v>4854</v>
      </c>
      <c r="H4861" s="16">
        <f t="shared" ca="1" si="83"/>
        <v>1.4584040841125256E-2</v>
      </c>
    </row>
    <row r="4862" spans="7:8" x14ac:dyDescent="0.35">
      <c r="G4862" s="215">
        <v>4855</v>
      </c>
      <c r="H4862" s="16">
        <f t="shared" ca="1" si="83"/>
        <v>0.10019520739623217</v>
      </c>
    </row>
    <row r="4863" spans="7:8" x14ac:dyDescent="0.35">
      <c r="G4863" s="215">
        <v>4856</v>
      </c>
      <c r="H4863" s="16">
        <f t="shared" ca="1" si="83"/>
        <v>-1.0147555104469637E-2</v>
      </c>
    </row>
    <row r="4864" spans="7:8" x14ac:dyDescent="0.35">
      <c r="G4864" s="215">
        <v>4857</v>
      </c>
      <c r="H4864" s="16">
        <f t="shared" ca="1" si="83"/>
        <v>5.1166008739165408E-2</v>
      </c>
    </row>
    <row r="4865" spans="7:8" x14ac:dyDescent="0.35">
      <c r="G4865" s="215">
        <v>4858</v>
      </c>
      <c r="H4865" s="16">
        <f t="shared" ca="1" si="83"/>
        <v>8.1621079630108243E-2</v>
      </c>
    </row>
    <row r="4866" spans="7:8" x14ac:dyDescent="0.35">
      <c r="G4866" s="215">
        <v>4859</v>
      </c>
      <c r="H4866" s="16">
        <f t="shared" ca="1" si="83"/>
        <v>2.3660800345085164E-2</v>
      </c>
    </row>
    <row r="4867" spans="7:8" x14ac:dyDescent="0.35">
      <c r="G4867" s="215">
        <v>4860</v>
      </c>
      <c r="H4867" s="16">
        <f t="shared" ca="1" si="83"/>
        <v>-4.659566778135095E-2</v>
      </c>
    </row>
    <row r="4868" spans="7:8" x14ac:dyDescent="0.35">
      <c r="G4868" s="215">
        <v>4861</v>
      </c>
      <c r="H4868" s="16">
        <f t="shared" ca="1" si="83"/>
        <v>2.8392954466496294E-2</v>
      </c>
    </row>
    <row r="4869" spans="7:8" x14ac:dyDescent="0.35">
      <c r="G4869" s="215">
        <v>4862</v>
      </c>
      <c r="H4869" s="16">
        <f t="shared" ca="1" si="83"/>
        <v>-2.3855629486348836E-2</v>
      </c>
    </row>
    <row r="4870" spans="7:8" x14ac:dyDescent="0.35">
      <c r="G4870" s="215">
        <v>4863</v>
      </c>
      <c r="H4870" s="16">
        <f t="shared" ca="1" si="83"/>
        <v>-2.551279907649796E-2</v>
      </c>
    </row>
    <row r="4871" spans="7:8" x14ac:dyDescent="0.35">
      <c r="G4871" s="215">
        <v>4864</v>
      </c>
      <c r="H4871" s="16">
        <f t="shared" ca="1" si="83"/>
        <v>6.6335427426904656E-3</v>
      </c>
    </row>
    <row r="4872" spans="7:8" x14ac:dyDescent="0.35">
      <c r="G4872" s="215">
        <v>4865</v>
      </c>
      <c r="H4872" s="16">
        <f t="shared" ref="H4872:H4935" ca="1" si="84">_xlfn.NORM.INV(RAND(),M$10,M$11)</f>
        <v>-3.2366293238185059E-2</v>
      </c>
    </row>
    <row r="4873" spans="7:8" x14ac:dyDescent="0.35">
      <c r="G4873" s="215">
        <v>4866</v>
      </c>
      <c r="H4873" s="16">
        <f t="shared" ca="1" si="84"/>
        <v>0.13883634257874602</v>
      </c>
    </row>
    <row r="4874" spans="7:8" x14ac:dyDescent="0.35">
      <c r="G4874" s="215">
        <v>4867</v>
      </c>
      <c r="H4874" s="16">
        <f t="shared" ca="1" si="84"/>
        <v>-0.14914444768938198</v>
      </c>
    </row>
    <row r="4875" spans="7:8" x14ac:dyDescent="0.35">
      <c r="G4875" s="215">
        <v>4868</v>
      </c>
      <c r="H4875" s="16">
        <f t="shared" ca="1" si="84"/>
        <v>1.9462152424580506E-2</v>
      </c>
    </row>
    <row r="4876" spans="7:8" x14ac:dyDescent="0.35">
      <c r="G4876" s="215">
        <v>4869</v>
      </c>
      <c r="H4876" s="16">
        <f t="shared" ca="1" si="84"/>
        <v>9.5255732722050082E-2</v>
      </c>
    </row>
    <row r="4877" spans="7:8" x14ac:dyDescent="0.35">
      <c r="G4877" s="215">
        <v>4870</v>
      </c>
      <c r="H4877" s="16">
        <f t="shared" ca="1" si="84"/>
        <v>0.11514773702547509</v>
      </c>
    </row>
    <row r="4878" spans="7:8" x14ac:dyDescent="0.35">
      <c r="G4878" s="215">
        <v>4871</v>
      </c>
      <c r="H4878" s="16">
        <f t="shared" ca="1" si="84"/>
        <v>9.8187197022606212E-2</v>
      </c>
    </row>
    <row r="4879" spans="7:8" x14ac:dyDescent="0.35">
      <c r="G4879" s="215">
        <v>4872</v>
      </c>
      <c r="H4879" s="16">
        <f t="shared" ca="1" si="84"/>
        <v>-2.259966336336024E-2</v>
      </c>
    </row>
    <row r="4880" spans="7:8" x14ac:dyDescent="0.35">
      <c r="G4880" s="215">
        <v>4873</v>
      </c>
      <c r="H4880" s="16">
        <f t="shared" ca="1" si="84"/>
        <v>0.14220747215013296</v>
      </c>
    </row>
    <row r="4881" spans="7:8" x14ac:dyDescent="0.35">
      <c r="G4881" s="215">
        <v>4874</v>
      </c>
      <c r="H4881" s="16">
        <f t="shared" ca="1" si="84"/>
        <v>7.9501137940706484E-2</v>
      </c>
    </row>
    <row r="4882" spans="7:8" x14ac:dyDescent="0.35">
      <c r="G4882" s="215">
        <v>4875</v>
      </c>
      <c r="H4882" s="16">
        <f t="shared" ca="1" si="84"/>
        <v>8.5518583476912907E-2</v>
      </c>
    </row>
    <row r="4883" spans="7:8" x14ac:dyDescent="0.35">
      <c r="G4883" s="215">
        <v>4876</v>
      </c>
      <c r="H4883" s="16">
        <f t="shared" ca="1" si="84"/>
        <v>5.5242673173907131E-2</v>
      </c>
    </row>
    <row r="4884" spans="7:8" x14ac:dyDescent="0.35">
      <c r="G4884" s="215">
        <v>4877</v>
      </c>
      <c r="H4884" s="16">
        <f t="shared" ca="1" si="84"/>
        <v>7.6608065354952223E-2</v>
      </c>
    </row>
    <row r="4885" spans="7:8" x14ac:dyDescent="0.35">
      <c r="G4885" s="215">
        <v>4878</v>
      </c>
      <c r="H4885" s="16">
        <f t="shared" ca="1" si="84"/>
        <v>5.0436738956949834E-2</v>
      </c>
    </row>
    <row r="4886" spans="7:8" x14ac:dyDescent="0.35">
      <c r="G4886" s="215">
        <v>4879</v>
      </c>
      <c r="H4886" s="16">
        <f t="shared" ca="1" si="84"/>
        <v>6.7334244716937081E-2</v>
      </c>
    </row>
    <row r="4887" spans="7:8" x14ac:dyDescent="0.35">
      <c r="G4887" s="215">
        <v>4880</v>
      </c>
      <c r="H4887" s="16">
        <f t="shared" ca="1" si="84"/>
        <v>9.6765978377289646E-2</v>
      </c>
    </row>
    <row r="4888" spans="7:8" x14ac:dyDescent="0.35">
      <c r="G4888" s="215">
        <v>4881</v>
      </c>
      <c r="H4888" s="16">
        <f t="shared" ca="1" si="84"/>
        <v>-2.3600269196242359E-2</v>
      </c>
    </row>
    <row r="4889" spans="7:8" x14ac:dyDescent="0.35">
      <c r="G4889" s="215">
        <v>4882</v>
      </c>
      <c r="H4889" s="16">
        <f t="shared" ca="1" si="84"/>
        <v>0.11212105073862229</v>
      </c>
    </row>
    <row r="4890" spans="7:8" x14ac:dyDescent="0.35">
      <c r="G4890" s="215">
        <v>4883</v>
      </c>
      <c r="H4890" s="16">
        <f t="shared" ca="1" si="84"/>
        <v>1.8013768135280731E-2</v>
      </c>
    </row>
    <row r="4891" spans="7:8" x14ac:dyDescent="0.35">
      <c r="G4891" s="215">
        <v>4884</v>
      </c>
      <c r="H4891" s="16">
        <f t="shared" ca="1" si="84"/>
        <v>6.4701385796270633E-2</v>
      </c>
    </row>
    <row r="4892" spans="7:8" x14ac:dyDescent="0.35">
      <c r="G4892" s="215">
        <v>4885</v>
      </c>
      <c r="H4892" s="16">
        <f t="shared" ca="1" si="84"/>
        <v>-4.3964367537018184E-2</v>
      </c>
    </row>
    <row r="4893" spans="7:8" x14ac:dyDescent="0.35">
      <c r="G4893" s="215">
        <v>4886</v>
      </c>
      <c r="H4893" s="16">
        <f t="shared" ca="1" si="84"/>
        <v>1.6723186115221701E-2</v>
      </c>
    </row>
    <row r="4894" spans="7:8" x14ac:dyDescent="0.35">
      <c r="G4894" s="215">
        <v>4887</v>
      </c>
      <c r="H4894" s="16">
        <f t="shared" ca="1" si="84"/>
        <v>-2.2925337850138557E-2</v>
      </c>
    </row>
    <row r="4895" spans="7:8" x14ac:dyDescent="0.35">
      <c r="G4895" s="215">
        <v>4888</v>
      </c>
      <c r="H4895" s="16">
        <f t="shared" ca="1" si="84"/>
        <v>-1.1020373348565315E-2</v>
      </c>
    </row>
    <row r="4896" spans="7:8" x14ac:dyDescent="0.35">
      <c r="G4896" s="215">
        <v>4889</v>
      </c>
      <c r="H4896" s="16">
        <f t="shared" ca="1" si="84"/>
        <v>-5.1584987246565128E-2</v>
      </c>
    </row>
    <row r="4897" spans="7:8" x14ac:dyDescent="0.35">
      <c r="G4897" s="215">
        <v>4890</v>
      </c>
      <c r="H4897" s="16">
        <f t="shared" ca="1" si="84"/>
        <v>1.1830985537255609E-2</v>
      </c>
    </row>
    <row r="4898" spans="7:8" x14ac:dyDescent="0.35">
      <c r="G4898" s="215">
        <v>4891</v>
      </c>
      <c r="H4898" s="16">
        <f t="shared" ca="1" si="84"/>
        <v>0.16997959035436427</v>
      </c>
    </row>
    <row r="4899" spans="7:8" x14ac:dyDescent="0.35">
      <c r="G4899" s="215">
        <v>4892</v>
      </c>
      <c r="H4899" s="16">
        <f t="shared" ca="1" si="84"/>
        <v>4.6039244547149277E-2</v>
      </c>
    </row>
    <row r="4900" spans="7:8" x14ac:dyDescent="0.35">
      <c r="G4900" s="215">
        <v>4893</v>
      </c>
      <c r="H4900" s="16">
        <f t="shared" ca="1" si="84"/>
        <v>6.6876538132430788E-2</v>
      </c>
    </row>
    <row r="4901" spans="7:8" x14ac:dyDescent="0.35">
      <c r="G4901" s="215">
        <v>4894</v>
      </c>
      <c r="H4901" s="16">
        <f t="shared" ca="1" si="84"/>
        <v>4.4207490064269175E-2</v>
      </c>
    </row>
    <row r="4902" spans="7:8" x14ac:dyDescent="0.35">
      <c r="G4902" s="215">
        <v>4895</v>
      </c>
      <c r="H4902" s="16">
        <f t="shared" ca="1" si="84"/>
        <v>0.16677934997030933</v>
      </c>
    </row>
    <row r="4903" spans="7:8" x14ac:dyDescent="0.35">
      <c r="G4903" s="215">
        <v>4896</v>
      </c>
      <c r="H4903" s="16">
        <f t="shared" ca="1" si="84"/>
        <v>5.8938987809229668E-2</v>
      </c>
    </row>
    <row r="4904" spans="7:8" x14ac:dyDescent="0.35">
      <c r="G4904" s="215">
        <v>4897</v>
      </c>
      <c r="H4904" s="16">
        <f t="shared" ca="1" si="84"/>
        <v>-1.6721476656309721E-2</v>
      </c>
    </row>
    <row r="4905" spans="7:8" x14ac:dyDescent="0.35">
      <c r="G4905" s="215">
        <v>4898</v>
      </c>
      <c r="H4905" s="16">
        <f t="shared" ca="1" si="84"/>
        <v>3.9940050533734311E-2</v>
      </c>
    </row>
    <row r="4906" spans="7:8" x14ac:dyDescent="0.35">
      <c r="G4906" s="215">
        <v>4899</v>
      </c>
      <c r="H4906" s="16">
        <f t="shared" ca="1" si="84"/>
        <v>-1.2258085586804957E-2</v>
      </c>
    </row>
    <row r="4907" spans="7:8" x14ac:dyDescent="0.35">
      <c r="G4907" s="215">
        <v>4900</v>
      </c>
      <c r="H4907" s="16">
        <f t="shared" ca="1" si="84"/>
        <v>-3.5741596768381012E-2</v>
      </c>
    </row>
    <row r="4908" spans="7:8" x14ac:dyDescent="0.35">
      <c r="G4908" s="215">
        <v>4901</v>
      </c>
      <c r="H4908" s="16">
        <f t="shared" ca="1" si="84"/>
        <v>9.8027272472986544E-3</v>
      </c>
    </row>
    <row r="4909" spans="7:8" x14ac:dyDescent="0.35">
      <c r="G4909" s="215">
        <v>4902</v>
      </c>
      <c r="H4909" s="16">
        <f t="shared" ca="1" si="84"/>
        <v>-9.2888860510119409E-3</v>
      </c>
    </row>
    <row r="4910" spans="7:8" x14ac:dyDescent="0.35">
      <c r="G4910" s="215">
        <v>4903</v>
      </c>
      <c r="H4910" s="16">
        <f t="shared" ca="1" si="84"/>
        <v>1.6166774956349807E-2</v>
      </c>
    </row>
    <row r="4911" spans="7:8" x14ac:dyDescent="0.35">
      <c r="G4911" s="215">
        <v>4904</v>
      </c>
      <c r="H4911" s="16">
        <f t="shared" ca="1" si="84"/>
        <v>-3.7846572641931558E-2</v>
      </c>
    </row>
    <row r="4912" spans="7:8" x14ac:dyDescent="0.35">
      <c r="G4912" s="215">
        <v>4905</v>
      </c>
      <c r="H4912" s="16">
        <f t="shared" ca="1" si="84"/>
        <v>-7.0461164517166358E-2</v>
      </c>
    </row>
    <row r="4913" spans="7:8" x14ac:dyDescent="0.35">
      <c r="G4913" s="215">
        <v>4906</v>
      </c>
      <c r="H4913" s="16">
        <f t="shared" ca="1" si="84"/>
        <v>0.1886232733870058</v>
      </c>
    </row>
    <row r="4914" spans="7:8" x14ac:dyDescent="0.35">
      <c r="G4914" s="215">
        <v>4907</v>
      </c>
      <c r="H4914" s="16">
        <f t="shared" ca="1" si="84"/>
        <v>4.7952780894551456E-3</v>
      </c>
    </row>
    <row r="4915" spans="7:8" x14ac:dyDescent="0.35">
      <c r="G4915" s="215">
        <v>4908</v>
      </c>
      <c r="H4915" s="16">
        <f t="shared" ca="1" si="84"/>
        <v>-0.12636413156441906</v>
      </c>
    </row>
    <row r="4916" spans="7:8" x14ac:dyDescent="0.35">
      <c r="G4916" s="215">
        <v>4909</v>
      </c>
      <c r="H4916" s="16">
        <f t="shared" ca="1" si="84"/>
        <v>-2.9648066454887854E-2</v>
      </c>
    </row>
    <row r="4917" spans="7:8" x14ac:dyDescent="0.35">
      <c r="G4917" s="215">
        <v>4910</v>
      </c>
      <c r="H4917" s="16">
        <f t="shared" ca="1" si="84"/>
        <v>-9.1252362232041945E-2</v>
      </c>
    </row>
    <row r="4918" spans="7:8" x14ac:dyDescent="0.35">
      <c r="G4918" s="215">
        <v>4911</v>
      </c>
      <c r="H4918" s="16">
        <f t="shared" ca="1" si="84"/>
        <v>-0.10482856449061335</v>
      </c>
    </row>
    <row r="4919" spans="7:8" x14ac:dyDescent="0.35">
      <c r="G4919" s="215">
        <v>4912</v>
      </c>
      <c r="H4919" s="16">
        <f t="shared" ca="1" si="84"/>
        <v>8.6786458569607459E-3</v>
      </c>
    </row>
    <row r="4920" spans="7:8" x14ac:dyDescent="0.35">
      <c r="G4920" s="215">
        <v>4913</v>
      </c>
      <c r="H4920" s="16">
        <f t="shared" ca="1" si="84"/>
        <v>9.2930649871168114E-2</v>
      </c>
    </row>
    <row r="4921" spans="7:8" x14ac:dyDescent="0.35">
      <c r="G4921" s="215">
        <v>4914</v>
      </c>
      <c r="H4921" s="16">
        <f t="shared" ca="1" si="84"/>
        <v>1.6548427866442835E-2</v>
      </c>
    </row>
    <row r="4922" spans="7:8" x14ac:dyDescent="0.35">
      <c r="G4922" s="215">
        <v>4915</v>
      </c>
      <c r="H4922" s="16">
        <f t="shared" ca="1" si="84"/>
        <v>-6.9016424681393906E-2</v>
      </c>
    </row>
    <row r="4923" spans="7:8" x14ac:dyDescent="0.35">
      <c r="G4923" s="215">
        <v>4916</v>
      </c>
      <c r="H4923" s="16">
        <f t="shared" ca="1" si="84"/>
        <v>6.8024972539175971E-2</v>
      </c>
    </row>
    <row r="4924" spans="7:8" x14ac:dyDescent="0.35">
      <c r="G4924" s="215">
        <v>4917</v>
      </c>
      <c r="H4924" s="16">
        <f t="shared" ca="1" si="84"/>
        <v>2.3223415986795094E-2</v>
      </c>
    </row>
    <row r="4925" spans="7:8" x14ac:dyDescent="0.35">
      <c r="G4925" s="215">
        <v>4918</v>
      </c>
      <c r="H4925" s="16">
        <f t="shared" ca="1" si="84"/>
        <v>-1.7058647273263658E-2</v>
      </c>
    </row>
    <row r="4926" spans="7:8" x14ac:dyDescent="0.35">
      <c r="G4926" s="215">
        <v>4919</v>
      </c>
      <c r="H4926" s="16">
        <f t="shared" ca="1" si="84"/>
        <v>8.4597131814252061E-2</v>
      </c>
    </row>
    <row r="4927" spans="7:8" x14ac:dyDescent="0.35">
      <c r="G4927" s="215">
        <v>4920</v>
      </c>
      <c r="H4927" s="16">
        <f t="shared" ca="1" si="84"/>
        <v>5.988590594874682E-2</v>
      </c>
    </row>
    <row r="4928" spans="7:8" x14ac:dyDescent="0.35">
      <c r="G4928" s="215">
        <v>4921</v>
      </c>
      <c r="H4928" s="16">
        <f t="shared" ca="1" si="84"/>
        <v>-5.2872621964857827E-2</v>
      </c>
    </row>
    <row r="4929" spans="7:8" x14ac:dyDescent="0.35">
      <c r="G4929" s="215">
        <v>4922</v>
      </c>
      <c r="H4929" s="16">
        <f t="shared" ca="1" si="84"/>
        <v>-7.9768617812755765E-2</v>
      </c>
    </row>
    <row r="4930" spans="7:8" x14ac:dyDescent="0.35">
      <c r="G4930" s="215">
        <v>4923</v>
      </c>
      <c r="H4930" s="16">
        <f t="shared" ca="1" si="84"/>
        <v>4.6669948828177474E-2</v>
      </c>
    </row>
    <row r="4931" spans="7:8" x14ac:dyDescent="0.35">
      <c r="G4931" s="215">
        <v>4924</v>
      </c>
      <c r="H4931" s="16">
        <f t="shared" ca="1" si="84"/>
        <v>2.682801268368111E-2</v>
      </c>
    </row>
    <row r="4932" spans="7:8" x14ac:dyDescent="0.35">
      <c r="G4932" s="215">
        <v>4925</v>
      </c>
      <c r="H4932" s="16">
        <f t="shared" ca="1" si="84"/>
        <v>-2.7935223763030145E-2</v>
      </c>
    </row>
    <row r="4933" spans="7:8" x14ac:dyDescent="0.35">
      <c r="G4933" s="215">
        <v>4926</v>
      </c>
      <c r="H4933" s="16">
        <f t="shared" ca="1" si="84"/>
        <v>3.771859076028514E-3</v>
      </c>
    </row>
    <row r="4934" spans="7:8" x14ac:dyDescent="0.35">
      <c r="G4934" s="215">
        <v>4927</v>
      </c>
      <c r="H4934" s="16">
        <f t="shared" ca="1" si="84"/>
        <v>8.8157179257299295E-2</v>
      </c>
    </row>
    <row r="4935" spans="7:8" x14ac:dyDescent="0.35">
      <c r="G4935" s="215">
        <v>4928</v>
      </c>
      <c r="H4935" s="16">
        <f t="shared" ca="1" si="84"/>
        <v>0.15188271311693249</v>
      </c>
    </row>
    <row r="4936" spans="7:8" x14ac:dyDescent="0.35">
      <c r="G4936" s="215">
        <v>4929</v>
      </c>
      <c r="H4936" s="16">
        <f t="shared" ref="H4936:H4999" ca="1" si="85">_xlfn.NORM.INV(RAND(),M$10,M$11)</f>
        <v>-3.7678690162528325E-2</v>
      </c>
    </row>
    <row r="4937" spans="7:8" x14ac:dyDescent="0.35">
      <c r="G4937" s="215">
        <v>4930</v>
      </c>
      <c r="H4937" s="16">
        <f t="shared" ca="1" si="85"/>
        <v>-1.6544423595901386E-2</v>
      </c>
    </row>
    <row r="4938" spans="7:8" x14ac:dyDescent="0.35">
      <c r="G4938" s="215">
        <v>4931</v>
      </c>
      <c r="H4938" s="16">
        <f t="shared" ca="1" si="85"/>
        <v>0.1250817643117425</v>
      </c>
    </row>
    <row r="4939" spans="7:8" x14ac:dyDescent="0.35">
      <c r="G4939" s="215">
        <v>4932</v>
      </c>
      <c r="H4939" s="16">
        <f t="shared" ca="1" si="85"/>
        <v>9.1120665387329727E-2</v>
      </c>
    </row>
    <row r="4940" spans="7:8" x14ac:dyDescent="0.35">
      <c r="G4940" s="215">
        <v>4933</v>
      </c>
      <c r="H4940" s="16">
        <f t="shared" ca="1" si="85"/>
        <v>-3.8393748604688527E-2</v>
      </c>
    </row>
    <row r="4941" spans="7:8" x14ac:dyDescent="0.35">
      <c r="G4941" s="215">
        <v>4934</v>
      </c>
      <c r="H4941" s="16">
        <f t="shared" ca="1" si="85"/>
        <v>1.7407120729980186E-2</v>
      </c>
    </row>
    <row r="4942" spans="7:8" x14ac:dyDescent="0.35">
      <c r="G4942" s="215">
        <v>4935</v>
      </c>
      <c r="H4942" s="16">
        <f t="shared" ca="1" si="85"/>
        <v>5.0573819643112652E-2</v>
      </c>
    </row>
    <row r="4943" spans="7:8" x14ac:dyDescent="0.35">
      <c r="G4943" s="215">
        <v>4936</v>
      </c>
      <c r="H4943" s="16">
        <f t="shared" ca="1" si="85"/>
        <v>6.5698966225378158E-2</v>
      </c>
    </row>
    <row r="4944" spans="7:8" x14ac:dyDescent="0.35">
      <c r="G4944" s="215">
        <v>4937</v>
      </c>
      <c r="H4944" s="16">
        <f t="shared" ca="1" si="85"/>
        <v>7.5474182817864485E-2</v>
      </c>
    </row>
    <row r="4945" spans="7:8" x14ac:dyDescent="0.35">
      <c r="G4945" s="215">
        <v>4938</v>
      </c>
      <c r="H4945" s="16">
        <f t="shared" ca="1" si="85"/>
        <v>3.937220665196383E-2</v>
      </c>
    </row>
    <row r="4946" spans="7:8" x14ac:dyDescent="0.35">
      <c r="G4946" s="215">
        <v>4939</v>
      </c>
      <c r="H4946" s="16">
        <f t="shared" ca="1" si="85"/>
        <v>-2.5037790807714486E-2</v>
      </c>
    </row>
    <row r="4947" spans="7:8" x14ac:dyDescent="0.35">
      <c r="G4947" s="215">
        <v>4940</v>
      </c>
      <c r="H4947" s="16">
        <f t="shared" ca="1" si="85"/>
        <v>6.3466978159852638E-2</v>
      </c>
    </row>
    <row r="4948" spans="7:8" x14ac:dyDescent="0.35">
      <c r="G4948" s="215">
        <v>4941</v>
      </c>
      <c r="H4948" s="16">
        <f t="shared" ca="1" si="85"/>
        <v>7.3790207830718227E-3</v>
      </c>
    </row>
    <row r="4949" spans="7:8" x14ac:dyDescent="0.35">
      <c r="G4949" s="215">
        <v>4942</v>
      </c>
      <c r="H4949" s="16">
        <f t="shared" ca="1" si="85"/>
        <v>-0.12196715211708717</v>
      </c>
    </row>
    <row r="4950" spans="7:8" x14ac:dyDescent="0.35">
      <c r="G4950" s="215">
        <v>4943</v>
      </c>
      <c r="H4950" s="16">
        <f t="shared" ca="1" si="85"/>
        <v>-1.3947041434342621E-2</v>
      </c>
    </row>
    <row r="4951" spans="7:8" x14ac:dyDescent="0.35">
      <c r="G4951" s="215">
        <v>4944</v>
      </c>
      <c r="H4951" s="16">
        <f t="shared" ca="1" si="85"/>
        <v>7.9079698654523911E-2</v>
      </c>
    </row>
    <row r="4952" spans="7:8" x14ac:dyDescent="0.35">
      <c r="G4952" s="215">
        <v>4945</v>
      </c>
      <c r="H4952" s="16">
        <f t="shared" ca="1" si="85"/>
        <v>-0.11885952391378166</v>
      </c>
    </row>
    <row r="4953" spans="7:8" x14ac:dyDescent="0.35">
      <c r="G4953" s="215">
        <v>4946</v>
      </c>
      <c r="H4953" s="16">
        <f t="shared" ca="1" si="85"/>
        <v>2.4477693432323949E-2</v>
      </c>
    </row>
    <row r="4954" spans="7:8" x14ac:dyDescent="0.35">
      <c r="G4954" s="215">
        <v>4947</v>
      </c>
      <c r="H4954" s="16">
        <f t="shared" ca="1" si="85"/>
        <v>-7.7968015797634446E-3</v>
      </c>
    </row>
    <row r="4955" spans="7:8" x14ac:dyDescent="0.35">
      <c r="G4955" s="215">
        <v>4948</v>
      </c>
      <c r="H4955" s="16">
        <f t="shared" ca="1" si="85"/>
        <v>2.7028605030166589E-2</v>
      </c>
    </row>
    <row r="4956" spans="7:8" x14ac:dyDescent="0.35">
      <c r="G4956" s="215">
        <v>4949</v>
      </c>
      <c r="H4956" s="16">
        <f t="shared" ca="1" si="85"/>
        <v>-2.5223185948552298E-2</v>
      </c>
    </row>
    <row r="4957" spans="7:8" x14ac:dyDescent="0.35">
      <c r="G4957" s="215">
        <v>4950</v>
      </c>
      <c r="H4957" s="16">
        <f t="shared" ca="1" si="85"/>
        <v>5.4799882853684062E-2</v>
      </c>
    </row>
    <row r="4958" spans="7:8" x14ac:dyDescent="0.35">
      <c r="G4958" s="215">
        <v>4951</v>
      </c>
      <c r="H4958" s="16">
        <f t="shared" ca="1" si="85"/>
        <v>2.4422995104531497E-2</v>
      </c>
    </row>
    <row r="4959" spans="7:8" x14ac:dyDescent="0.35">
      <c r="G4959" s="215">
        <v>4952</v>
      </c>
      <c r="H4959" s="16">
        <f t="shared" ca="1" si="85"/>
        <v>6.9320184662922169E-2</v>
      </c>
    </row>
    <row r="4960" spans="7:8" x14ac:dyDescent="0.35">
      <c r="G4960" s="215">
        <v>4953</v>
      </c>
      <c r="H4960" s="16">
        <f t="shared" ca="1" si="85"/>
        <v>-0.10811714258831565</v>
      </c>
    </row>
    <row r="4961" spans="7:8" x14ac:dyDescent="0.35">
      <c r="G4961" s="215">
        <v>4954</v>
      </c>
      <c r="H4961" s="16">
        <f t="shared" ca="1" si="85"/>
        <v>0.18096059620467148</v>
      </c>
    </row>
    <row r="4962" spans="7:8" x14ac:dyDescent="0.35">
      <c r="G4962" s="215">
        <v>4955</v>
      </c>
      <c r="H4962" s="16">
        <f t="shared" ca="1" si="85"/>
        <v>-8.2000051323001741E-2</v>
      </c>
    </row>
    <row r="4963" spans="7:8" x14ac:dyDescent="0.35">
      <c r="G4963" s="215">
        <v>4956</v>
      </c>
      <c r="H4963" s="16">
        <f t="shared" ca="1" si="85"/>
        <v>-0.12856058302200338</v>
      </c>
    </row>
    <row r="4964" spans="7:8" x14ac:dyDescent="0.35">
      <c r="G4964" s="215">
        <v>4957</v>
      </c>
      <c r="H4964" s="16">
        <f t="shared" ca="1" si="85"/>
        <v>-2.0340607289941404E-2</v>
      </c>
    </row>
    <row r="4965" spans="7:8" x14ac:dyDescent="0.35">
      <c r="G4965" s="215">
        <v>4958</v>
      </c>
      <c r="H4965" s="16">
        <f t="shared" ca="1" si="85"/>
        <v>1.8128114413101352E-2</v>
      </c>
    </row>
    <row r="4966" spans="7:8" x14ac:dyDescent="0.35">
      <c r="G4966" s="215">
        <v>4959</v>
      </c>
      <c r="H4966" s="16">
        <f t="shared" ca="1" si="85"/>
        <v>0.14042225679870141</v>
      </c>
    </row>
    <row r="4967" spans="7:8" x14ac:dyDescent="0.35">
      <c r="G4967" s="215">
        <v>4960</v>
      </c>
      <c r="H4967" s="16">
        <f t="shared" ca="1" si="85"/>
        <v>9.0372697226551568E-3</v>
      </c>
    </row>
    <row r="4968" spans="7:8" x14ac:dyDescent="0.35">
      <c r="G4968" s="215">
        <v>4961</v>
      </c>
      <c r="H4968" s="16">
        <f t="shared" ca="1" si="85"/>
        <v>6.3604556515365937E-2</v>
      </c>
    </row>
    <row r="4969" spans="7:8" x14ac:dyDescent="0.35">
      <c r="G4969" s="215">
        <v>4962</v>
      </c>
      <c r="H4969" s="16">
        <f t="shared" ca="1" si="85"/>
        <v>3.4589014655467591E-2</v>
      </c>
    </row>
    <row r="4970" spans="7:8" x14ac:dyDescent="0.35">
      <c r="G4970" s="215">
        <v>4963</v>
      </c>
      <c r="H4970" s="16">
        <f t="shared" ca="1" si="85"/>
        <v>-8.9645348694148586E-2</v>
      </c>
    </row>
    <row r="4971" spans="7:8" x14ac:dyDescent="0.35">
      <c r="G4971" s="215">
        <v>4964</v>
      </c>
      <c r="H4971" s="16">
        <f t="shared" ca="1" si="85"/>
        <v>-2.612586551321262E-2</v>
      </c>
    </row>
    <row r="4972" spans="7:8" x14ac:dyDescent="0.35">
      <c r="G4972" s="215">
        <v>4965</v>
      </c>
      <c r="H4972" s="16">
        <f t="shared" ca="1" si="85"/>
        <v>9.5361790122187401E-2</v>
      </c>
    </row>
    <row r="4973" spans="7:8" x14ac:dyDescent="0.35">
      <c r="G4973" s="215">
        <v>4966</v>
      </c>
      <c r="H4973" s="16">
        <f t="shared" ca="1" si="85"/>
        <v>-9.6471137479040625E-2</v>
      </c>
    </row>
    <row r="4974" spans="7:8" x14ac:dyDescent="0.35">
      <c r="G4974" s="215">
        <v>4967</v>
      </c>
      <c r="H4974" s="16">
        <f t="shared" ca="1" si="85"/>
        <v>2.6510650221411101E-2</v>
      </c>
    </row>
    <row r="4975" spans="7:8" x14ac:dyDescent="0.35">
      <c r="G4975" s="215">
        <v>4968</v>
      </c>
      <c r="H4975" s="16">
        <f t="shared" ca="1" si="85"/>
        <v>3.9069582001967189E-4</v>
      </c>
    </row>
    <row r="4976" spans="7:8" x14ac:dyDescent="0.35">
      <c r="G4976" s="215">
        <v>4969</v>
      </c>
      <c r="H4976" s="16">
        <f t="shared" ca="1" si="85"/>
        <v>4.6869136872532968E-3</v>
      </c>
    </row>
    <row r="4977" spans="7:8" x14ac:dyDescent="0.35">
      <c r="G4977" s="215">
        <v>4970</v>
      </c>
      <c r="H4977" s="16">
        <f t="shared" ca="1" si="85"/>
        <v>0.12080559639908497</v>
      </c>
    </row>
    <row r="4978" spans="7:8" x14ac:dyDescent="0.35">
      <c r="G4978" s="215">
        <v>4971</v>
      </c>
      <c r="H4978" s="16">
        <f t="shared" ca="1" si="85"/>
        <v>1.6034134834487221E-2</v>
      </c>
    </row>
    <row r="4979" spans="7:8" x14ac:dyDescent="0.35">
      <c r="G4979" s="215">
        <v>4972</v>
      </c>
      <c r="H4979" s="16">
        <f t="shared" ca="1" si="85"/>
        <v>-3.7017020571617681E-2</v>
      </c>
    </row>
    <row r="4980" spans="7:8" x14ac:dyDescent="0.35">
      <c r="G4980" s="215">
        <v>4973</v>
      </c>
      <c r="H4980" s="16">
        <f t="shared" ca="1" si="85"/>
        <v>-4.7279373915019955E-3</v>
      </c>
    </row>
    <row r="4981" spans="7:8" x14ac:dyDescent="0.35">
      <c r="G4981" s="215">
        <v>4974</v>
      </c>
      <c r="H4981" s="16">
        <f t="shared" ca="1" si="85"/>
        <v>-5.1217864751005662E-2</v>
      </c>
    </row>
    <row r="4982" spans="7:8" x14ac:dyDescent="0.35">
      <c r="G4982" s="215">
        <v>4975</v>
      </c>
      <c r="H4982" s="16">
        <f t="shared" ca="1" si="85"/>
        <v>-6.4194672849825093E-2</v>
      </c>
    </row>
    <row r="4983" spans="7:8" x14ac:dyDescent="0.35">
      <c r="G4983" s="215">
        <v>4976</v>
      </c>
      <c r="H4983" s="16">
        <f t="shared" ca="1" si="85"/>
        <v>-5.4760219866305512E-2</v>
      </c>
    </row>
    <row r="4984" spans="7:8" x14ac:dyDescent="0.35">
      <c r="G4984" s="215">
        <v>4977</v>
      </c>
      <c r="H4984" s="16">
        <f t="shared" ca="1" si="85"/>
        <v>-3.6852320054792193E-2</v>
      </c>
    </row>
    <row r="4985" spans="7:8" x14ac:dyDescent="0.35">
      <c r="G4985" s="215">
        <v>4978</v>
      </c>
      <c r="H4985" s="16">
        <f t="shared" ca="1" si="85"/>
        <v>-0.10386707214629229</v>
      </c>
    </row>
    <row r="4986" spans="7:8" x14ac:dyDescent="0.35">
      <c r="G4986" s="215">
        <v>4979</v>
      </c>
      <c r="H4986" s="16">
        <f t="shared" ca="1" si="85"/>
        <v>5.6042752902682735E-2</v>
      </c>
    </row>
    <row r="4987" spans="7:8" x14ac:dyDescent="0.35">
      <c r="G4987" s="215">
        <v>4980</v>
      </c>
      <c r="H4987" s="16">
        <f t="shared" ca="1" si="85"/>
        <v>-4.6686048084122175E-2</v>
      </c>
    </row>
    <row r="4988" spans="7:8" x14ac:dyDescent="0.35">
      <c r="G4988" s="215">
        <v>4981</v>
      </c>
      <c r="H4988" s="16">
        <f t="shared" ca="1" si="85"/>
        <v>3.961356320552864E-2</v>
      </c>
    </row>
    <row r="4989" spans="7:8" x14ac:dyDescent="0.35">
      <c r="G4989" s="215">
        <v>4982</v>
      </c>
      <c r="H4989" s="16">
        <f t="shared" ca="1" si="85"/>
        <v>-0.12927880450645962</v>
      </c>
    </row>
    <row r="4990" spans="7:8" x14ac:dyDescent="0.35">
      <c r="G4990" s="215">
        <v>4983</v>
      </c>
      <c r="H4990" s="16">
        <f t="shared" ca="1" si="85"/>
        <v>-0.12315871150650773</v>
      </c>
    </row>
    <row r="4991" spans="7:8" x14ac:dyDescent="0.35">
      <c r="G4991" s="215">
        <v>4984</v>
      </c>
      <c r="H4991" s="16">
        <f t="shared" ca="1" si="85"/>
        <v>5.4469875169394624E-2</v>
      </c>
    </row>
    <row r="4992" spans="7:8" x14ac:dyDescent="0.35">
      <c r="G4992" s="215">
        <v>4985</v>
      </c>
      <c r="H4992" s="16">
        <f t="shared" ca="1" si="85"/>
        <v>-5.1506715272453055E-3</v>
      </c>
    </row>
    <row r="4993" spans="7:8" x14ac:dyDescent="0.35">
      <c r="G4993" s="215">
        <v>4986</v>
      </c>
      <c r="H4993" s="16">
        <f t="shared" ca="1" si="85"/>
        <v>5.6738825590574955E-3</v>
      </c>
    </row>
    <row r="4994" spans="7:8" x14ac:dyDescent="0.35">
      <c r="G4994" s="215">
        <v>4987</v>
      </c>
      <c r="H4994" s="16">
        <f t="shared" ca="1" si="85"/>
        <v>2.8912025285864673E-2</v>
      </c>
    </row>
    <row r="4995" spans="7:8" x14ac:dyDescent="0.35">
      <c r="G4995" s="215">
        <v>4988</v>
      </c>
      <c r="H4995" s="16">
        <f t="shared" ca="1" si="85"/>
        <v>-5.8356330117932648E-2</v>
      </c>
    </row>
    <row r="4996" spans="7:8" x14ac:dyDescent="0.35">
      <c r="G4996" s="215">
        <v>4989</v>
      </c>
      <c r="H4996" s="16">
        <f t="shared" ca="1" si="85"/>
        <v>-1.808142609478168E-2</v>
      </c>
    </row>
    <row r="4997" spans="7:8" x14ac:dyDescent="0.35">
      <c r="G4997" s="215">
        <v>4990</v>
      </c>
      <c r="H4997" s="16">
        <f t="shared" ca="1" si="85"/>
        <v>-5.6528897546158571E-2</v>
      </c>
    </row>
    <row r="4998" spans="7:8" x14ac:dyDescent="0.35">
      <c r="G4998" s="215">
        <v>4991</v>
      </c>
      <c r="H4998" s="16">
        <f t="shared" ca="1" si="85"/>
        <v>5.0177897735466506E-2</v>
      </c>
    </row>
    <row r="4999" spans="7:8" x14ac:dyDescent="0.35">
      <c r="G4999" s="215">
        <v>4992</v>
      </c>
      <c r="H4999" s="16">
        <f t="shared" ca="1" si="85"/>
        <v>4.2053893840076767E-3</v>
      </c>
    </row>
    <row r="5000" spans="7:8" x14ac:dyDescent="0.35">
      <c r="G5000" s="215">
        <v>4993</v>
      </c>
      <c r="H5000" s="16">
        <f t="shared" ref="H5000:H5063" ca="1" si="86">_xlfn.NORM.INV(RAND(),M$10,M$11)</f>
        <v>-2.3566489821490035E-2</v>
      </c>
    </row>
    <row r="5001" spans="7:8" x14ac:dyDescent="0.35">
      <c r="G5001" s="215">
        <v>4994</v>
      </c>
      <c r="H5001" s="16">
        <f t="shared" ca="1" si="86"/>
        <v>8.0994592530086312E-2</v>
      </c>
    </row>
    <row r="5002" spans="7:8" x14ac:dyDescent="0.35">
      <c r="G5002" s="215">
        <v>4995</v>
      </c>
      <c r="H5002" s="16">
        <f t="shared" ca="1" si="86"/>
        <v>7.2146346078138732E-5</v>
      </c>
    </row>
    <row r="5003" spans="7:8" x14ac:dyDescent="0.35">
      <c r="G5003" s="215">
        <v>4996</v>
      </c>
      <c r="H5003" s="16">
        <f t="shared" ca="1" si="86"/>
        <v>-1.5400598479856243E-2</v>
      </c>
    </row>
    <row r="5004" spans="7:8" x14ac:dyDescent="0.35">
      <c r="G5004" s="215">
        <v>4997</v>
      </c>
      <c r="H5004" s="16">
        <f t="shared" ca="1" si="86"/>
        <v>8.6921159444462687E-2</v>
      </c>
    </row>
    <row r="5005" spans="7:8" x14ac:dyDescent="0.35">
      <c r="G5005" s="215">
        <v>4998</v>
      </c>
      <c r="H5005" s="16">
        <f t="shared" ca="1" si="86"/>
        <v>7.8702516468789577E-2</v>
      </c>
    </row>
    <row r="5006" spans="7:8" x14ac:dyDescent="0.35">
      <c r="G5006" s="215">
        <v>4999</v>
      </c>
      <c r="H5006" s="16">
        <f t="shared" ca="1" si="86"/>
        <v>-9.1442371582053442E-3</v>
      </c>
    </row>
    <row r="5007" spans="7:8" x14ac:dyDescent="0.35">
      <c r="G5007" s="215">
        <v>5000</v>
      </c>
      <c r="H5007" s="16">
        <f t="shared" ca="1" si="86"/>
        <v>-2.9159960959143996E-2</v>
      </c>
    </row>
    <row r="5008" spans="7:8" x14ac:dyDescent="0.35">
      <c r="G5008" s="215">
        <v>5001</v>
      </c>
      <c r="H5008" s="16">
        <f t="shared" ca="1" si="86"/>
        <v>1.8601867051646837E-2</v>
      </c>
    </row>
    <row r="5009" spans="7:8" x14ac:dyDescent="0.35">
      <c r="G5009" s="215">
        <v>5002</v>
      </c>
      <c r="H5009" s="16">
        <f t="shared" ca="1" si="86"/>
        <v>0.11248080551446965</v>
      </c>
    </row>
    <row r="5010" spans="7:8" x14ac:dyDescent="0.35">
      <c r="G5010" s="215">
        <v>5003</v>
      </c>
      <c r="H5010" s="16">
        <f t="shared" ca="1" si="86"/>
        <v>-8.1664971854028143E-2</v>
      </c>
    </row>
    <row r="5011" spans="7:8" x14ac:dyDescent="0.35">
      <c r="G5011" s="215">
        <v>5004</v>
      </c>
      <c r="H5011" s="16">
        <f t="shared" ca="1" si="86"/>
        <v>-0.15465531480498715</v>
      </c>
    </row>
    <row r="5012" spans="7:8" x14ac:dyDescent="0.35">
      <c r="G5012" s="215">
        <v>5005</v>
      </c>
      <c r="H5012" s="16">
        <f t="shared" ca="1" si="86"/>
        <v>7.3423162631212777E-2</v>
      </c>
    </row>
    <row r="5013" spans="7:8" x14ac:dyDescent="0.35">
      <c r="G5013" s="215">
        <v>5006</v>
      </c>
      <c r="H5013" s="16">
        <f t="shared" ca="1" si="86"/>
        <v>0.18182543243391541</v>
      </c>
    </row>
    <row r="5014" spans="7:8" x14ac:dyDescent="0.35">
      <c r="G5014" s="215">
        <v>5007</v>
      </c>
      <c r="H5014" s="16">
        <f t="shared" ca="1" si="86"/>
        <v>0.24173942109214683</v>
      </c>
    </row>
    <row r="5015" spans="7:8" x14ac:dyDescent="0.35">
      <c r="G5015" s="215">
        <v>5008</v>
      </c>
      <c r="H5015" s="16">
        <f t="shared" ca="1" si="86"/>
        <v>7.951974812130945E-2</v>
      </c>
    </row>
    <row r="5016" spans="7:8" x14ac:dyDescent="0.35">
      <c r="G5016" s="215">
        <v>5009</v>
      </c>
      <c r="H5016" s="16">
        <f t="shared" ca="1" si="86"/>
        <v>1.3148760303728531E-2</v>
      </c>
    </row>
    <row r="5017" spans="7:8" x14ac:dyDescent="0.35">
      <c r="G5017" s="215">
        <v>5010</v>
      </c>
      <c r="H5017" s="16">
        <f t="shared" ca="1" si="86"/>
        <v>2.0288021869381782E-3</v>
      </c>
    </row>
    <row r="5018" spans="7:8" x14ac:dyDescent="0.35">
      <c r="G5018" s="215">
        <v>5011</v>
      </c>
      <c r="H5018" s="16">
        <f t="shared" ca="1" si="86"/>
        <v>0.10327786223714218</v>
      </c>
    </row>
    <row r="5019" spans="7:8" x14ac:dyDescent="0.35">
      <c r="G5019" s="215">
        <v>5012</v>
      </c>
      <c r="H5019" s="16">
        <f t="shared" ca="1" si="86"/>
        <v>-5.5713725924083531E-3</v>
      </c>
    </row>
    <row r="5020" spans="7:8" x14ac:dyDescent="0.35">
      <c r="G5020" s="215">
        <v>5013</v>
      </c>
      <c r="H5020" s="16">
        <f t="shared" ca="1" si="86"/>
        <v>-5.9886662244898248E-2</v>
      </c>
    </row>
    <row r="5021" spans="7:8" x14ac:dyDescent="0.35">
      <c r="G5021" s="215">
        <v>5014</v>
      </c>
      <c r="H5021" s="16">
        <f t="shared" ca="1" si="86"/>
        <v>6.8753284963408517E-2</v>
      </c>
    </row>
    <row r="5022" spans="7:8" x14ac:dyDescent="0.35">
      <c r="G5022" s="215">
        <v>5015</v>
      </c>
      <c r="H5022" s="16">
        <f t="shared" ca="1" si="86"/>
        <v>6.3440204157551597E-2</v>
      </c>
    </row>
    <row r="5023" spans="7:8" x14ac:dyDescent="0.35">
      <c r="G5023" s="215">
        <v>5016</v>
      </c>
      <c r="H5023" s="16">
        <f t="shared" ca="1" si="86"/>
        <v>7.7017591094446997E-3</v>
      </c>
    </row>
    <row r="5024" spans="7:8" x14ac:dyDescent="0.35">
      <c r="G5024" s="215">
        <v>5017</v>
      </c>
      <c r="H5024" s="16">
        <f t="shared" ca="1" si="86"/>
        <v>-7.4225944002268895E-2</v>
      </c>
    </row>
    <row r="5025" spans="7:8" x14ac:dyDescent="0.35">
      <c r="G5025" s="215">
        <v>5018</v>
      </c>
      <c r="H5025" s="16">
        <f t="shared" ca="1" si="86"/>
        <v>6.859770564042798E-3</v>
      </c>
    </row>
    <row r="5026" spans="7:8" x14ac:dyDescent="0.35">
      <c r="G5026" s="215">
        <v>5019</v>
      </c>
      <c r="H5026" s="16">
        <f t="shared" ca="1" si="86"/>
        <v>4.0728959649898963E-2</v>
      </c>
    </row>
    <row r="5027" spans="7:8" x14ac:dyDescent="0.35">
      <c r="G5027" s="215">
        <v>5020</v>
      </c>
      <c r="H5027" s="16">
        <f t="shared" ca="1" si="86"/>
        <v>1.7827223333702857E-2</v>
      </c>
    </row>
    <row r="5028" spans="7:8" x14ac:dyDescent="0.35">
      <c r="G5028" s="215">
        <v>5021</v>
      </c>
      <c r="H5028" s="16">
        <f t="shared" ca="1" si="86"/>
        <v>-5.1016874299663187E-2</v>
      </c>
    </row>
    <row r="5029" spans="7:8" x14ac:dyDescent="0.35">
      <c r="G5029" s="215">
        <v>5022</v>
      </c>
      <c r="H5029" s="16">
        <f t="shared" ca="1" si="86"/>
        <v>4.5988346286638684E-2</v>
      </c>
    </row>
    <row r="5030" spans="7:8" x14ac:dyDescent="0.35">
      <c r="G5030" s="215">
        <v>5023</v>
      </c>
      <c r="H5030" s="16">
        <f t="shared" ca="1" si="86"/>
        <v>7.3371206563061953E-2</v>
      </c>
    </row>
    <row r="5031" spans="7:8" x14ac:dyDescent="0.35">
      <c r="G5031" s="215">
        <v>5024</v>
      </c>
      <c r="H5031" s="16">
        <f t="shared" ca="1" si="86"/>
        <v>9.0965467847763659E-2</v>
      </c>
    </row>
    <row r="5032" spans="7:8" x14ac:dyDescent="0.35">
      <c r="G5032" s="215">
        <v>5025</v>
      </c>
      <c r="H5032" s="16">
        <f t="shared" ca="1" si="86"/>
        <v>-2.9306011897220336E-2</v>
      </c>
    </row>
    <row r="5033" spans="7:8" x14ac:dyDescent="0.35">
      <c r="G5033" s="215">
        <v>5026</v>
      </c>
      <c r="H5033" s="16">
        <f t="shared" ca="1" si="86"/>
        <v>6.4813954816321462E-2</v>
      </c>
    </row>
    <row r="5034" spans="7:8" x14ac:dyDescent="0.35">
      <c r="G5034" s="215">
        <v>5027</v>
      </c>
      <c r="H5034" s="16">
        <f t="shared" ca="1" si="86"/>
        <v>-0.12136420302649714</v>
      </c>
    </row>
    <row r="5035" spans="7:8" x14ac:dyDescent="0.35">
      <c r="G5035" s="215">
        <v>5028</v>
      </c>
      <c r="H5035" s="16">
        <f t="shared" ca="1" si="86"/>
        <v>-2.9187049582079065E-3</v>
      </c>
    </row>
    <row r="5036" spans="7:8" x14ac:dyDescent="0.35">
      <c r="G5036" s="215">
        <v>5029</v>
      </c>
      <c r="H5036" s="16">
        <f t="shared" ca="1" si="86"/>
        <v>-8.93027202309358E-2</v>
      </c>
    </row>
    <row r="5037" spans="7:8" x14ac:dyDescent="0.35">
      <c r="G5037" s="215">
        <v>5030</v>
      </c>
      <c r="H5037" s="16">
        <f t="shared" ca="1" si="86"/>
        <v>6.1663242221331932E-2</v>
      </c>
    </row>
    <row r="5038" spans="7:8" x14ac:dyDescent="0.35">
      <c r="G5038" s="215">
        <v>5031</v>
      </c>
      <c r="H5038" s="16">
        <f t="shared" ca="1" si="86"/>
        <v>4.9530642515373743E-2</v>
      </c>
    </row>
    <row r="5039" spans="7:8" x14ac:dyDescent="0.35">
      <c r="G5039" s="215">
        <v>5032</v>
      </c>
      <c r="H5039" s="16">
        <f t="shared" ca="1" si="86"/>
        <v>-8.6654873335471852E-2</v>
      </c>
    </row>
    <row r="5040" spans="7:8" x14ac:dyDescent="0.35">
      <c r="G5040" s="215">
        <v>5033</v>
      </c>
      <c r="H5040" s="16">
        <f t="shared" ca="1" si="86"/>
        <v>8.8605900933738727E-2</v>
      </c>
    </row>
    <row r="5041" spans="7:8" x14ac:dyDescent="0.35">
      <c r="G5041" s="215">
        <v>5034</v>
      </c>
      <c r="H5041" s="16">
        <f t="shared" ca="1" si="86"/>
        <v>-2.5178908106480598E-2</v>
      </c>
    </row>
    <row r="5042" spans="7:8" x14ac:dyDescent="0.35">
      <c r="G5042" s="215">
        <v>5035</v>
      </c>
      <c r="H5042" s="16">
        <f t="shared" ca="1" si="86"/>
        <v>-4.804003662789498E-3</v>
      </c>
    </row>
    <row r="5043" spans="7:8" x14ac:dyDescent="0.35">
      <c r="G5043" s="215">
        <v>5036</v>
      </c>
      <c r="H5043" s="16">
        <f t="shared" ca="1" si="86"/>
        <v>8.8812351216377677E-2</v>
      </c>
    </row>
    <row r="5044" spans="7:8" x14ac:dyDescent="0.35">
      <c r="G5044" s="215">
        <v>5037</v>
      </c>
      <c r="H5044" s="16">
        <f t="shared" ca="1" si="86"/>
        <v>-1.7972284914229922E-2</v>
      </c>
    </row>
    <row r="5045" spans="7:8" x14ac:dyDescent="0.35">
      <c r="G5045" s="215">
        <v>5038</v>
      </c>
      <c r="H5045" s="16">
        <f t="shared" ca="1" si="86"/>
        <v>-3.3839191974131558E-2</v>
      </c>
    </row>
    <row r="5046" spans="7:8" x14ac:dyDescent="0.35">
      <c r="G5046" s="215">
        <v>5039</v>
      </c>
      <c r="H5046" s="16">
        <f t="shared" ca="1" si="86"/>
        <v>-4.7760395173900919E-2</v>
      </c>
    </row>
    <row r="5047" spans="7:8" x14ac:dyDescent="0.35">
      <c r="G5047" s="215">
        <v>5040</v>
      </c>
      <c r="H5047" s="16">
        <f t="shared" ca="1" si="86"/>
        <v>9.6270284634926026E-2</v>
      </c>
    </row>
    <row r="5048" spans="7:8" x14ac:dyDescent="0.35">
      <c r="G5048" s="215">
        <v>5041</v>
      </c>
      <c r="H5048" s="16">
        <f t="shared" ca="1" si="86"/>
        <v>2.6754368432975358E-2</v>
      </c>
    </row>
    <row r="5049" spans="7:8" x14ac:dyDescent="0.35">
      <c r="G5049" s="215">
        <v>5042</v>
      </c>
      <c r="H5049" s="16">
        <f t="shared" ca="1" si="86"/>
        <v>-3.411228980454363E-2</v>
      </c>
    </row>
    <row r="5050" spans="7:8" x14ac:dyDescent="0.35">
      <c r="G5050" s="215">
        <v>5043</v>
      </c>
      <c r="H5050" s="16">
        <f t="shared" ca="1" si="86"/>
        <v>-7.3677366015206386E-3</v>
      </c>
    </row>
    <row r="5051" spans="7:8" x14ac:dyDescent="0.35">
      <c r="G5051" s="215">
        <v>5044</v>
      </c>
      <c r="H5051" s="16">
        <f t="shared" ca="1" si="86"/>
        <v>7.3009098884078125E-2</v>
      </c>
    </row>
    <row r="5052" spans="7:8" x14ac:dyDescent="0.35">
      <c r="G5052" s="215">
        <v>5045</v>
      </c>
      <c r="H5052" s="16">
        <f t="shared" ca="1" si="86"/>
        <v>3.7450142407546294E-3</v>
      </c>
    </row>
    <row r="5053" spans="7:8" x14ac:dyDescent="0.35">
      <c r="G5053" s="215">
        <v>5046</v>
      </c>
      <c r="H5053" s="16">
        <f t="shared" ca="1" si="86"/>
        <v>1.6701012355959177E-2</v>
      </c>
    </row>
    <row r="5054" spans="7:8" x14ac:dyDescent="0.35">
      <c r="G5054" s="215">
        <v>5047</v>
      </c>
      <c r="H5054" s="16">
        <f t="shared" ca="1" si="86"/>
        <v>3.0477679624262965E-2</v>
      </c>
    </row>
    <row r="5055" spans="7:8" x14ac:dyDescent="0.35">
      <c r="G5055" s="215">
        <v>5048</v>
      </c>
      <c r="H5055" s="16">
        <f t="shared" ca="1" si="86"/>
        <v>7.0222816530570317E-2</v>
      </c>
    </row>
    <row r="5056" spans="7:8" x14ac:dyDescent="0.35">
      <c r="G5056" s="215">
        <v>5049</v>
      </c>
      <c r="H5056" s="16">
        <f t="shared" ca="1" si="86"/>
        <v>3.2279797364818598E-2</v>
      </c>
    </row>
    <row r="5057" spans="7:8" x14ac:dyDescent="0.35">
      <c r="G5057" s="215">
        <v>5050</v>
      </c>
      <c r="H5057" s="16">
        <f t="shared" ca="1" si="86"/>
        <v>9.4420604367791205E-2</v>
      </c>
    </row>
    <row r="5058" spans="7:8" x14ac:dyDescent="0.35">
      <c r="G5058" s="215">
        <v>5051</v>
      </c>
      <c r="H5058" s="16">
        <f t="shared" ca="1" si="86"/>
        <v>1.4407519240946451E-3</v>
      </c>
    </row>
    <row r="5059" spans="7:8" x14ac:dyDescent="0.35">
      <c r="G5059" s="215">
        <v>5052</v>
      </c>
      <c r="H5059" s="16">
        <f t="shared" ca="1" si="86"/>
        <v>-2.1739361478626418E-3</v>
      </c>
    </row>
    <row r="5060" spans="7:8" x14ac:dyDescent="0.35">
      <c r="G5060" s="215">
        <v>5053</v>
      </c>
      <c r="H5060" s="16">
        <f t="shared" ca="1" si="86"/>
        <v>-7.4602970212790234E-2</v>
      </c>
    </row>
    <row r="5061" spans="7:8" x14ac:dyDescent="0.35">
      <c r="G5061" s="215">
        <v>5054</v>
      </c>
      <c r="H5061" s="16">
        <f t="shared" ca="1" si="86"/>
        <v>4.7437516666671065E-2</v>
      </c>
    </row>
    <row r="5062" spans="7:8" x14ac:dyDescent="0.35">
      <c r="G5062" s="215">
        <v>5055</v>
      </c>
      <c r="H5062" s="16">
        <f t="shared" ca="1" si="86"/>
        <v>6.6324580828519691E-2</v>
      </c>
    </row>
    <row r="5063" spans="7:8" x14ac:dyDescent="0.35">
      <c r="G5063" s="215">
        <v>5056</v>
      </c>
      <c r="H5063" s="16">
        <f t="shared" ca="1" si="86"/>
        <v>3.3474921087868384E-2</v>
      </c>
    </row>
    <row r="5064" spans="7:8" x14ac:dyDescent="0.35">
      <c r="G5064" s="215">
        <v>5057</v>
      </c>
      <c r="H5064" s="16">
        <f t="shared" ref="H5064:H5127" ca="1" si="87">_xlfn.NORM.INV(RAND(),M$10,M$11)</f>
        <v>7.9450557030845609E-2</v>
      </c>
    </row>
    <row r="5065" spans="7:8" x14ac:dyDescent="0.35">
      <c r="G5065" s="215">
        <v>5058</v>
      </c>
      <c r="H5065" s="16">
        <f t="shared" ca="1" si="87"/>
        <v>-0.1524424648075095</v>
      </c>
    </row>
    <row r="5066" spans="7:8" x14ac:dyDescent="0.35">
      <c r="G5066" s="215">
        <v>5059</v>
      </c>
      <c r="H5066" s="16">
        <f t="shared" ca="1" si="87"/>
        <v>1.6509623504260183E-2</v>
      </c>
    </row>
    <row r="5067" spans="7:8" x14ac:dyDescent="0.35">
      <c r="G5067" s="215">
        <v>5060</v>
      </c>
      <c r="H5067" s="16">
        <f t="shared" ca="1" si="87"/>
        <v>6.0533396330921807E-2</v>
      </c>
    </row>
    <row r="5068" spans="7:8" x14ac:dyDescent="0.35">
      <c r="G5068" s="215">
        <v>5061</v>
      </c>
      <c r="H5068" s="16">
        <f t="shared" ca="1" si="87"/>
        <v>4.122392601383125E-2</v>
      </c>
    </row>
    <row r="5069" spans="7:8" x14ac:dyDescent="0.35">
      <c r="G5069" s="215">
        <v>5062</v>
      </c>
      <c r="H5069" s="16">
        <f t="shared" ca="1" si="87"/>
        <v>5.7530694577200212E-2</v>
      </c>
    </row>
    <row r="5070" spans="7:8" x14ac:dyDescent="0.35">
      <c r="G5070" s="215">
        <v>5063</v>
      </c>
      <c r="H5070" s="16">
        <f t="shared" ca="1" si="87"/>
        <v>9.1610091120253589E-3</v>
      </c>
    </row>
    <row r="5071" spans="7:8" x14ac:dyDescent="0.35">
      <c r="G5071" s="215">
        <v>5064</v>
      </c>
      <c r="H5071" s="16">
        <f t="shared" ca="1" si="87"/>
        <v>-9.9232776790499438E-2</v>
      </c>
    </row>
    <row r="5072" spans="7:8" x14ac:dyDescent="0.35">
      <c r="G5072" s="215">
        <v>5065</v>
      </c>
      <c r="H5072" s="16">
        <f t="shared" ca="1" si="87"/>
        <v>-6.8261443370518732E-2</v>
      </c>
    </row>
    <row r="5073" spans="7:8" x14ac:dyDescent="0.35">
      <c r="G5073" s="215">
        <v>5066</v>
      </c>
      <c r="H5073" s="16">
        <f t="shared" ca="1" si="87"/>
        <v>3.9948644218213182E-2</v>
      </c>
    </row>
    <row r="5074" spans="7:8" x14ac:dyDescent="0.35">
      <c r="G5074" s="215">
        <v>5067</v>
      </c>
      <c r="H5074" s="16">
        <f t="shared" ca="1" si="87"/>
        <v>5.0294890322705593E-2</v>
      </c>
    </row>
    <row r="5075" spans="7:8" x14ac:dyDescent="0.35">
      <c r="G5075" s="215">
        <v>5068</v>
      </c>
      <c r="H5075" s="16">
        <f t="shared" ca="1" si="87"/>
        <v>2.9820567282899311E-2</v>
      </c>
    </row>
    <row r="5076" spans="7:8" x14ac:dyDescent="0.35">
      <c r="G5076" s="215">
        <v>5069</v>
      </c>
      <c r="H5076" s="16">
        <f t="shared" ca="1" si="87"/>
        <v>5.3868769941645536E-2</v>
      </c>
    </row>
    <row r="5077" spans="7:8" x14ac:dyDescent="0.35">
      <c r="G5077" s="215">
        <v>5070</v>
      </c>
      <c r="H5077" s="16">
        <f t="shared" ca="1" si="87"/>
        <v>7.4004534591408447E-2</v>
      </c>
    </row>
    <row r="5078" spans="7:8" x14ac:dyDescent="0.35">
      <c r="G5078" s="215">
        <v>5071</v>
      </c>
      <c r="H5078" s="16">
        <f t="shared" ca="1" si="87"/>
        <v>-6.9905384326891987E-2</v>
      </c>
    </row>
    <row r="5079" spans="7:8" x14ac:dyDescent="0.35">
      <c r="G5079" s="215">
        <v>5072</v>
      </c>
      <c r="H5079" s="16">
        <f t="shared" ca="1" si="87"/>
        <v>4.5964510489822086E-3</v>
      </c>
    </row>
    <row r="5080" spans="7:8" x14ac:dyDescent="0.35">
      <c r="G5080" s="215">
        <v>5073</v>
      </c>
      <c r="H5080" s="16">
        <f t="shared" ca="1" si="87"/>
        <v>8.13814806141255E-3</v>
      </c>
    </row>
    <row r="5081" spans="7:8" x14ac:dyDescent="0.35">
      <c r="G5081" s="215">
        <v>5074</v>
      </c>
      <c r="H5081" s="16">
        <f t="shared" ca="1" si="87"/>
        <v>0.12033919574905101</v>
      </c>
    </row>
    <row r="5082" spans="7:8" x14ac:dyDescent="0.35">
      <c r="G5082" s="215">
        <v>5075</v>
      </c>
      <c r="H5082" s="16">
        <f t="shared" ca="1" si="87"/>
        <v>8.5421952230649786E-2</v>
      </c>
    </row>
    <row r="5083" spans="7:8" x14ac:dyDescent="0.35">
      <c r="G5083" s="215">
        <v>5076</v>
      </c>
      <c r="H5083" s="16">
        <f t="shared" ca="1" si="87"/>
        <v>9.7213968519030872E-2</v>
      </c>
    </row>
    <row r="5084" spans="7:8" x14ac:dyDescent="0.35">
      <c r="G5084" s="215">
        <v>5077</v>
      </c>
      <c r="H5084" s="16">
        <f t="shared" ca="1" si="87"/>
        <v>-8.676041947828679E-2</v>
      </c>
    </row>
    <row r="5085" spans="7:8" x14ac:dyDescent="0.35">
      <c r="G5085" s="215">
        <v>5078</v>
      </c>
      <c r="H5085" s="16">
        <f t="shared" ca="1" si="87"/>
        <v>1.3208641083718428E-2</v>
      </c>
    </row>
    <row r="5086" spans="7:8" x14ac:dyDescent="0.35">
      <c r="G5086" s="215">
        <v>5079</v>
      </c>
      <c r="H5086" s="16">
        <f t="shared" ca="1" si="87"/>
        <v>7.6396672247083547E-2</v>
      </c>
    </row>
    <row r="5087" spans="7:8" x14ac:dyDescent="0.35">
      <c r="G5087" s="215">
        <v>5080</v>
      </c>
      <c r="H5087" s="16">
        <f t="shared" ca="1" si="87"/>
        <v>1.5167985045930529E-2</v>
      </c>
    </row>
    <row r="5088" spans="7:8" x14ac:dyDescent="0.35">
      <c r="G5088" s="215">
        <v>5081</v>
      </c>
      <c r="H5088" s="16">
        <f t="shared" ca="1" si="87"/>
        <v>-5.8167730572599927E-2</v>
      </c>
    </row>
    <row r="5089" spans="7:8" x14ac:dyDescent="0.35">
      <c r="G5089" s="215">
        <v>5082</v>
      </c>
      <c r="H5089" s="16">
        <f t="shared" ca="1" si="87"/>
        <v>-9.5200796387060714E-3</v>
      </c>
    </row>
    <row r="5090" spans="7:8" x14ac:dyDescent="0.35">
      <c r="G5090" s="215">
        <v>5083</v>
      </c>
      <c r="H5090" s="16">
        <f t="shared" ca="1" si="87"/>
        <v>-4.0080062859975868E-2</v>
      </c>
    </row>
    <row r="5091" spans="7:8" x14ac:dyDescent="0.35">
      <c r="G5091" s="215">
        <v>5084</v>
      </c>
      <c r="H5091" s="16">
        <f t="shared" ca="1" si="87"/>
        <v>-1.4359233855321278E-2</v>
      </c>
    </row>
    <row r="5092" spans="7:8" x14ac:dyDescent="0.35">
      <c r="G5092" s="215">
        <v>5085</v>
      </c>
      <c r="H5092" s="16">
        <f t="shared" ca="1" si="87"/>
        <v>3.8375886804294129E-2</v>
      </c>
    </row>
    <row r="5093" spans="7:8" x14ac:dyDescent="0.35">
      <c r="G5093" s="215">
        <v>5086</v>
      </c>
      <c r="H5093" s="16">
        <f t="shared" ca="1" si="87"/>
        <v>1.8466169629891165E-2</v>
      </c>
    </row>
    <row r="5094" spans="7:8" x14ac:dyDescent="0.35">
      <c r="G5094" s="215">
        <v>5087</v>
      </c>
      <c r="H5094" s="16">
        <f t="shared" ca="1" si="87"/>
        <v>9.23183887891212E-2</v>
      </c>
    </row>
    <row r="5095" spans="7:8" x14ac:dyDescent="0.35">
      <c r="G5095" s="215">
        <v>5088</v>
      </c>
      <c r="H5095" s="16">
        <f t="shared" ca="1" si="87"/>
        <v>2.7645327176647611E-2</v>
      </c>
    </row>
    <row r="5096" spans="7:8" x14ac:dyDescent="0.35">
      <c r="G5096" s="215">
        <v>5089</v>
      </c>
      <c r="H5096" s="16">
        <f t="shared" ca="1" si="87"/>
        <v>2.7079087743789913E-2</v>
      </c>
    </row>
    <row r="5097" spans="7:8" x14ac:dyDescent="0.35">
      <c r="G5097" s="215">
        <v>5090</v>
      </c>
      <c r="H5097" s="16">
        <f t="shared" ca="1" si="87"/>
        <v>5.8896537320337616E-2</v>
      </c>
    </row>
    <row r="5098" spans="7:8" x14ac:dyDescent="0.35">
      <c r="G5098" s="215">
        <v>5091</v>
      </c>
      <c r="H5098" s="16">
        <f t="shared" ca="1" si="87"/>
        <v>3.0535193837758205E-2</v>
      </c>
    </row>
    <row r="5099" spans="7:8" x14ac:dyDescent="0.35">
      <c r="G5099" s="215">
        <v>5092</v>
      </c>
      <c r="H5099" s="16">
        <f t="shared" ca="1" si="87"/>
        <v>-4.9853018135645855E-2</v>
      </c>
    </row>
    <row r="5100" spans="7:8" x14ac:dyDescent="0.35">
      <c r="G5100" s="215">
        <v>5093</v>
      </c>
      <c r="H5100" s="16">
        <f t="shared" ca="1" si="87"/>
        <v>-6.6840072106681636E-2</v>
      </c>
    </row>
    <row r="5101" spans="7:8" x14ac:dyDescent="0.35">
      <c r="G5101" s="215">
        <v>5094</v>
      </c>
      <c r="H5101" s="16">
        <f t="shared" ca="1" si="87"/>
        <v>4.9795346316011298E-3</v>
      </c>
    </row>
    <row r="5102" spans="7:8" x14ac:dyDescent="0.35">
      <c r="G5102" s="215">
        <v>5095</v>
      </c>
      <c r="H5102" s="16">
        <f t="shared" ca="1" si="87"/>
        <v>0.10211840082057001</v>
      </c>
    </row>
    <row r="5103" spans="7:8" x14ac:dyDescent="0.35">
      <c r="G5103" s="215">
        <v>5096</v>
      </c>
      <c r="H5103" s="16">
        <f t="shared" ca="1" si="87"/>
        <v>0.11762116601086746</v>
      </c>
    </row>
    <row r="5104" spans="7:8" x14ac:dyDescent="0.35">
      <c r="G5104" s="215">
        <v>5097</v>
      </c>
      <c r="H5104" s="16">
        <f t="shared" ca="1" si="87"/>
        <v>1.396823970391466E-2</v>
      </c>
    </row>
    <row r="5105" spans="7:8" x14ac:dyDescent="0.35">
      <c r="G5105" s="215">
        <v>5098</v>
      </c>
      <c r="H5105" s="16">
        <f t="shared" ca="1" si="87"/>
        <v>6.2107488946405637E-2</v>
      </c>
    </row>
    <row r="5106" spans="7:8" x14ac:dyDescent="0.35">
      <c r="G5106" s="215">
        <v>5099</v>
      </c>
      <c r="H5106" s="16">
        <f t="shared" ca="1" si="87"/>
        <v>0.11423658086872594</v>
      </c>
    </row>
    <row r="5107" spans="7:8" x14ac:dyDescent="0.35">
      <c r="G5107" s="215">
        <v>5100</v>
      </c>
      <c r="H5107" s="16">
        <f t="shared" ca="1" si="87"/>
        <v>6.8342559809257644E-2</v>
      </c>
    </row>
    <row r="5108" spans="7:8" x14ac:dyDescent="0.35">
      <c r="G5108" s="215">
        <v>5101</v>
      </c>
      <c r="H5108" s="16">
        <f t="shared" ca="1" si="87"/>
        <v>3.343666216594271E-2</v>
      </c>
    </row>
    <row r="5109" spans="7:8" x14ac:dyDescent="0.35">
      <c r="G5109" s="215">
        <v>5102</v>
      </c>
      <c r="H5109" s="16">
        <f t="shared" ca="1" si="87"/>
        <v>-1.0073458740394656E-2</v>
      </c>
    </row>
    <row r="5110" spans="7:8" x14ac:dyDescent="0.35">
      <c r="G5110" s="215">
        <v>5103</v>
      </c>
      <c r="H5110" s="16">
        <f t="shared" ca="1" si="87"/>
        <v>-1.4931134086743934E-2</v>
      </c>
    </row>
    <row r="5111" spans="7:8" x14ac:dyDescent="0.35">
      <c r="G5111" s="215">
        <v>5104</v>
      </c>
      <c r="H5111" s="16">
        <f t="shared" ca="1" si="87"/>
        <v>-1.0554138230812408E-2</v>
      </c>
    </row>
    <row r="5112" spans="7:8" x14ac:dyDescent="0.35">
      <c r="G5112" s="215">
        <v>5105</v>
      </c>
      <c r="H5112" s="16">
        <f t="shared" ca="1" si="87"/>
        <v>-0.1073386513131742</v>
      </c>
    </row>
    <row r="5113" spans="7:8" x14ac:dyDescent="0.35">
      <c r="G5113" s="215">
        <v>5106</v>
      </c>
      <c r="H5113" s="16">
        <f t="shared" ca="1" si="87"/>
        <v>5.4059662515069523E-2</v>
      </c>
    </row>
    <row r="5114" spans="7:8" x14ac:dyDescent="0.35">
      <c r="G5114" s="215">
        <v>5107</v>
      </c>
      <c r="H5114" s="16">
        <f t="shared" ca="1" si="87"/>
        <v>-8.1345202094439323E-2</v>
      </c>
    </row>
    <row r="5115" spans="7:8" x14ac:dyDescent="0.35">
      <c r="G5115" s="215">
        <v>5108</v>
      </c>
      <c r="H5115" s="16">
        <f t="shared" ca="1" si="87"/>
        <v>6.1820494609512805E-2</v>
      </c>
    </row>
    <row r="5116" spans="7:8" x14ac:dyDescent="0.35">
      <c r="G5116" s="215">
        <v>5109</v>
      </c>
      <c r="H5116" s="16">
        <f t="shared" ca="1" si="87"/>
        <v>-6.1199046197517246E-2</v>
      </c>
    </row>
    <row r="5117" spans="7:8" x14ac:dyDescent="0.35">
      <c r="G5117" s="215">
        <v>5110</v>
      </c>
      <c r="H5117" s="16">
        <f t="shared" ca="1" si="87"/>
        <v>7.9564348680751878E-2</v>
      </c>
    </row>
    <row r="5118" spans="7:8" x14ac:dyDescent="0.35">
      <c r="G5118" s="215">
        <v>5111</v>
      </c>
      <c r="H5118" s="16">
        <f t="shared" ca="1" si="87"/>
        <v>4.7132227475096655E-2</v>
      </c>
    </row>
    <row r="5119" spans="7:8" x14ac:dyDescent="0.35">
      <c r="G5119" s="215">
        <v>5112</v>
      </c>
      <c r="H5119" s="16">
        <f t="shared" ca="1" si="87"/>
        <v>-2.6729349196624938E-3</v>
      </c>
    </row>
    <row r="5120" spans="7:8" x14ac:dyDescent="0.35">
      <c r="G5120" s="215">
        <v>5113</v>
      </c>
      <c r="H5120" s="16">
        <f t="shared" ca="1" si="87"/>
        <v>0.1076473662872113</v>
      </c>
    </row>
    <row r="5121" spans="7:8" x14ac:dyDescent="0.35">
      <c r="G5121" s="215">
        <v>5114</v>
      </c>
      <c r="H5121" s="16">
        <f t="shared" ca="1" si="87"/>
        <v>0.12342349542286053</v>
      </c>
    </row>
    <row r="5122" spans="7:8" x14ac:dyDescent="0.35">
      <c r="G5122" s="215">
        <v>5115</v>
      </c>
      <c r="H5122" s="16">
        <f t="shared" ca="1" si="87"/>
        <v>7.6181584863057109E-2</v>
      </c>
    </row>
    <row r="5123" spans="7:8" x14ac:dyDescent="0.35">
      <c r="G5123" s="215">
        <v>5116</v>
      </c>
      <c r="H5123" s="16">
        <f t="shared" ca="1" si="87"/>
        <v>-1.5732673831325511E-2</v>
      </c>
    </row>
    <row r="5124" spans="7:8" x14ac:dyDescent="0.35">
      <c r="G5124" s="215">
        <v>5117</v>
      </c>
      <c r="H5124" s="16">
        <f t="shared" ca="1" si="87"/>
        <v>6.8074315542622124E-2</v>
      </c>
    </row>
    <row r="5125" spans="7:8" x14ac:dyDescent="0.35">
      <c r="G5125" s="215">
        <v>5118</v>
      </c>
      <c r="H5125" s="16">
        <f t="shared" ca="1" si="87"/>
        <v>0.14925585158494067</v>
      </c>
    </row>
    <row r="5126" spans="7:8" x14ac:dyDescent="0.35">
      <c r="G5126" s="215">
        <v>5119</v>
      </c>
      <c r="H5126" s="16">
        <f t="shared" ca="1" si="87"/>
        <v>-4.3237932448080885E-2</v>
      </c>
    </row>
    <row r="5127" spans="7:8" x14ac:dyDescent="0.35">
      <c r="G5127" s="215">
        <v>5120</v>
      </c>
      <c r="H5127" s="16">
        <f t="shared" ca="1" si="87"/>
        <v>-3.0635363856041518E-2</v>
      </c>
    </row>
    <row r="5128" spans="7:8" x14ac:dyDescent="0.35">
      <c r="G5128" s="215">
        <v>5121</v>
      </c>
      <c r="H5128" s="16">
        <f t="shared" ref="H5128:H5191" ca="1" si="88">_xlfn.NORM.INV(RAND(),M$10,M$11)</f>
        <v>7.1929094082579234E-2</v>
      </c>
    </row>
    <row r="5129" spans="7:8" x14ac:dyDescent="0.35">
      <c r="G5129" s="215">
        <v>5122</v>
      </c>
      <c r="H5129" s="16">
        <f t="shared" ca="1" si="88"/>
        <v>-2.7506863790475938E-2</v>
      </c>
    </row>
    <row r="5130" spans="7:8" x14ac:dyDescent="0.35">
      <c r="G5130" s="215">
        <v>5123</v>
      </c>
      <c r="H5130" s="16">
        <f t="shared" ca="1" si="88"/>
        <v>3.4570816785102508E-2</v>
      </c>
    </row>
    <row r="5131" spans="7:8" x14ac:dyDescent="0.35">
      <c r="G5131" s="215">
        <v>5124</v>
      </c>
      <c r="H5131" s="16">
        <f t="shared" ca="1" si="88"/>
        <v>-4.5261711534178836E-2</v>
      </c>
    </row>
    <row r="5132" spans="7:8" x14ac:dyDescent="0.35">
      <c r="G5132" s="215">
        <v>5125</v>
      </c>
      <c r="H5132" s="16">
        <f t="shared" ca="1" si="88"/>
        <v>0.13183092741805752</v>
      </c>
    </row>
    <row r="5133" spans="7:8" x14ac:dyDescent="0.35">
      <c r="G5133" s="215">
        <v>5126</v>
      </c>
      <c r="H5133" s="16">
        <f t="shared" ca="1" si="88"/>
        <v>4.0267020120852579E-2</v>
      </c>
    </row>
    <row r="5134" spans="7:8" x14ac:dyDescent="0.35">
      <c r="G5134" s="215">
        <v>5127</v>
      </c>
      <c r="H5134" s="16">
        <f t="shared" ca="1" si="88"/>
        <v>-5.2872711543230352E-2</v>
      </c>
    </row>
    <row r="5135" spans="7:8" x14ac:dyDescent="0.35">
      <c r="G5135" s="215">
        <v>5128</v>
      </c>
      <c r="H5135" s="16">
        <f t="shared" ca="1" si="88"/>
        <v>-2.2496046714080922E-2</v>
      </c>
    </row>
    <row r="5136" spans="7:8" x14ac:dyDescent="0.35">
      <c r="G5136" s="215">
        <v>5129</v>
      </c>
      <c r="H5136" s="16">
        <f t="shared" ca="1" si="88"/>
        <v>6.6031522934997533E-2</v>
      </c>
    </row>
    <row r="5137" spans="7:8" x14ac:dyDescent="0.35">
      <c r="G5137" s="215">
        <v>5130</v>
      </c>
      <c r="H5137" s="16">
        <f t="shared" ca="1" si="88"/>
        <v>-0.13223049618083013</v>
      </c>
    </row>
    <row r="5138" spans="7:8" x14ac:dyDescent="0.35">
      <c r="G5138" s="215">
        <v>5131</v>
      </c>
      <c r="H5138" s="16">
        <f t="shared" ca="1" si="88"/>
        <v>-2.9131753279420299E-2</v>
      </c>
    </row>
    <row r="5139" spans="7:8" x14ac:dyDescent="0.35">
      <c r="G5139" s="215">
        <v>5132</v>
      </c>
      <c r="H5139" s="16">
        <f t="shared" ca="1" si="88"/>
        <v>5.9400829981192199E-2</v>
      </c>
    </row>
    <row r="5140" spans="7:8" x14ac:dyDescent="0.35">
      <c r="G5140" s="215">
        <v>5133</v>
      </c>
      <c r="H5140" s="16">
        <f t="shared" ca="1" si="88"/>
        <v>-8.7749651609532256E-2</v>
      </c>
    </row>
    <row r="5141" spans="7:8" x14ac:dyDescent="0.35">
      <c r="G5141" s="215">
        <v>5134</v>
      </c>
      <c r="H5141" s="16">
        <f t="shared" ca="1" si="88"/>
        <v>-1.0325492056150846E-3</v>
      </c>
    </row>
    <row r="5142" spans="7:8" x14ac:dyDescent="0.35">
      <c r="G5142" s="215">
        <v>5135</v>
      </c>
      <c r="H5142" s="16">
        <f t="shared" ca="1" si="88"/>
        <v>0.12011036258997614</v>
      </c>
    </row>
    <row r="5143" spans="7:8" x14ac:dyDescent="0.35">
      <c r="G5143" s="215">
        <v>5136</v>
      </c>
      <c r="H5143" s="16">
        <f t="shared" ca="1" si="88"/>
        <v>4.2594432979661256E-2</v>
      </c>
    </row>
    <row r="5144" spans="7:8" x14ac:dyDescent="0.35">
      <c r="G5144" s="215">
        <v>5137</v>
      </c>
      <c r="H5144" s="16">
        <f t="shared" ca="1" si="88"/>
        <v>5.3039985138347179E-2</v>
      </c>
    </row>
    <row r="5145" spans="7:8" x14ac:dyDescent="0.35">
      <c r="G5145" s="215">
        <v>5138</v>
      </c>
      <c r="H5145" s="16">
        <f t="shared" ca="1" si="88"/>
        <v>2.3285143504394052E-3</v>
      </c>
    </row>
    <row r="5146" spans="7:8" x14ac:dyDescent="0.35">
      <c r="G5146" s="215">
        <v>5139</v>
      </c>
      <c r="H5146" s="16">
        <f t="shared" ca="1" si="88"/>
        <v>2.1132019813730713E-2</v>
      </c>
    </row>
    <row r="5147" spans="7:8" x14ac:dyDescent="0.35">
      <c r="G5147" s="215">
        <v>5140</v>
      </c>
      <c r="H5147" s="16">
        <f t="shared" ca="1" si="88"/>
        <v>-5.7815530051919008E-3</v>
      </c>
    </row>
    <row r="5148" spans="7:8" x14ac:dyDescent="0.35">
      <c r="G5148" s="215">
        <v>5141</v>
      </c>
      <c r="H5148" s="16">
        <f t="shared" ca="1" si="88"/>
        <v>-0.10720473340896118</v>
      </c>
    </row>
    <row r="5149" spans="7:8" x14ac:dyDescent="0.35">
      <c r="G5149" s="215">
        <v>5142</v>
      </c>
      <c r="H5149" s="16">
        <f t="shared" ca="1" si="88"/>
        <v>0.12731610747139127</v>
      </c>
    </row>
    <row r="5150" spans="7:8" x14ac:dyDescent="0.35">
      <c r="G5150" s="215">
        <v>5143</v>
      </c>
      <c r="H5150" s="16">
        <f t="shared" ca="1" si="88"/>
        <v>-2.646976699875556E-2</v>
      </c>
    </row>
    <row r="5151" spans="7:8" x14ac:dyDescent="0.35">
      <c r="G5151" s="215">
        <v>5144</v>
      </c>
      <c r="H5151" s="16">
        <f t="shared" ca="1" si="88"/>
        <v>-7.4044033111341709E-3</v>
      </c>
    </row>
    <row r="5152" spans="7:8" x14ac:dyDescent="0.35">
      <c r="G5152" s="215">
        <v>5145</v>
      </c>
      <c r="H5152" s="16">
        <f t="shared" ca="1" si="88"/>
        <v>-0.11399545798795194</v>
      </c>
    </row>
    <row r="5153" spans="7:8" x14ac:dyDescent="0.35">
      <c r="G5153" s="215">
        <v>5146</v>
      </c>
      <c r="H5153" s="16">
        <f t="shared" ca="1" si="88"/>
        <v>4.7981941628454247E-2</v>
      </c>
    </row>
    <row r="5154" spans="7:8" x14ac:dyDescent="0.35">
      <c r="G5154" s="215">
        <v>5147</v>
      </c>
      <c r="H5154" s="16">
        <f t="shared" ca="1" si="88"/>
        <v>5.7670767615125115E-2</v>
      </c>
    </row>
    <row r="5155" spans="7:8" x14ac:dyDescent="0.35">
      <c r="G5155" s="215">
        <v>5148</v>
      </c>
      <c r="H5155" s="16">
        <f t="shared" ca="1" si="88"/>
        <v>4.4564999047750034E-2</v>
      </c>
    </row>
    <row r="5156" spans="7:8" x14ac:dyDescent="0.35">
      <c r="G5156" s="215">
        <v>5149</v>
      </c>
      <c r="H5156" s="16">
        <f t="shared" ca="1" si="88"/>
        <v>-5.7811422342562965E-2</v>
      </c>
    </row>
    <row r="5157" spans="7:8" x14ac:dyDescent="0.35">
      <c r="G5157" s="215">
        <v>5150</v>
      </c>
      <c r="H5157" s="16">
        <f t="shared" ca="1" si="88"/>
        <v>3.634654015437061E-2</v>
      </c>
    </row>
    <row r="5158" spans="7:8" x14ac:dyDescent="0.35">
      <c r="G5158" s="215">
        <v>5151</v>
      </c>
      <c r="H5158" s="16">
        <f t="shared" ca="1" si="88"/>
        <v>5.5609180505438397E-3</v>
      </c>
    </row>
    <row r="5159" spans="7:8" x14ac:dyDescent="0.35">
      <c r="G5159" s="215">
        <v>5152</v>
      </c>
      <c r="H5159" s="16">
        <f t="shared" ca="1" si="88"/>
        <v>0.10487188776530251</v>
      </c>
    </row>
    <row r="5160" spans="7:8" x14ac:dyDescent="0.35">
      <c r="G5160" s="215">
        <v>5153</v>
      </c>
      <c r="H5160" s="16">
        <f t="shared" ca="1" si="88"/>
        <v>-3.8931898576955143E-2</v>
      </c>
    </row>
    <row r="5161" spans="7:8" x14ac:dyDescent="0.35">
      <c r="G5161" s="215">
        <v>5154</v>
      </c>
      <c r="H5161" s="16">
        <f t="shared" ca="1" si="88"/>
        <v>1.1955657669997599E-2</v>
      </c>
    </row>
    <row r="5162" spans="7:8" x14ac:dyDescent="0.35">
      <c r="G5162" s="215">
        <v>5155</v>
      </c>
      <c r="H5162" s="16">
        <f t="shared" ca="1" si="88"/>
        <v>8.623097693915012E-2</v>
      </c>
    </row>
    <row r="5163" spans="7:8" x14ac:dyDescent="0.35">
      <c r="G5163" s="215">
        <v>5156</v>
      </c>
      <c r="H5163" s="16">
        <f t="shared" ca="1" si="88"/>
        <v>-0.19585439422991591</v>
      </c>
    </row>
    <row r="5164" spans="7:8" x14ac:dyDescent="0.35">
      <c r="G5164" s="215">
        <v>5157</v>
      </c>
      <c r="H5164" s="16">
        <f t="shared" ca="1" si="88"/>
        <v>4.5916199455230053E-2</v>
      </c>
    </row>
    <row r="5165" spans="7:8" x14ac:dyDescent="0.35">
      <c r="G5165" s="215">
        <v>5158</v>
      </c>
      <c r="H5165" s="16">
        <f t="shared" ca="1" si="88"/>
        <v>6.7934232070493761E-2</v>
      </c>
    </row>
    <row r="5166" spans="7:8" x14ac:dyDescent="0.35">
      <c r="G5166" s="215">
        <v>5159</v>
      </c>
      <c r="H5166" s="16">
        <f t="shared" ca="1" si="88"/>
        <v>-1.9391754435088757E-2</v>
      </c>
    </row>
    <row r="5167" spans="7:8" x14ac:dyDescent="0.35">
      <c r="G5167" s="215">
        <v>5160</v>
      </c>
      <c r="H5167" s="16">
        <f t="shared" ca="1" si="88"/>
        <v>7.8685809537311871E-2</v>
      </c>
    </row>
    <row r="5168" spans="7:8" x14ac:dyDescent="0.35">
      <c r="G5168" s="215">
        <v>5161</v>
      </c>
      <c r="H5168" s="16">
        <f t="shared" ca="1" si="88"/>
        <v>-0.10182301295439825</v>
      </c>
    </row>
    <row r="5169" spans="7:8" x14ac:dyDescent="0.35">
      <c r="G5169" s="215">
        <v>5162</v>
      </c>
      <c r="H5169" s="16">
        <f t="shared" ca="1" si="88"/>
        <v>1.2756566178514299E-2</v>
      </c>
    </row>
    <row r="5170" spans="7:8" x14ac:dyDescent="0.35">
      <c r="G5170" s="215">
        <v>5163</v>
      </c>
      <c r="H5170" s="16">
        <f t="shared" ca="1" si="88"/>
        <v>-7.6098650167395407E-3</v>
      </c>
    </row>
    <row r="5171" spans="7:8" x14ac:dyDescent="0.35">
      <c r="G5171" s="215">
        <v>5164</v>
      </c>
      <c r="H5171" s="16">
        <f t="shared" ca="1" si="88"/>
        <v>8.0578578835840811E-2</v>
      </c>
    </row>
    <row r="5172" spans="7:8" x14ac:dyDescent="0.35">
      <c r="G5172" s="215">
        <v>5165</v>
      </c>
      <c r="H5172" s="16">
        <f t="shared" ca="1" si="88"/>
        <v>6.8876341145381312E-2</v>
      </c>
    </row>
    <row r="5173" spans="7:8" x14ac:dyDescent="0.35">
      <c r="G5173" s="215">
        <v>5166</v>
      </c>
      <c r="H5173" s="16">
        <f t="shared" ca="1" si="88"/>
        <v>-5.5329177913093046E-3</v>
      </c>
    </row>
    <row r="5174" spans="7:8" x14ac:dyDescent="0.35">
      <c r="G5174" s="215">
        <v>5167</v>
      </c>
      <c r="H5174" s="16">
        <f t="shared" ca="1" si="88"/>
        <v>-7.1862799331563962E-2</v>
      </c>
    </row>
    <row r="5175" spans="7:8" x14ac:dyDescent="0.35">
      <c r="G5175" s="215">
        <v>5168</v>
      </c>
      <c r="H5175" s="16">
        <f t="shared" ca="1" si="88"/>
        <v>6.1214223373810037E-2</v>
      </c>
    </row>
    <row r="5176" spans="7:8" x14ac:dyDescent="0.35">
      <c r="G5176" s="215">
        <v>5169</v>
      </c>
      <c r="H5176" s="16">
        <f t="shared" ca="1" si="88"/>
        <v>1.610505906274751E-2</v>
      </c>
    </row>
    <row r="5177" spans="7:8" x14ac:dyDescent="0.35">
      <c r="G5177" s="215">
        <v>5170</v>
      </c>
      <c r="H5177" s="16">
        <f t="shared" ca="1" si="88"/>
        <v>-2.4581806933990886E-2</v>
      </c>
    </row>
    <row r="5178" spans="7:8" x14ac:dyDescent="0.35">
      <c r="G5178" s="215">
        <v>5171</v>
      </c>
      <c r="H5178" s="16">
        <f t="shared" ca="1" si="88"/>
        <v>9.1823234080132071E-2</v>
      </c>
    </row>
    <row r="5179" spans="7:8" x14ac:dyDescent="0.35">
      <c r="G5179" s="215">
        <v>5172</v>
      </c>
      <c r="H5179" s="16">
        <f t="shared" ca="1" si="88"/>
        <v>-4.2761693001247214E-2</v>
      </c>
    </row>
    <row r="5180" spans="7:8" x14ac:dyDescent="0.35">
      <c r="G5180" s="215">
        <v>5173</v>
      </c>
      <c r="H5180" s="16">
        <f t="shared" ca="1" si="88"/>
        <v>3.813922010822296E-2</v>
      </c>
    </row>
    <row r="5181" spans="7:8" x14ac:dyDescent="0.35">
      <c r="G5181" s="215">
        <v>5174</v>
      </c>
      <c r="H5181" s="16">
        <f t="shared" ca="1" si="88"/>
        <v>1.0065208517756868E-2</v>
      </c>
    </row>
    <row r="5182" spans="7:8" x14ac:dyDescent="0.35">
      <c r="G5182" s="215">
        <v>5175</v>
      </c>
      <c r="H5182" s="16">
        <f t="shared" ca="1" si="88"/>
        <v>0.10026692324888212</v>
      </c>
    </row>
    <row r="5183" spans="7:8" x14ac:dyDescent="0.35">
      <c r="G5183" s="215">
        <v>5176</v>
      </c>
      <c r="H5183" s="16">
        <f t="shared" ca="1" si="88"/>
        <v>-6.3932387549777384E-2</v>
      </c>
    </row>
    <row r="5184" spans="7:8" x14ac:dyDescent="0.35">
      <c r="G5184" s="215">
        <v>5177</v>
      </c>
      <c r="H5184" s="16">
        <f t="shared" ca="1" si="88"/>
        <v>0.14841824840253554</v>
      </c>
    </row>
    <row r="5185" spans="7:8" x14ac:dyDescent="0.35">
      <c r="G5185" s="215">
        <v>5178</v>
      </c>
      <c r="H5185" s="16">
        <f t="shared" ca="1" si="88"/>
        <v>7.6757886342752935E-2</v>
      </c>
    </row>
    <row r="5186" spans="7:8" x14ac:dyDescent="0.35">
      <c r="G5186" s="215">
        <v>5179</v>
      </c>
      <c r="H5186" s="16">
        <f t="shared" ca="1" si="88"/>
        <v>0.18750764096393949</v>
      </c>
    </row>
    <row r="5187" spans="7:8" x14ac:dyDescent="0.35">
      <c r="G5187" s="215">
        <v>5180</v>
      </c>
      <c r="H5187" s="16">
        <f t="shared" ca="1" si="88"/>
        <v>3.709542816577048E-2</v>
      </c>
    </row>
    <row r="5188" spans="7:8" x14ac:dyDescent="0.35">
      <c r="G5188" s="215">
        <v>5181</v>
      </c>
      <c r="H5188" s="16">
        <f t="shared" ca="1" si="88"/>
        <v>2.1639690723350313E-2</v>
      </c>
    </row>
    <row r="5189" spans="7:8" x14ac:dyDescent="0.35">
      <c r="G5189" s="215">
        <v>5182</v>
      </c>
      <c r="H5189" s="16">
        <f t="shared" ca="1" si="88"/>
        <v>4.0889098886567415E-2</v>
      </c>
    </row>
    <row r="5190" spans="7:8" x14ac:dyDescent="0.35">
      <c r="G5190" s="215">
        <v>5183</v>
      </c>
      <c r="H5190" s="16">
        <f t="shared" ca="1" si="88"/>
        <v>-0.17834121591434443</v>
      </c>
    </row>
    <row r="5191" spans="7:8" x14ac:dyDescent="0.35">
      <c r="G5191" s="215">
        <v>5184</v>
      </c>
      <c r="H5191" s="16">
        <f t="shared" ca="1" si="88"/>
        <v>3.4140801112745936E-2</v>
      </c>
    </row>
    <row r="5192" spans="7:8" x14ac:dyDescent="0.35">
      <c r="G5192" s="215">
        <v>5185</v>
      </c>
      <c r="H5192" s="16">
        <f t="shared" ref="H5192:H5255" ca="1" si="89">_xlfn.NORM.INV(RAND(),M$10,M$11)</f>
        <v>-2.8855629112977097E-2</v>
      </c>
    </row>
    <row r="5193" spans="7:8" x14ac:dyDescent="0.35">
      <c r="G5193" s="215">
        <v>5186</v>
      </c>
      <c r="H5193" s="16">
        <f t="shared" ca="1" si="89"/>
        <v>-1.5940825114041959E-2</v>
      </c>
    </row>
    <row r="5194" spans="7:8" x14ac:dyDescent="0.35">
      <c r="G5194" s="215">
        <v>5187</v>
      </c>
      <c r="H5194" s="16">
        <f t="shared" ca="1" si="89"/>
        <v>-0.14079187021006501</v>
      </c>
    </row>
    <row r="5195" spans="7:8" x14ac:dyDescent="0.35">
      <c r="G5195" s="215">
        <v>5188</v>
      </c>
      <c r="H5195" s="16">
        <f t="shared" ca="1" si="89"/>
        <v>6.173655808730142E-3</v>
      </c>
    </row>
    <row r="5196" spans="7:8" x14ac:dyDescent="0.35">
      <c r="G5196" s="215">
        <v>5189</v>
      </c>
      <c r="H5196" s="16">
        <f t="shared" ca="1" si="89"/>
        <v>-3.2201708174369147E-3</v>
      </c>
    </row>
    <row r="5197" spans="7:8" x14ac:dyDescent="0.35">
      <c r="G5197" s="215">
        <v>5190</v>
      </c>
      <c r="H5197" s="16">
        <f t="shared" ca="1" si="89"/>
        <v>-3.8165596768099427E-2</v>
      </c>
    </row>
    <row r="5198" spans="7:8" x14ac:dyDescent="0.35">
      <c r="G5198" s="215">
        <v>5191</v>
      </c>
      <c r="H5198" s="16">
        <f t="shared" ca="1" si="89"/>
        <v>1.6030558751621887E-2</v>
      </c>
    </row>
    <row r="5199" spans="7:8" x14ac:dyDescent="0.35">
      <c r="G5199" s="215">
        <v>5192</v>
      </c>
      <c r="H5199" s="16">
        <f t="shared" ca="1" si="89"/>
        <v>-7.2552363121888841E-2</v>
      </c>
    </row>
    <row r="5200" spans="7:8" x14ac:dyDescent="0.35">
      <c r="G5200" s="215">
        <v>5193</v>
      </c>
      <c r="H5200" s="16">
        <f t="shared" ca="1" si="89"/>
        <v>9.4185178774330441E-2</v>
      </c>
    </row>
    <row r="5201" spans="7:8" x14ac:dyDescent="0.35">
      <c r="G5201" s="215">
        <v>5194</v>
      </c>
      <c r="H5201" s="16">
        <f t="shared" ca="1" si="89"/>
        <v>3.640566086935304E-2</v>
      </c>
    </row>
    <row r="5202" spans="7:8" x14ac:dyDescent="0.35">
      <c r="G5202" s="215">
        <v>5195</v>
      </c>
      <c r="H5202" s="16">
        <f t="shared" ca="1" si="89"/>
        <v>1.9216067025459752E-2</v>
      </c>
    </row>
    <row r="5203" spans="7:8" x14ac:dyDescent="0.35">
      <c r="G5203" s="215">
        <v>5196</v>
      </c>
      <c r="H5203" s="16">
        <f t="shared" ca="1" si="89"/>
        <v>-3.7661545536071206E-2</v>
      </c>
    </row>
    <row r="5204" spans="7:8" x14ac:dyDescent="0.35">
      <c r="G5204" s="215">
        <v>5197</v>
      </c>
      <c r="H5204" s="16">
        <f t="shared" ca="1" si="89"/>
        <v>-1.7880111122580165E-2</v>
      </c>
    </row>
    <row r="5205" spans="7:8" x14ac:dyDescent="0.35">
      <c r="G5205" s="215">
        <v>5198</v>
      </c>
      <c r="H5205" s="16">
        <f t="shared" ca="1" si="89"/>
        <v>-6.4743531420928202E-2</v>
      </c>
    </row>
    <row r="5206" spans="7:8" x14ac:dyDescent="0.35">
      <c r="G5206" s="215">
        <v>5199</v>
      </c>
      <c r="H5206" s="16">
        <f t="shared" ca="1" si="89"/>
        <v>-9.4257786425546386E-2</v>
      </c>
    </row>
    <row r="5207" spans="7:8" x14ac:dyDescent="0.35">
      <c r="G5207" s="215">
        <v>5200</v>
      </c>
      <c r="H5207" s="16">
        <f t="shared" ca="1" si="89"/>
        <v>-3.244065874225438E-2</v>
      </c>
    </row>
    <row r="5208" spans="7:8" x14ac:dyDescent="0.35">
      <c r="G5208" s="215">
        <v>5201</v>
      </c>
      <c r="H5208" s="16">
        <f t="shared" ca="1" si="89"/>
        <v>-7.7698589363470155E-2</v>
      </c>
    </row>
    <row r="5209" spans="7:8" x14ac:dyDescent="0.35">
      <c r="G5209" s="215">
        <v>5202</v>
      </c>
      <c r="H5209" s="16">
        <f t="shared" ca="1" si="89"/>
        <v>-6.0119034967007032E-2</v>
      </c>
    </row>
    <row r="5210" spans="7:8" x14ac:dyDescent="0.35">
      <c r="G5210" s="215">
        <v>5203</v>
      </c>
      <c r="H5210" s="16">
        <f t="shared" ca="1" si="89"/>
        <v>2.7060488112722974E-2</v>
      </c>
    </row>
    <row r="5211" spans="7:8" x14ac:dyDescent="0.35">
      <c r="G5211" s="215">
        <v>5204</v>
      </c>
      <c r="H5211" s="16">
        <f t="shared" ca="1" si="89"/>
        <v>8.5264423966820907E-2</v>
      </c>
    </row>
    <row r="5212" spans="7:8" x14ac:dyDescent="0.35">
      <c r="G5212" s="215">
        <v>5205</v>
      </c>
      <c r="H5212" s="16">
        <f t="shared" ca="1" si="89"/>
        <v>-2.6105350977458346E-2</v>
      </c>
    </row>
    <row r="5213" spans="7:8" x14ac:dyDescent="0.35">
      <c r="G5213" s="215">
        <v>5206</v>
      </c>
      <c r="H5213" s="16">
        <f t="shared" ca="1" si="89"/>
        <v>-8.7690336964195592E-2</v>
      </c>
    </row>
    <row r="5214" spans="7:8" x14ac:dyDescent="0.35">
      <c r="G5214" s="215">
        <v>5207</v>
      </c>
      <c r="H5214" s="16">
        <f t="shared" ca="1" si="89"/>
        <v>3.1553978667949761E-2</v>
      </c>
    </row>
    <row r="5215" spans="7:8" x14ac:dyDescent="0.35">
      <c r="G5215" s="215">
        <v>5208</v>
      </c>
      <c r="H5215" s="16">
        <f t="shared" ca="1" si="89"/>
        <v>-3.2024666538874549E-2</v>
      </c>
    </row>
    <row r="5216" spans="7:8" x14ac:dyDescent="0.35">
      <c r="G5216" s="215">
        <v>5209</v>
      </c>
      <c r="H5216" s="16">
        <f t="shared" ca="1" si="89"/>
        <v>3.3516567463994784E-2</v>
      </c>
    </row>
    <row r="5217" spans="7:8" x14ac:dyDescent="0.35">
      <c r="G5217" s="215">
        <v>5210</v>
      </c>
      <c r="H5217" s="16">
        <f t="shared" ca="1" si="89"/>
        <v>5.2545733104150324E-2</v>
      </c>
    </row>
    <row r="5218" spans="7:8" x14ac:dyDescent="0.35">
      <c r="G5218" s="215">
        <v>5211</v>
      </c>
      <c r="H5218" s="16">
        <f t="shared" ca="1" si="89"/>
        <v>-4.6221536974484459E-2</v>
      </c>
    </row>
    <row r="5219" spans="7:8" x14ac:dyDescent="0.35">
      <c r="G5219" s="215">
        <v>5212</v>
      </c>
      <c r="H5219" s="16">
        <f t="shared" ca="1" si="89"/>
        <v>4.8737421689048696E-2</v>
      </c>
    </row>
    <row r="5220" spans="7:8" x14ac:dyDescent="0.35">
      <c r="G5220" s="215">
        <v>5213</v>
      </c>
      <c r="H5220" s="16">
        <f t="shared" ca="1" si="89"/>
        <v>8.8373975903886737E-2</v>
      </c>
    </row>
    <row r="5221" spans="7:8" x14ac:dyDescent="0.35">
      <c r="G5221" s="215">
        <v>5214</v>
      </c>
      <c r="H5221" s="16">
        <f t="shared" ca="1" si="89"/>
        <v>8.0841875106454839E-2</v>
      </c>
    </row>
    <row r="5222" spans="7:8" x14ac:dyDescent="0.35">
      <c r="G5222" s="215">
        <v>5215</v>
      </c>
      <c r="H5222" s="16">
        <f t="shared" ca="1" si="89"/>
        <v>5.6948915542019918E-2</v>
      </c>
    </row>
    <row r="5223" spans="7:8" x14ac:dyDescent="0.35">
      <c r="G5223" s="215">
        <v>5216</v>
      </c>
      <c r="H5223" s="16">
        <f t="shared" ca="1" si="89"/>
        <v>-0.10520451016590968</v>
      </c>
    </row>
    <row r="5224" spans="7:8" x14ac:dyDescent="0.35">
      <c r="G5224" s="215">
        <v>5217</v>
      </c>
      <c r="H5224" s="16">
        <f t="shared" ca="1" si="89"/>
        <v>-4.2877437007818667E-4</v>
      </c>
    </row>
    <row r="5225" spans="7:8" x14ac:dyDescent="0.35">
      <c r="G5225" s="215">
        <v>5218</v>
      </c>
      <c r="H5225" s="16">
        <f t="shared" ca="1" si="89"/>
        <v>7.1880096013157355E-4</v>
      </c>
    </row>
    <row r="5226" spans="7:8" x14ac:dyDescent="0.35">
      <c r="G5226" s="215">
        <v>5219</v>
      </c>
      <c r="H5226" s="16">
        <f t="shared" ca="1" si="89"/>
        <v>-0.11180280204487232</v>
      </c>
    </row>
    <row r="5227" spans="7:8" x14ac:dyDescent="0.35">
      <c r="G5227" s="215">
        <v>5220</v>
      </c>
      <c r="H5227" s="16">
        <f t="shared" ca="1" si="89"/>
        <v>2.7026276134579794E-2</v>
      </c>
    </row>
    <row r="5228" spans="7:8" x14ac:dyDescent="0.35">
      <c r="G5228" s="215">
        <v>5221</v>
      </c>
      <c r="H5228" s="16">
        <f t="shared" ca="1" si="89"/>
        <v>6.3925722519753383E-2</v>
      </c>
    </row>
    <row r="5229" spans="7:8" x14ac:dyDescent="0.35">
      <c r="G5229" s="215">
        <v>5222</v>
      </c>
      <c r="H5229" s="16">
        <f t="shared" ca="1" si="89"/>
        <v>2.9413607472840927E-3</v>
      </c>
    </row>
    <row r="5230" spans="7:8" x14ac:dyDescent="0.35">
      <c r="G5230" s="215">
        <v>5223</v>
      </c>
      <c r="H5230" s="16">
        <f t="shared" ca="1" si="89"/>
        <v>2.7628301894272348E-2</v>
      </c>
    </row>
    <row r="5231" spans="7:8" x14ac:dyDescent="0.35">
      <c r="G5231" s="215">
        <v>5224</v>
      </c>
      <c r="H5231" s="16">
        <f t="shared" ca="1" si="89"/>
        <v>3.0056232904028847E-2</v>
      </c>
    </row>
    <row r="5232" spans="7:8" x14ac:dyDescent="0.35">
      <c r="G5232" s="215">
        <v>5225</v>
      </c>
      <c r="H5232" s="16">
        <f t="shared" ca="1" si="89"/>
        <v>8.140076076176625E-2</v>
      </c>
    </row>
    <row r="5233" spans="7:8" x14ac:dyDescent="0.35">
      <c r="G5233" s="215">
        <v>5226</v>
      </c>
      <c r="H5233" s="16">
        <f t="shared" ca="1" si="89"/>
        <v>-0.10658936536679015</v>
      </c>
    </row>
    <row r="5234" spans="7:8" x14ac:dyDescent="0.35">
      <c r="G5234" s="215">
        <v>5227</v>
      </c>
      <c r="H5234" s="16">
        <f t="shared" ca="1" si="89"/>
        <v>-1.9622353291540991E-2</v>
      </c>
    </row>
    <row r="5235" spans="7:8" x14ac:dyDescent="0.35">
      <c r="G5235" s="215">
        <v>5228</v>
      </c>
      <c r="H5235" s="16">
        <f t="shared" ca="1" si="89"/>
        <v>0.15842867522704759</v>
      </c>
    </row>
    <row r="5236" spans="7:8" x14ac:dyDescent="0.35">
      <c r="G5236" s="215">
        <v>5229</v>
      </c>
      <c r="H5236" s="16">
        <f t="shared" ca="1" si="89"/>
        <v>7.4061762176440268E-2</v>
      </c>
    </row>
    <row r="5237" spans="7:8" x14ac:dyDescent="0.35">
      <c r="G5237" s="215">
        <v>5230</v>
      </c>
      <c r="H5237" s="16">
        <f t="shared" ca="1" si="89"/>
        <v>-2.3985371429924334E-2</v>
      </c>
    </row>
    <row r="5238" spans="7:8" x14ac:dyDescent="0.35">
      <c r="G5238" s="215">
        <v>5231</v>
      </c>
      <c r="H5238" s="16">
        <f t="shared" ca="1" si="89"/>
        <v>0.10396753656020498</v>
      </c>
    </row>
    <row r="5239" spans="7:8" x14ac:dyDescent="0.35">
      <c r="G5239" s="215">
        <v>5232</v>
      </c>
      <c r="H5239" s="16">
        <f t="shared" ca="1" si="89"/>
        <v>5.3945115882608849E-2</v>
      </c>
    </row>
    <row r="5240" spans="7:8" x14ac:dyDescent="0.35">
      <c r="G5240" s="215">
        <v>5233</v>
      </c>
      <c r="H5240" s="16">
        <f t="shared" ca="1" si="89"/>
        <v>6.6631734489446176E-2</v>
      </c>
    </row>
    <row r="5241" spans="7:8" x14ac:dyDescent="0.35">
      <c r="G5241" s="215">
        <v>5234</v>
      </c>
      <c r="H5241" s="16">
        <f t="shared" ca="1" si="89"/>
        <v>-0.13597028290477348</v>
      </c>
    </row>
    <row r="5242" spans="7:8" x14ac:dyDescent="0.35">
      <c r="G5242" s="215">
        <v>5235</v>
      </c>
      <c r="H5242" s="16">
        <f t="shared" ca="1" si="89"/>
        <v>-6.0032029057555517E-2</v>
      </c>
    </row>
    <row r="5243" spans="7:8" x14ac:dyDescent="0.35">
      <c r="G5243" s="215">
        <v>5236</v>
      </c>
      <c r="H5243" s="16">
        <f t="shared" ca="1" si="89"/>
        <v>0.11675131061081145</v>
      </c>
    </row>
    <row r="5244" spans="7:8" x14ac:dyDescent="0.35">
      <c r="G5244" s="215">
        <v>5237</v>
      </c>
      <c r="H5244" s="16">
        <f t="shared" ca="1" si="89"/>
        <v>0.13874901830877817</v>
      </c>
    </row>
    <row r="5245" spans="7:8" x14ac:dyDescent="0.35">
      <c r="G5245" s="215">
        <v>5238</v>
      </c>
      <c r="H5245" s="16">
        <f t="shared" ca="1" si="89"/>
        <v>-4.3205137428902127E-2</v>
      </c>
    </row>
    <row r="5246" spans="7:8" x14ac:dyDescent="0.35">
      <c r="G5246" s="215">
        <v>5239</v>
      </c>
      <c r="H5246" s="16">
        <f t="shared" ca="1" si="89"/>
        <v>0.10194655756914454</v>
      </c>
    </row>
    <row r="5247" spans="7:8" x14ac:dyDescent="0.35">
      <c r="G5247" s="215">
        <v>5240</v>
      </c>
      <c r="H5247" s="16">
        <f t="shared" ca="1" si="89"/>
        <v>0.10593863123631998</v>
      </c>
    </row>
    <row r="5248" spans="7:8" x14ac:dyDescent="0.35">
      <c r="G5248" s="215">
        <v>5241</v>
      </c>
      <c r="H5248" s="16">
        <f t="shared" ca="1" si="89"/>
        <v>-2.7768683261095873E-3</v>
      </c>
    </row>
    <row r="5249" spans="7:8" x14ac:dyDescent="0.35">
      <c r="G5249" s="215">
        <v>5242</v>
      </c>
      <c r="H5249" s="16">
        <f t="shared" ca="1" si="89"/>
        <v>-6.1920245175007077E-2</v>
      </c>
    </row>
    <row r="5250" spans="7:8" x14ac:dyDescent="0.35">
      <c r="G5250" s="215">
        <v>5243</v>
      </c>
      <c r="H5250" s="16">
        <f t="shared" ca="1" si="89"/>
        <v>-4.9927955028908899E-3</v>
      </c>
    </row>
    <row r="5251" spans="7:8" x14ac:dyDescent="0.35">
      <c r="G5251" s="215">
        <v>5244</v>
      </c>
      <c r="H5251" s="16">
        <f t="shared" ca="1" si="89"/>
        <v>-4.7241211399310826E-2</v>
      </c>
    </row>
    <row r="5252" spans="7:8" x14ac:dyDescent="0.35">
      <c r="G5252" s="215">
        <v>5245</v>
      </c>
      <c r="H5252" s="16">
        <f t="shared" ca="1" si="89"/>
        <v>2.0167889327004911E-2</v>
      </c>
    </row>
    <row r="5253" spans="7:8" x14ac:dyDescent="0.35">
      <c r="G5253" s="215">
        <v>5246</v>
      </c>
      <c r="H5253" s="16">
        <f t="shared" ca="1" si="89"/>
        <v>0.1812638496729766</v>
      </c>
    </row>
    <row r="5254" spans="7:8" x14ac:dyDescent="0.35">
      <c r="G5254" s="215">
        <v>5247</v>
      </c>
      <c r="H5254" s="16">
        <f t="shared" ca="1" si="89"/>
        <v>-3.1437316156703032E-2</v>
      </c>
    </row>
    <row r="5255" spans="7:8" x14ac:dyDescent="0.35">
      <c r="G5255" s="215">
        <v>5248</v>
      </c>
      <c r="H5255" s="16">
        <f t="shared" ca="1" si="89"/>
        <v>-7.0322047241043267E-2</v>
      </c>
    </row>
    <row r="5256" spans="7:8" x14ac:dyDescent="0.35">
      <c r="G5256" s="215">
        <v>5249</v>
      </c>
      <c r="H5256" s="16">
        <f t="shared" ref="H5256:H5319" ca="1" si="90">_xlfn.NORM.INV(RAND(),M$10,M$11)</f>
        <v>1.8471846253441206E-2</v>
      </c>
    </row>
    <row r="5257" spans="7:8" x14ac:dyDescent="0.35">
      <c r="G5257" s="215">
        <v>5250</v>
      </c>
      <c r="H5257" s="16">
        <f t="shared" ca="1" si="90"/>
        <v>-5.756983247480682E-3</v>
      </c>
    </row>
    <row r="5258" spans="7:8" x14ac:dyDescent="0.35">
      <c r="G5258" s="215">
        <v>5251</v>
      </c>
      <c r="H5258" s="16">
        <f t="shared" ca="1" si="90"/>
        <v>9.1634136365807431E-2</v>
      </c>
    </row>
    <row r="5259" spans="7:8" x14ac:dyDescent="0.35">
      <c r="G5259" s="215">
        <v>5252</v>
      </c>
      <c r="H5259" s="16">
        <f t="shared" ca="1" si="90"/>
        <v>4.1782796862379484E-2</v>
      </c>
    </row>
    <row r="5260" spans="7:8" x14ac:dyDescent="0.35">
      <c r="G5260" s="215">
        <v>5253</v>
      </c>
      <c r="H5260" s="16">
        <f t="shared" ca="1" si="90"/>
        <v>-3.2226383597190239E-2</v>
      </c>
    </row>
    <row r="5261" spans="7:8" x14ac:dyDescent="0.35">
      <c r="G5261" s="215">
        <v>5254</v>
      </c>
      <c r="H5261" s="16">
        <f t="shared" ca="1" si="90"/>
        <v>2.5590697651005481E-2</v>
      </c>
    </row>
    <row r="5262" spans="7:8" x14ac:dyDescent="0.35">
      <c r="G5262" s="215">
        <v>5255</v>
      </c>
      <c r="H5262" s="16">
        <f t="shared" ca="1" si="90"/>
        <v>8.9863633157834411E-2</v>
      </c>
    </row>
    <row r="5263" spans="7:8" x14ac:dyDescent="0.35">
      <c r="G5263" s="215">
        <v>5256</v>
      </c>
      <c r="H5263" s="16">
        <f t="shared" ca="1" si="90"/>
        <v>7.5444073036737627E-2</v>
      </c>
    </row>
    <row r="5264" spans="7:8" x14ac:dyDescent="0.35">
      <c r="G5264" s="215">
        <v>5257</v>
      </c>
      <c r="H5264" s="16">
        <f t="shared" ca="1" si="90"/>
        <v>-4.9729504930749679E-2</v>
      </c>
    </row>
    <row r="5265" spans="7:8" x14ac:dyDescent="0.35">
      <c r="G5265" s="215">
        <v>5258</v>
      </c>
      <c r="H5265" s="16">
        <f t="shared" ca="1" si="90"/>
        <v>7.1034112744492853E-2</v>
      </c>
    </row>
    <row r="5266" spans="7:8" x14ac:dyDescent="0.35">
      <c r="G5266" s="215">
        <v>5259</v>
      </c>
      <c r="H5266" s="16">
        <f t="shared" ca="1" si="90"/>
        <v>-2.3006472106865971E-2</v>
      </c>
    </row>
    <row r="5267" spans="7:8" x14ac:dyDescent="0.35">
      <c r="G5267" s="215">
        <v>5260</v>
      </c>
      <c r="H5267" s="16">
        <f t="shared" ca="1" si="90"/>
        <v>-5.8202043880084112E-2</v>
      </c>
    </row>
    <row r="5268" spans="7:8" x14ac:dyDescent="0.35">
      <c r="G5268" s="215">
        <v>5261</v>
      </c>
      <c r="H5268" s="16">
        <f t="shared" ca="1" si="90"/>
        <v>7.405579737824039E-2</v>
      </c>
    </row>
    <row r="5269" spans="7:8" x14ac:dyDescent="0.35">
      <c r="G5269" s="215">
        <v>5262</v>
      </c>
      <c r="H5269" s="16">
        <f t="shared" ca="1" si="90"/>
        <v>-3.9414118446091301E-2</v>
      </c>
    </row>
    <row r="5270" spans="7:8" x14ac:dyDescent="0.35">
      <c r="G5270" s="215">
        <v>5263</v>
      </c>
      <c r="H5270" s="16">
        <f t="shared" ca="1" si="90"/>
        <v>2.9929665806277751E-2</v>
      </c>
    </row>
    <row r="5271" spans="7:8" x14ac:dyDescent="0.35">
      <c r="G5271" s="215">
        <v>5264</v>
      </c>
      <c r="H5271" s="16">
        <f t="shared" ca="1" si="90"/>
        <v>-3.6285116554202801E-2</v>
      </c>
    </row>
    <row r="5272" spans="7:8" x14ac:dyDescent="0.35">
      <c r="G5272" s="215">
        <v>5265</v>
      </c>
      <c r="H5272" s="16">
        <f t="shared" ca="1" si="90"/>
        <v>5.4442960895775841E-2</v>
      </c>
    </row>
    <row r="5273" spans="7:8" x14ac:dyDescent="0.35">
      <c r="G5273" s="215">
        <v>5266</v>
      </c>
      <c r="H5273" s="16">
        <f t="shared" ca="1" si="90"/>
        <v>4.4192297556624981E-3</v>
      </c>
    </row>
    <row r="5274" spans="7:8" x14ac:dyDescent="0.35">
      <c r="G5274" s="215">
        <v>5267</v>
      </c>
      <c r="H5274" s="16">
        <f t="shared" ca="1" si="90"/>
        <v>0.11977138945166042</v>
      </c>
    </row>
    <row r="5275" spans="7:8" x14ac:dyDescent="0.35">
      <c r="G5275" s="215">
        <v>5268</v>
      </c>
      <c r="H5275" s="16">
        <f t="shared" ca="1" si="90"/>
        <v>-9.4747450446035303E-2</v>
      </c>
    </row>
    <row r="5276" spans="7:8" x14ac:dyDescent="0.35">
      <c r="G5276" s="215">
        <v>5269</v>
      </c>
      <c r="H5276" s="16">
        <f t="shared" ca="1" si="90"/>
        <v>-9.8468039000994059E-2</v>
      </c>
    </row>
    <row r="5277" spans="7:8" x14ac:dyDescent="0.35">
      <c r="G5277" s="215">
        <v>5270</v>
      </c>
      <c r="H5277" s="16">
        <f t="shared" ca="1" si="90"/>
        <v>-8.7850451982730629E-2</v>
      </c>
    </row>
    <row r="5278" spans="7:8" x14ac:dyDescent="0.35">
      <c r="G5278" s="215">
        <v>5271</v>
      </c>
      <c r="H5278" s="16">
        <f t="shared" ca="1" si="90"/>
        <v>9.596907902112789E-3</v>
      </c>
    </row>
    <row r="5279" spans="7:8" x14ac:dyDescent="0.35">
      <c r="G5279" s="215">
        <v>5272</v>
      </c>
      <c r="H5279" s="16">
        <f t="shared" ca="1" si="90"/>
        <v>-8.7834659131049611E-2</v>
      </c>
    </row>
    <row r="5280" spans="7:8" x14ac:dyDescent="0.35">
      <c r="G5280" s="215">
        <v>5273</v>
      </c>
      <c r="H5280" s="16">
        <f t="shared" ca="1" si="90"/>
        <v>5.772397687662302E-2</v>
      </c>
    </row>
    <row r="5281" spans="7:8" x14ac:dyDescent="0.35">
      <c r="G5281" s="215">
        <v>5274</v>
      </c>
      <c r="H5281" s="16">
        <f t="shared" ca="1" si="90"/>
        <v>-3.6970739045748782E-2</v>
      </c>
    </row>
    <row r="5282" spans="7:8" x14ac:dyDescent="0.35">
      <c r="G5282" s="215">
        <v>5275</v>
      </c>
      <c r="H5282" s="16">
        <f t="shared" ca="1" si="90"/>
        <v>-1.3255887949946643E-2</v>
      </c>
    </row>
    <row r="5283" spans="7:8" x14ac:dyDescent="0.35">
      <c r="G5283" s="215">
        <v>5276</v>
      </c>
      <c r="H5283" s="16">
        <f t="shared" ca="1" si="90"/>
        <v>7.843748537896246E-3</v>
      </c>
    </row>
    <row r="5284" spans="7:8" x14ac:dyDescent="0.35">
      <c r="G5284" s="215">
        <v>5277</v>
      </c>
      <c r="H5284" s="16">
        <f t="shared" ca="1" si="90"/>
        <v>2.9880094004310076E-4</v>
      </c>
    </row>
    <row r="5285" spans="7:8" x14ac:dyDescent="0.35">
      <c r="G5285" s="215">
        <v>5278</v>
      </c>
      <c r="H5285" s="16">
        <f t="shared" ca="1" si="90"/>
        <v>0.13504993308096158</v>
      </c>
    </row>
    <row r="5286" spans="7:8" x14ac:dyDescent="0.35">
      <c r="G5286" s="215">
        <v>5279</v>
      </c>
      <c r="H5286" s="16">
        <f t="shared" ca="1" si="90"/>
        <v>4.3681404471560999E-2</v>
      </c>
    </row>
    <row r="5287" spans="7:8" x14ac:dyDescent="0.35">
      <c r="G5287" s="215">
        <v>5280</v>
      </c>
      <c r="H5287" s="16">
        <f t="shared" ca="1" si="90"/>
        <v>-2.3211991793871924E-2</v>
      </c>
    </row>
    <row r="5288" spans="7:8" x14ac:dyDescent="0.35">
      <c r="G5288" s="215">
        <v>5281</v>
      </c>
      <c r="H5288" s="16">
        <f t="shared" ca="1" si="90"/>
        <v>5.0528384658699368E-2</v>
      </c>
    </row>
    <row r="5289" spans="7:8" x14ac:dyDescent="0.35">
      <c r="G5289" s="215">
        <v>5282</v>
      </c>
      <c r="H5289" s="16">
        <f t="shared" ca="1" si="90"/>
        <v>-2.9015467330953167E-3</v>
      </c>
    </row>
    <row r="5290" spans="7:8" x14ac:dyDescent="0.35">
      <c r="G5290" s="215">
        <v>5283</v>
      </c>
      <c r="H5290" s="16">
        <f t="shared" ca="1" si="90"/>
        <v>-2.7841180951342612E-2</v>
      </c>
    </row>
    <row r="5291" spans="7:8" x14ac:dyDescent="0.35">
      <c r="G5291" s="215">
        <v>5284</v>
      </c>
      <c r="H5291" s="16">
        <f t="shared" ca="1" si="90"/>
        <v>-2.9341847413722737E-3</v>
      </c>
    </row>
    <row r="5292" spans="7:8" x14ac:dyDescent="0.35">
      <c r="G5292" s="215">
        <v>5285</v>
      </c>
      <c r="H5292" s="16">
        <f t="shared" ca="1" si="90"/>
        <v>-4.6025775123300139E-2</v>
      </c>
    </row>
    <row r="5293" spans="7:8" x14ac:dyDescent="0.35">
      <c r="G5293" s="215">
        <v>5286</v>
      </c>
      <c r="H5293" s="16">
        <f t="shared" ca="1" si="90"/>
        <v>0.17202825305718508</v>
      </c>
    </row>
    <row r="5294" spans="7:8" x14ac:dyDescent="0.35">
      <c r="G5294" s="215">
        <v>5287</v>
      </c>
      <c r="H5294" s="16">
        <f t="shared" ca="1" si="90"/>
        <v>-1.6224509988266758E-2</v>
      </c>
    </row>
    <row r="5295" spans="7:8" x14ac:dyDescent="0.35">
      <c r="G5295" s="215">
        <v>5288</v>
      </c>
      <c r="H5295" s="16">
        <f t="shared" ca="1" si="90"/>
        <v>2.4797259072150944E-2</v>
      </c>
    </row>
    <row r="5296" spans="7:8" x14ac:dyDescent="0.35">
      <c r="G5296" s="215">
        <v>5289</v>
      </c>
      <c r="H5296" s="16">
        <f t="shared" ca="1" si="90"/>
        <v>0.1619268761982616</v>
      </c>
    </row>
    <row r="5297" spans="7:8" x14ac:dyDescent="0.35">
      <c r="G5297" s="215">
        <v>5290</v>
      </c>
      <c r="H5297" s="16">
        <f t="shared" ca="1" si="90"/>
        <v>-1.5193883875776783E-3</v>
      </c>
    </row>
    <row r="5298" spans="7:8" x14ac:dyDescent="0.35">
      <c r="G5298" s="215">
        <v>5291</v>
      </c>
      <c r="H5298" s="16">
        <f t="shared" ca="1" si="90"/>
        <v>-1.9357079133361089E-2</v>
      </c>
    </row>
    <row r="5299" spans="7:8" x14ac:dyDescent="0.35">
      <c r="G5299" s="215">
        <v>5292</v>
      </c>
      <c r="H5299" s="16">
        <f t="shared" ca="1" si="90"/>
        <v>-0.13810702822360699</v>
      </c>
    </row>
    <row r="5300" spans="7:8" x14ac:dyDescent="0.35">
      <c r="G5300" s="215">
        <v>5293</v>
      </c>
      <c r="H5300" s="16">
        <f t="shared" ca="1" si="90"/>
        <v>-4.5178402638867701E-2</v>
      </c>
    </row>
    <row r="5301" spans="7:8" x14ac:dyDescent="0.35">
      <c r="G5301" s="215">
        <v>5294</v>
      </c>
      <c r="H5301" s="16">
        <f t="shared" ca="1" si="90"/>
        <v>5.4108763394172171E-2</v>
      </c>
    </row>
    <row r="5302" spans="7:8" x14ac:dyDescent="0.35">
      <c r="G5302" s="215">
        <v>5295</v>
      </c>
      <c r="H5302" s="16">
        <f t="shared" ca="1" si="90"/>
        <v>2.4190398966713531E-2</v>
      </c>
    </row>
    <row r="5303" spans="7:8" x14ac:dyDescent="0.35">
      <c r="G5303" s="215">
        <v>5296</v>
      </c>
      <c r="H5303" s="16">
        <f t="shared" ca="1" si="90"/>
        <v>7.1397164197683091E-2</v>
      </c>
    </row>
    <row r="5304" spans="7:8" x14ac:dyDescent="0.35">
      <c r="G5304" s="215">
        <v>5297</v>
      </c>
      <c r="H5304" s="16">
        <f t="shared" ca="1" si="90"/>
        <v>3.8402557091755982E-2</v>
      </c>
    </row>
    <row r="5305" spans="7:8" x14ac:dyDescent="0.35">
      <c r="G5305" s="215">
        <v>5298</v>
      </c>
      <c r="H5305" s="16">
        <f t="shared" ca="1" si="90"/>
        <v>-2.6146599729224552E-2</v>
      </c>
    </row>
    <row r="5306" spans="7:8" x14ac:dyDescent="0.35">
      <c r="G5306" s="215">
        <v>5299</v>
      </c>
      <c r="H5306" s="16">
        <f t="shared" ca="1" si="90"/>
        <v>9.5305037302837056E-2</v>
      </c>
    </row>
    <row r="5307" spans="7:8" x14ac:dyDescent="0.35">
      <c r="G5307" s="215">
        <v>5300</v>
      </c>
      <c r="H5307" s="16">
        <f t="shared" ca="1" si="90"/>
        <v>-9.4024850677364699E-2</v>
      </c>
    </row>
    <row r="5308" spans="7:8" x14ac:dyDescent="0.35">
      <c r="G5308" s="215">
        <v>5301</v>
      </c>
      <c r="H5308" s="16">
        <f t="shared" ca="1" si="90"/>
        <v>-4.3485398548618479E-2</v>
      </c>
    </row>
    <row r="5309" spans="7:8" x14ac:dyDescent="0.35">
      <c r="G5309" s="215">
        <v>5302</v>
      </c>
      <c r="H5309" s="16">
        <f t="shared" ca="1" si="90"/>
        <v>0.20561204466929803</v>
      </c>
    </row>
    <row r="5310" spans="7:8" x14ac:dyDescent="0.35">
      <c r="G5310" s="215">
        <v>5303</v>
      </c>
      <c r="H5310" s="16">
        <f t="shared" ca="1" si="90"/>
        <v>4.0002932215407447E-2</v>
      </c>
    </row>
    <row r="5311" spans="7:8" x14ac:dyDescent="0.35">
      <c r="G5311" s="215">
        <v>5304</v>
      </c>
      <c r="H5311" s="16">
        <f t="shared" ca="1" si="90"/>
        <v>-1.8291130442768675E-2</v>
      </c>
    </row>
    <row r="5312" spans="7:8" x14ac:dyDescent="0.35">
      <c r="G5312" s="215">
        <v>5305</v>
      </c>
      <c r="H5312" s="16">
        <f t="shared" ca="1" si="90"/>
        <v>0.11284844952252138</v>
      </c>
    </row>
    <row r="5313" spans="7:8" x14ac:dyDescent="0.35">
      <c r="G5313" s="215">
        <v>5306</v>
      </c>
      <c r="H5313" s="16">
        <f t="shared" ca="1" si="90"/>
        <v>1.9579362745284653E-2</v>
      </c>
    </row>
    <row r="5314" spans="7:8" x14ac:dyDescent="0.35">
      <c r="G5314" s="215">
        <v>5307</v>
      </c>
      <c r="H5314" s="16">
        <f t="shared" ca="1" si="90"/>
        <v>1.5395322209890532E-2</v>
      </c>
    </row>
    <row r="5315" spans="7:8" x14ac:dyDescent="0.35">
      <c r="G5315" s="215">
        <v>5308</v>
      </c>
      <c r="H5315" s="16">
        <f t="shared" ca="1" si="90"/>
        <v>0.1186880895967882</v>
      </c>
    </row>
    <row r="5316" spans="7:8" x14ac:dyDescent="0.35">
      <c r="G5316" s="215">
        <v>5309</v>
      </c>
      <c r="H5316" s="16">
        <f t="shared" ca="1" si="90"/>
        <v>-5.2065302948583178E-2</v>
      </c>
    </row>
    <row r="5317" spans="7:8" x14ac:dyDescent="0.35">
      <c r="G5317" s="215">
        <v>5310</v>
      </c>
      <c r="H5317" s="16">
        <f t="shared" ca="1" si="90"/>
        <v>6.6275057206577448E-2</v>
      </c>
    </row>
    <row r="5318" spans="7:8" x14ac:dyDescent="0.35">
      <c r="G5318" s="215">
        <v>5311</v>
      </c>
      <c r="H5318" s="16">
        <f t="shared" ca="1" si="90"/>
        <v>2.7336781443693843E-2</v>
      </c>
    </row>
    <row r="5319" spans="7:8" x14ac:dyDescent="0.35">
      <c r="G5319" s="215">
        <v>5312</v>
      </c>
      <c r="H5319" s="16">
        <f t="shared" ca="1" si="90"/>
        <v>0.14915497263975069</v>
      </c>
    </row>
    <row r="5320" spans="7:8" x14ac:dyDescent="0.35">
      <c r="G5320" s="215">
        <v>5313</v>
      </c>
      <c r="H5320" s="16">
        <f t="shared" ref="H5320:H5383" ca="1" si="91">_xlfn.NORM.INV(RAND(),M$10,M$11)</f>
        <v>-3.5815539141662231E-2</v>
      </c>
    </row>
    <row r="5321" spans="7:8" x14ac:dyDescent="0.35">
      <c r="G5321" s="215">
        <v>5314</v>
      </c>
      <c r="H5321" s="16">
        <f t="shared" ca="1" si="91"/>
        <v>-5.5091396260019951E-2</v>
      </c>
    </row>
    <row r="5322" spans="7:8" x14ac:dyDescent="0.35">
      <c r="G5322" s="215">
        <v>5315</v>
      </c>
      <c r="H5322" s="16">
        <f t="shared" ca="1" si="91"/>
        <v>1.0972566906559596E-2</v>
      </c>
    </row>
    <row r="5323" spans="7:8" x14ac:dyDescent="0.35">
      <c r="G5323" s="215">
        <v>5316</v>
      </c>
      <c r="H5323" s="16">
        <f t="shared" ca="1" si="91"/>
        <v>3.27665205052136E-2</v>
      </c>
    </row>
    <row r="5324" spans="7:8" x14ac:dyDescent="0.35">
      <c r="G5324" s="215">
        <v>5317</v>
      </c>
      <c r="H5324" s="16">
        <f t="shared" ca="1" si="91"/>
        <v>9.2966251138226E-3</v>
      </c>
    </row>
    <row r="5325" spans="7:8" x14ac:dyDescent="0.35">
      <c r="G5325" s="215">
        <v>5318</v>
      </c>
      <c r="H5325" s="16">
        <f t="shared" ca="1" si="91"/>
        <v>4.2516972888410998E-2</v>
      </c>
    </row>
    <row r="5326" spans="7:8" x14ac:dyDescent="0.35">
      <c r="G5326" s="215">
        <v>5319</v>
      </c>
      <c r="H5326" s="16">
        <f t="shared" ca="1" si="91"/>
        <v>-8.9359506877045164E-2</v>
      </c>
    </row>
    <row r="5327" spans="7:8" x14ac:dyDescent="0.35">
      <c r="G5327" s="215">
        <v>5320</v>
      </c>
      <c r="H5327" s="16">
        <f t="shared" ca="1" si="91"/>
        <v>-2.643787645362294E-2</v>
      </c>
    </row>
    <row r="5328" spans="7:8" x14ac:dyDescent="0.35">
      <c r="G5328" s="215">
        <v>5321</v>
      </c>
      <c r="H5328" s="16">
        <f t="shared" ca="1" si="91"/>
        <v>9.826082637745133E-2</v>
      </c>
    </row>
    <row r="5329" spans="7:8" x14ac:dyDescent="0.35">
      <c r="G5329" s="215">
        <v>5322</v>
      </c>
      <c r="H5329" s="16">
        <f t="shared" ca="1" si="91"/>
        <v>-3.6014606592098056E-2</v>
      </c>
    </row>
    <row r="5330" spans="7:8" x14ac:dyDescent="0.35">
      <c r="G5330" s="215">
        <v>5323</v>
      </c>
      <c r="H5330" s="16">
        <f t="shared" ca="1" si="91"/>
        <v>4.1938337955994588E-2</v>
      </c>
    </row>
    <row r="5331" spans="7:8" x14ac:dyDescent="0.35">
      <c r="G5331" s="215">
        <v>5324</v>
      </c>
      <c r="H5331" s="16">
        <f t="shared" ca="1" si="91"/>
        <v>9.9888879071066208E-3</v>
      </c>
    </row>
    <row r="5332" spans="7:8" x14ac:dyDescent="0.35">
      <c r="G5332" s="215">
        <v>5325</v>
      </c>
      <c r="H5332" s="16">
        <f t="shared" ca="1" si="91"/>
        <v>-5.580743244625172E-2</v>
      </c>
    </row>
    <row r="5333" spans="7:8" x14ac:dyDescent="0.35">
      <c r="G5333" s="215">
        <v>5326</v>
      </c>
      <c r="H5333" s="16">
        <f t="shared" ca="1" si="91"/>
        <v>7.2494299085922545E-2</v>
      </c>
    </row>
    <row r="5334" spans="7:8" x14ac:dyDescent="0.35">
      <c r="G5334" s="215">
        <v>5327</v>
      </c>
      <c r="H5334" s="16">
        <f t="shared" ca="1" si="91"/>
        <v>-4.8009324941623265E-3</v>
      </c>
    </row>
    <row r="5335" spans="7:8" x14ac:dyDescent="0.35">
      <c r="G5335" s="215">
        <v>5328</v>
      </c>
      <c r="H5335" s="16">
        <f t="shared" ca="1" si="91"/>
        <v>4.7103895389688039E-2</v>
      </c>
    </row>
    <row r="5336" spans="7:8" x14ac:dyDescent="0.35">
      <c r="G5336" s="215">
        <v>5329</v>
      </c>
      <c r="H5336" s="16">
        <f t="shared" ca="1" si="91"/>
        <v>-0.11716640104428661</v>
      </c>
    </row>
    <row r="5337" spans="7:8" x14ac:dyDescent="0.35">
      <c r="G5337" s="215">
        <v>5330</v>
      </c>
      <c r="H5337" s="16">
        <f t="shared" ca="1" si="91"/>
        <v>7.0152368406834656E-2</v>
      </c>
    </row>
    <row r="5338" spans="7:8" x14ac:dyDescent="0.35">
      <c r="G5338" s="215">
        <v>5331</v>
      </c>
      <c r="H5338" s="16">
        <f t="shared" ca="1" si="91"/>
        <v>-9.9105803430401082E-2</v>
      </c>
    </row>
    <row r="5339" spans="7:8" x14ac:dyDescent="0.35">
      <c r="G5339" s="215">
        <v>5332</v>
      </c>
      <c r="H5339" s="16">
        <f t="shared" ca="1" si="91"/>
        <v>1.8848219868614371E-2</v>
      </c>
    </row>
    <row r="5340" spans="7:8" x14ac:dyDescent="0.35">
      <c r="G5340" s="215">
        <v>5333</v>
      </c>
      <c r="H5340" s="16">
        <f t="shared" ca="1" si="91"/>
        <v>-0.15465383598402774</v>
      </c>
    </row>
    <row r="5341" spans="7:8" x14ac:dyDescent="0.35">
      <c r="G5341" s="215">
        <v>5334</v>
      </c>
      <c r="H5341" s="16">
        <f t="shared" ca="1" si="91"/>
        <v>0.15935255185344269</v>
      </c>
    </row>
    <row r="5342" spans="7:8" x14ac:dyDescent="0.35">
      <c r="G5342" s="215">
        <v>5335</v>
      </c>
      <c r="H5342" s="16">
        <f t="shared" ca="1" si="91"/>
        <v>7.7922210821048818E-2</v>
      </c>
    </row>
    <row r="5343" spans="7:8" x14ac:dyDescent="0.35">
      <c r="G5343" s="215">
        <v>5336</v>
      </c>
      <c r="H5343" s="16">
        <f t="shared" ca="1" si="91"/>
        <v>-5.7963891381361578E-3</v>
      </c>
    </row>
    <row r="5344" spans="7:8" x14ac:dyDescent="0.35">
      <c r="G5344" s="215">
        <v>5337</v>
      </c>
      <c r="H5344" s="16">
        <f t="shared" ca="1" si="91"/>
        <v>5.7337690490564419E-2</v>
      </c>
    </row>
    <row r="5345" spans="7:8" x14ac:dyDescent="0.35">
      <c r="G5345" s="215">
        <v>5338</v>
      </c>
      <c r="H5345" s="16">
        <f t="shared" ca="1" si="91"/>
        <v>5.1479370189690871E-2</v>
      </c>
    </row>
    <row r="5346" spans="7:8" x14ac:dyDescent="0.35">
      <c r="G5346" s="215">
        <v>5339</v>
      </c>
      <c r="H5346" s="16">
        <f t="shared" ca="1" si="91"/>
        <v>-2.452725571125829E-2</v>
      </c>
    </row>
    <row r="5347" spans="7:8" x14ac:dyDescent="0.35">
      <c r="G5347" s="215">
        <v>5340</v>
      </c>
      <c r="H5347" s="16">
        <f t="shared" ca="1" si="91"/>
        <v>-2.3829041289568181E-2</v>
      </c>
    </row>
    <row r="5348" spans="7:8" x14ac:dyDescent="0.35">
      <c r="G5348" s="215">
        <v>5341</v>
      </c>
      <c r="H5348" s="16">
        <f t="shared" ca="1" si="91"/>
        <v>-0.2334458252310318</v>
      </c>
    </row>
    <row r="5349" spans="7:8" x14ac:dyDescent="0.35">
      <c r="G5349" s="215">
        <v>5342</v>
      </c>
      <c r="H5349" s="16">
        <f t="shared" ca="1" si="91"/>
        <v>4.8565889191461167E-2</v>
      </c>
    </row>
    <row r="5350" spans="7:8" x14ac:dyDescent="0.35">
      <c r="G5350" s="215">
        <v>5343</v>
      </c>
      <c r="H5350" s="16">
        <f t="shared" ca="1" si="91"/>
        <v>-2.7445980283615234E-2</v>
      </c>
    </row>
    <row r="5351" spans="7:8" x14ac:dyDescent="0.35">
      <c r="G5351" s="215">
        <v>5344</v>
      </c>
      <c r="H5351" s="16">
        <f t="shared" ca="1" si="91"/>
        <v>-4.1136579349064062E-2</v>
      </c>
    </row>
    <row r="5352" spans="7:8" x14ac:dyDescent="0.35">
      <c r="G5352" s="215">
        <v>5345</v>
      </c>
      <c r="H5352" s="16">
        <f t="shared" ca="1" si="91"/>
        <v>1.1125657620078833E-2</v>
      </c>
    </row>
    <row r="5353" spans="7:8" x14ac:dyDescent="0.35">
      <c r="G5353" s="215">
        <v>5346</v>
      </c>
      <c r="H5353" s="16">
        <f t="shared" ca="1" si="91"/>
        <v>6.71498341024587E-2</v>
      </c>
    </row>
    <row r="5354" spans="7:8" x14ac:dyDescent="0.35">
      <c r="G5354" s="215">
        <v>5347</v>
      </c>
      <c r="H5354" s="16">
        <f t="shared" ca="1" si="91"/>
        <v>6.2383510355971991E-2</v>
      </c>
    </row>
    <row r="5355" spans="7:8" x14ac:dyDescent="0.35">
      <c r="G5355" s="215">
        <v>5348</v>
      </c>
      <c r="H5355" s="16">
        <f t="shared" ca="1" si="91"/>
        <v>-2.1496751951476104E-2</v>
      </c>
    </row>
    <row r="5356" spans="7:8" x14ac:dyDescent="0.35">
      <c r="G5356" s="215">
        <v>5349</v>
      </c>
      <c r="H5356" s="16">
        <f t="shared" ca="1" si="91"/>
        <v>5.9447112477540892E-2</v>
      </c>
    </row>
    <row r="5357" spans="7:8" x14ac:dyDescent="0.35">
      <c r="G5357" s="215">
        <v>5350</v>
      </c>
      <c r="H5357" s="16">
        <f t="shared" ca="1" si="91"/>
        <v>5.8139536516839702E-2</v>
      </c>
    </row>
    <row r="5358" spans="7:8" x14ac:dyDescent="0.35">
      <c r="G5358" s="215">
        <v>5351</v>
      </c>
      <c r="H5358" s="16">
        <f t="shared" ca="1" si="91"/>
        <v>1.1409266898360195E-2</v>
      </c>
    </row>
    <row r="5359" spans="7:8" x14ac:dyDescent="0.35">
      <c r="G5359" s="215">
        <v>5352</v>
      </c>
      <c r="H5359" s="16">
        <f t="shared" ca="1" si="91"/>
        <v>-1.614028975694282E-2</v>
      </c>
    </row>
    <row r="5360" spans="7:8" x14ac:dyDescent="0.35">
      <c r="G5360" s="215">
        <v>5353</v>
      </c>
      <c r="H5360" s="16">
        <f t="shared" ca="1" si="91"/>
        <v>-7.0623656364803084E-2</v>
      </c>
    </row>
    <row r="5361" spans="7:8" x14ac:dyDescent="0.35">
      <c r="G5361" s="215">
        <v>5354</v>
      </c>
      <c r="H5361" s="16">
        <f t="shared" ca="1" si="91"/>
        <v>-6.4746277193854479E-2</v>
      </c>
    </row>
    <row r="5362" spans="7:8" x14ac:dyDescent="0.35">
      <c r="G5362" s="215">
        <v>5355</v>
      </c>
      <c r="H5362" s="16">
        <f t="shared" ca="1" si="91"/>
        <v>-4.2430023808873049E-2</v>
      </c>
    </row>
    <row r="5363" spans="7:8" x14ac:dyDescent="0.35">
      <c r="G5363" s="215">
        <v>5356</v>
      </c>
      <c r="H5363" s="16">
        <f t="shared" ca="1" si="91"/>
        <v>5.3689896031481749E-2</v>
      </c>
    </row>
    <row r="5364" spans="7:8" x14ac:dyDescent="0.35">
      <c r="G5364" s="215">
        <v>5357</v>
      </c>
      <c r="H5364" s="16">
        <f t="shared" ca="1" si="91"/>
        <v>-5.9879505500809935E-3</v>
      </c>
    </row>
    <row r="5365" spans="7:8" x14ac:dyDescent="0.35">
      <c r="G5365" s="215">
        <v>5358</v>
      </c>
      <c r="H5365" s="16">
        <f t="shared" ca="1" si="91"/>
        <v>7.6691342964023404E-3</v>
      </c>
    </row>
    <row r="5366" spans="7:8" x14ac:dyDescent="0.35">
      <c r="G5366" s="215">
        <v>5359</v>
      </c>
      <c r="H5366" s="16">
        <f t="shared" ca="1" si="91"/>
        <v>7.1828587656898132E-2</v>
      </c>
    </row>
    <row r="5367" spans="7:8" x14ac:dyDescent="0.35">
      <c r="G5367" s="215">
        <v>5360</v>
      </c>
      <c r="H5367" s="16">
        <f t="shared" ca="1" si="91"/>
        <v>-5.358396439226816E-2</v>
      </c>
    </row>
    <row r="5368" spans="7:8" x14ac:dyDescent="0.35">
      <c r="G5368" s="215">
        <v>5361</v>
      </c>
      <c r="H5368" s="16">
        <f t="shared" ca="1" si="91"/>
        <v>9.1431322896131345E-2</v>
      </c>
    </row>
    <row r="5369" spans="7:8" x14ac:dyDescent="0.35">
      <c r="G5369" s="215">
        <v>5362</v>
      </c>
      <c r="H5369" s="16">
        <f t="shared" ca="1" si="91"/>
        <v>4.1980999444199765E-3</v>
      </c>
    </row>
    <row r="5370" spans="7:8" x14ac:dyDescent="0.35">
      <c r="G5370" s="215">
        <v>5363</v>
      </c>
      <c r="H5370" s="16">
        <f t="shared" ca="1" si="91"/>
        <v>2.3644056082270295E-3</v>
      </c>
    </row>
    <row r="5371" spans="7:8" x14ac:dyDescent="0.35">
      <c r="G5371" s="215">
        <v>5364</v>
      </c>
      <c r="H5371" s="16">
        <f t="shared" ca="1" si="91"/>
        <v>3.0040696144813236E-2</v>
      </c>
    </row>
    <row r="5372" spans="7:8" x14ac:dyDescent="0.35">
      <c r="G5372" s="215">
        <v>5365</v>
      </c>
      <c r="H5372" s="16">
        <f t="shared" ca="1" si="91"/>
        <v>-1.8259024236738523E-2</v>
      </c>
    </row>
    <row r="5373" spans="7:8" x14ac:dyDescent="0.35">
      <c r="G5373" s="215">
        <v>5366</v>
      </c>
      <c r="H5373" s="16">
        <f t="shared" ca="1" si="91"/>
        <v>0.10721919707948432</v>
      </c>
    </row>
    <row r="5374" spans="7:8" x14ac:dyDescent="0.35">
      <c r="G5374" s="215">
        <v>5367</v>
      </c>
      <c r="H5374" s="16">
        <f t="shared" ca="1" si="91"/>
        <v>2.0445666802435661E-2</v>
      </c>
    </row>
    <row r="5375" spans="7:8" x14ac:dyDescent="0.35">
      <c r="G5375" s="215">
        <v>5368</v>
      </c>
      <c r="H5375" s="16">
        <f t="shared" ca="1" si="91"/>
        <v>0.11344030350470055</v>
      </c>
    </row>
    <row r="5376" spans="7:8" x14ac:dyDescent="0.35">
      <c r="G5376" s="215">
        <v>5369</v>
      </c>
      <c r="H5376" s="16">
        <f t="shared" ca="1" si="91"/>
        <v>-0.1250676600332237</v>
      </c>
    </row>
    <row r="5377" spans="7:8" x14ac:dyDescent="0.35">
      <c r="G5377" s="215">
        <v>5370</v>
      </c>
      <c r="H5377" s="16">
        <f t="shared" ca="1" si="91"/>
        <v>7.9477629368851124E-2</v>
      </c>
    </row>
    <row r="5378" spans="7:8" x14ac:dyDescent="0.35">
      <c r="G5378" s="215">
        <v>5371</v>
      </c>
      <c r="H5378" s="16">
        <f t="shared" ca="1" si="91"/>
        <v>2.9511475033416473E-3</v>
      </c>
    </row>
    <row r="5379" spans="7:8" x14ac:dyDescent="0.35">
      <c r="G5379" s="215">
        <v>5372</v>
      </c>
      <c r="H5379" s="16">
        <f t="shared" ca="1" si="91"/>
        <v>-8.5399691207710654E-2</v>
      </c>
    </row>
    <row r="5380" spans="7:8" x14ac:dyDescent="0.35">
      <c r="G5380" s="215">
        <v>5373</v>
      </c>
      <c r="H5380" s="16">
        <f t="shared" ca="1" si="91"/>
        <v>-5.6898290043751854E-2</v>
      </c>
    </row>
    <row r="5381" spans="7:8" x14ac:dyDescent="0.35">
      <c r="G5381" s="215">
        <v>5374</v>
      </c>
      <c r="H5381" s="16">
        <f t="shared" ca="1" si="91"/>
        <v>-9.3262875513468749E-2</v>
      </c>
    </row>
    <row r="5382" spans="7:8" x14ac:dyDescent="0.35">
      <c r="G5382" s="215">
        <v>5375</v>
      </c>
      <c r="H5382" s="16">
        <f t="shared" ca="1" si="91"/>
        <v>9.3169579450521317E-2</v>
      </c>
    </row>
    <row r="5383" spans="7:8" x14ac:dyDescent="0.35">
      <c r="G5383" s="215">
        <v>5376</v>
      </c>
      <c r="H5383" s="16">
        <f t="shared" ca="1" si="91"/>
        <v>3.7375187376104291E-2</v>
      </c>
    </row>
    <row r="5384" spans="7:8" x14ac:dyDescent="0.35">
      <c r="G5384" s="215">
        <v>5377</v>
      </c>
      <c r="H5384" s="16">
        <f t="shared" ref="H5384:H5447" ca="1" si="92">_xlfn.NORM.INV(RAND(),M$10,M$11)</f>
        <v>-2.4089997293184274E-2</v>
      </c>
    </row>
    <row r="5385" spans="7:8" x14ac:dyDescent="0.35">
      <c r="G5385" s="215">
        <v>5378</v>
      </c>
      <c r="H5385" s="16">
        <f t="shared" ca="1" si="92"/>
        <v>5.241768784897971E-2</v>
      </c>
    </row>
    <row r="5386" spans="7:8" x14ac:dyDescent="0.35">
      <c r="G5386" s="215">
        <v>5379</v>
      </c>
      <c r="H5386" s="16">
        <f t="shared" ca="1" si="92"/>
        <v>-9.5129143434175722E-2</v>
      </c>
    </row>
    <row r="5387" spans="7:8" x14ac:dyDescent="0.35">
      <c r="G5387" s="215">
        <v>5380</v>
      </c>
      <c r="H5387" s="16">
        <f t="shared" ca="1" si="92"/>
        <v>-2.4277462128852952E-2</v>
      </c>
    </row>
    <row r="5388" spans="7:8" x14ac:dyDescent="0.35">
      <c r="G5388" s="215">
        <v>5381</v>
      </c>
      <c r="H5388" s="16">
        <f t="shared" ca="1" si="92"/>
        <v>-5.6755867805791296E-2</v>
      </c>
    </row>
    <row r="5389" spans="7:8" x14ac:dyDescent="0.35">
      <c r="G5389" s="215">
        <v>5382</v>
      </c>
      <c r="H5389" s="16">
        <f t="shared" ca="1" si="92"/>
        <v>-0.10340981491378927</v>
      </c>
    </row>
    <row r="5390" spans="7:8" x14ac:dyDescent="0.35">
      <c r="G5390" s="215">
        <v>5383</v>
      </c>
      <c r="H5390" s="16">
        <f t="shared" ca="1" si="92"/>
        <v>7.1453515088564928E-3</v>
      </c>
    </row>
    <row r="5391" spans="7:8" x14ac:dyDescent="0.35">
      <c r="G5391" s="215">
        <v>5384</v>
      </c>
      <c r="H5391" s="16">
        <f t="shared" ca="1" si="92"/>
        <v>-6.0856312282236563E-2</v>
      </c>
    </row>
    <row r="5392" spans="7:8" x14ac:dyDescent="0.35">
      <c r="G5392" s="215">
        <v>5385</v>
      </c>
      <c r="H5392" s="16">
        <f t="shared" ca="1" si="92"/>
        <v>0.15040431674801091</v>
      </c>
    </row>
    <row r="5393" spans="7:8" x14ac:dyDescent="0.35">
      <c r="G5393" s="215">
        <v>5386</v>
      </c>
      <c r="H5393" s="16">
        <f t="shared" ca="1" si="92"/>
        <v>5.5571306505051571E-2</v>
      </c>
    </row>
    <row r="5394" spans="7:8" x14ac:dyDescent="0.35">
      <c r="G5394" s="215">
        <v>5387</v>
      </c>
      <c r="H5394" s="16">
        <f t="shared" ca="1" si="92"/>
        <v>3.3093505200677709E-3</v>
      </c>
    </row>
    <row r="5395" spans="7:8" x14ac:dyDescent="0.35">
      <c r="G5395" s="215">
        <v>5388</v>
      </c>
      <c r="H5395" s="16">
        <f t="shared" ca="1" si="92"/>
        <v>-2.9612444835847709E-2</v>
      </c>
    </row>
    <row r="5396" spans="7:8" x14ac:dyDescent="0.35">
      <c r="G5396" s="215">
        <v>5389</v>
      </c>
      <c r="H5396" s="16">
        <f t="shared" ca="1" si="92"/>
        <v>-8.0631651014130945E-2</v>
      </c>
    </row>
    <row r="5397" spans="7:8" x14ac:dyDescent="0.35">
      <c r="G5397" s="215">
        <v>5390</v>
      </c>
      <c r="H5397" s="16">
        <f t="shared" ca="1" si="92"/>
        <v>7.558511694556605E-2</v>
      </c>
    </row>
    <row r="5398" spans="7:8" x14ac:dyDescent="0.35">
      <c r="G5398" s="215">
        <v>5391</v>
      </c>
      <c r="H5398" s="16">
        <f t="shared" ca="1" si="92"/>
        <v>-0.11318825231853996</v>
      </c>
    </row>
    <row r="5399" spans="7:8" x14ac:dyDescent="0.35">
      <c r="G5399" s="215">
        <v>5392</v>
      </c>
      <c r="H5399" s="16">
        <f t="shared" ca="1" si="92"/>
        <v>9.7572621577238054E-4</v>
      </c>
    </row>
    <row r="5400" spans="7:8" x14ac:dyDescent="0.35">
      <c r="G5400" s="215">
        <v>5393</v>
      </c>
      <c r="H5400" s="16">
        <f t="shared" ca="1" si="92"/>
        <v>-5.3433165511805408E-2</v>
      </c>
    </row>
    <row r="5401" spans="7:8" x14ac:dyDescent="0.35">
      <c r="G5401" s="215">
        <v>5394</v>
      </c>
      <c r="H5401" s="16">
        <f t="shared" ca="1" si="92"/>
        <v>0.21791543074385175</v>
      </c>
    </row>
    <row r="5402" spans="7:8" x14ac:dyDescent="0.35">
      <c r="G5402" s="215">
        <v>5395</v>
      </c>
      <c r="H5402" s="16">
        <f t="shared" ca="1" si="92"/>
        <v>4.8189634807940293E-2</v>
      </c>
    </row>
    <row r="5403" spans="7:8" x14ac:dyDescent="0.35">
      <c r="G5403" s="215">
        <v>5396</v>
      </c>
      <c r="H5403" s="16">
        <f t="shared" ca="1" si="92"/>
        <v>-7.094606333688417E-3</v>
      </c>
    </row>
    <row r="5404" spans="7:8" x14ac:dyDescent="0.35">
      <c r="G5404" s="215">
        <v>5397</v>
      </c>
      <c r="H5404" s="16">
        <f t="shared" ca="1" si="92"/>
        <v>-2.9805375038372346E-2</v>
      </c>
    </row>
    <row r="5405" spans="7:8" x14ac:dyDescent="0.35">
      <c r="G5405" s="215">
        <v>5398</v>
      </c>
      <c r="H5405" s="16">
        <f t="shared" ca="1" si="92"/>
        <v>0.13067041764041931</v>
      </c>
    </row>
    <row r="5406" spans="7:8" x14ac:dyDescent="0.35">
      <c r="G5406" s="215">
        <v>5399</v>
      </c>
      <c r="H5406" s="16">
        <f t="shared" ca="1" si="92"/>
        <v>4.692620570185313E-2</v>
      </c>
    </row>
    <row r="5407" spans="7:8" x14ac:dyDescent="0.35">
      <c r="G5407" s="215">
        <v>5400</v>
      </c>
      <c r="H5407" s="16">
        <f t="shared" ca="1" si="92"/>
        <v>0.12421857005663417</v>
      </c>
    </row>
    <row r="5408" spans="7:8" x14ac:dyDescent="0.35">
      <c r="G5408" s="215">
        <v>5401</v>
      </c>
      <c r="H5408" s="16">
        <f t="shared" ca="1" si="92"/>
        <v>-9.1917439392717147E-3</v>
      </c>
    </row>
    <row r="5409" spans="7:8" x14ac:dyDescent="0.35">
      <c r="G5409" s="215">
        <v>5402</v>
      </c>
      <c r="H5409" s="16">
        <f t="shared" ca="1" si="92"/>
        <v>-3.3393254318896975E-2</v>
      </c>
    </row>
    <row r="5410" spans="7:8" x14ac:dyDescent="0.35">
      <c r="G5410" s="215">
        <v>5403</v>
      </c>
      <c r="H5410" s="16">
        <f t="shared" ca="1" si="92"/>
        <v>7.0837245608888644E-3</v>
      </c>
    </row>
    <row r="5411" spans="7:8" x14ac:dyDescent="0.35">
      <c r="G5411" s="215">
        <v>5404</v>
      </c>
      <c r="H5411" s="16">
        <f t="shared" ca="1" si="92"/>
        <v>-2.0706125681434841E-2</v>
      </c>
    </row>
    <row r="5412" spans="7:8" x14ac:dyDescent="0.35">
      <c r="G5412" s="215">
        <v>5405</v>
      </c>
      <c r="H5412" s="16">
        <f t="shared" ca="1" si="92"/>
        <v>4.1805673799405509E-3</v>
      </c>
    </row>
    <row r="5413" spans="7:8" x14ac:dyDescent="0.35">
      <c r="G5413" s="215">
        <v>5406</v>
      </c>
      <c r="H5413" s="16">
        <f t="shared" ca="1" si="92"/>
        <v>-2.5279921584662694E-2</v>
      </c>
    </row>
    <row r="5414" spans="7:8" x14ac:dyDescent="0.35">
      <c r="G5414" s="215">
        <v>5407</v>
      </c>
      <c r="H5414" s="16">
        <f t="shared" ca="1" si="92"/>
        <v>-8.352991791275792E-2</v>
      </c>
    </row>
    <row r="5415" spans="7:8" x14ac:dyDescent="0.35">
      <c r="G5415" s="215">
        <v>5408</v>
      </c>
      <c r="H5415" s="16">
        <f t="shared" ca="1" si="92"/>
        <v>-3.8261661218872436E-2</v>
      </c>
    </row>
    <row r="5416" spans="7:8" x14ac:dyDescent="0.35">
      <c r="G5416" s="215">
        <v>5409</v>
      </c>
      <c r="H5416" s="16">
        <f t="shared" ca="1" si="92"/>
        <v>0.13154756744459184</v>
      </c>
    </row>
    <row r="5417" spans="7:8" x14ac:dyDescent="0.35">
      <c r="G5417" s="215">
        <v>5410</v>
      </c>
      <c r="H5417" s="16">
        <f t="shared" ca="1" si="92"/>
        <v>5.7214529493265054E-2</v>
      </c>
    </row>
    <row r="5418" spans="7:8" x14ac:dyDescent="0.35">
      <c r="G5418" s="215">
        <v>5411</v>
      </c>
      <c r="H5418" s="16">
        <f t="shared" ca="1" si="92"/>
        <v>8.1242541109642109E-4</v>
      </c>
    </row>
    <row r="5419" spans="7:8" x14ac:dyDescent="0.35">
      <c r="G5419" s="215">
        <v>5412</v>
      </c>
      <c r="H5419" s="16">
        <f t="shared" ca="1" si="92"/>
        <v>-1.3670443327033627E-3</v>
      </c>
    </row>
    <row r="5420" spans="7:8" x14ac:dyDescent="0.35">
      <c r="G5420" s="215">
        <v>5413</v>
      </c>
      <c r="H5420" s="16">
        <f t="shared" ca="1" si="92"/>
        <v>-5.0651538079123287E-2</v>
      </c>
    </row>
    <row r="5421" spans="7:8" x14ac:dyDescent="0.35">
      <c r="G5421" s="215">
        <v>5414</v>
      </c>
      <c r="H5421" s="16">
        <f t="shared" ca="1" si="92"/>
        <v>7.2499777785490785E-2</v>
      </c>
    </row>
    <row r="5422" spans="7:8" x14ac:dyDescent="0.35">
      <c r="G5422" s="215">
        <v>5415</v>
      </c>
      <c r="H5422" s="16">
        <f t="shared" ca="1" si="92"/>
        <v>5.188915243531203E-2</v>
      </c>
    </row>
    <row r="5423" spans="7:8" x14ac:dyDescent="0.35">
      <c r="G5423" s="215">
        <v>5416</v>
      </c>
      <c r="H5423" s="16">
        <f t="shared" ca="1" si="92"/>
        <v>7.8648944302752696E-2</v>
      </c>
    </row>
    <row r="5424" spans="7:8" x14ac:dyDescent="0.35">
      <c r="G5424" s="215">
        <v>5417</v>
      </c>
      <c r="H5424" s="16">
        <f t="shared" ca="1" si="92"/>
        <v>9.2818030114494646E-4</v>
      </c>
    </row>
    <row r="5425" spans="7:8" x14ac:dyDescent="0.35">
      <c r="G5425" s="215">
        <v>5418</v>
      </c>
      <c r="H5425" s="16">
        <f t="shared" ca="1" si="92"/>
        <v>0.1028507744481853</v>
      </c>
    </row>
    <row r="5426" spans="7:8" x14ac:dyDescent="0.35">
      <c r="G5426" s="215">
        <v>5419</v>
      </c>
      <c r="H5426" s="16">
        <f t="shared" ca="1" si="92"/>
        <v>-0.13241638265723005</v>
      </c>
    </row>
    <row r="5427" spans="7:8" x14ac:dyDescent="0.35">
      <c r="G5427" s="215">
        <v>5420</v>
      </c>
      <c r="H5427" s="16">
        <f t="shared" ca="1" si="92"/>
        <v>0.10025442084917703</v>
      </c>
    </row>
    <row r="5428" spans="7:8" x14ac:dyDescent="0.35">
      <c r="G5428" s="215">
        <v>5421</v>
      </c>
      <c r="H5428" s="16">
        <f t="shared" ca="1" si="92"/>
        <v>-8.9967095889072923E-2</v>
      </c>
    </row>
    <row r="5429" spans="7:8" x14ac:dyDescent="0.35">
      <c r="G5429" s="215">
        <v>5422</v>
      </c>
      <c r="H5429" s="16">
        <f t="shared" ca="1" si="92"/>
        <v>-1.4088478070535843E-2</v>
      </c>
    </row>
    <row r="5430" spans="7:8" x14ac:dyDescent="0.35">
      <c r="G5430" s="215">
        <v>5423</v>
      </c>
      <c r="H5430" s="16">
        <f t="shared" ca="1" si="92"/>
        <v>5.7422773365799429E-2</v>
      </c>
    </row>
    <row r="5431" spans="7:8" x14ac:dyDescent="0.35">
      <c r="G5431" s="215">
        <v>5424</v>
      </c>
      <c r="H5431" s="16">
        <f t="shared" ca="1" si="92"/>
        <v>-3.6910029405791869E-2</v>
      </c>
    </row>
    <row r="5432" spans="7:8" x14ac:dyDescent="0.35">
      <c r="G5432" s="215">
        <v>5425</v>
      </c>
      <c r="H5432" s="16">
        <f t="shared" ca="1" si="92"/>
        <v>6.8795129830801188E-2</v>
      </c>
    </row>
    <row r="5433" spans="7:8" x14ac:dyDescent="0.35">
      <c r="G5433" s="215">
        <v>5426</v>
      </c>
      <c r="H5433" s="16">
        <f t="shared" ca="1" si="92"/>
        <v>4.6542072286687858E-3</v>
      </c>
    </row>
    <row r="5434" spans="7:8" x14ac:dyDescent="0.35">
      <c r="G5434" s="215">
        <v>5427</v>
      </c>
      <c r="H5434" s="16">
        <f t="shared" ca="1" si="92"/>
        <v>-5.2558809936353562E-2</v>
      </c>
    </row>
    <row r="5435" spans="7:8" x14ac:dyDescent="0.35">
      <c r="G5435" s="215">
        <v>5428</v>
      </c>
      <c r="H5435" s="16">
        <f t="shared" ca="1" si="92"/>
        <v>3.8252186676205099E-2</v>
      </c>
    </row>
    <row r="5436" spans="7:8" x14ac:dyDescent="0.35">
      <c r="G5436" s="215">
        <v>5429</v>
      </c>
      <c r="H5436" s="16">
        <f t="shared" ca="1" si="92"/>
        <v>-8.8318416389328053E-2</v>
      </c>
    </row>
    <row r="5437" spans="7:8" x14ac:dyDescent="0.35">
      <c r="G5437" s="215">
        <v>5430</v>
      </c>
      <c r="H5437" s="16">
        <f t="shared" ca="1" si="92"/>
        <v>-7.5821296360415111E-2</v>
      </c>
    </row>
    <row r="5438" spans="7:8" x14ac:dyDescent="0.35">
      <c r="G5438" s="215">
        <v>5431</v>
      </c>
      <c r="H5438" s="16">
        <f t="shared" ca="1" si="92"/>
        <v>-7.9178548422475487E-2</v>
      </c>
    </row>
    <row r="5439" spans="7:8" x14ac:dyDescent="0.35">
      <c r="G5439" s="215">
        <v>5432</v>
      </c>
      <c r="H5439" s="16">
        <f t="shared" ca="1" si="92"/>
        <v>2.9832616757246577E-2</v>
      </c>
    </row>
    <row r="5440" spans="7:8" x14ac:dyDescent="0.35">
      <c r="G5440" s="215">
        <v>5433</v>
      </c>
      <c r="H5440" s="16">
        <f t="shared" ca="1" si="92"/>
        <v>-9.8042745678969048E-2</v>
      </c>
    </row>
    <row r="5441" spans="7:8" x14ac:dyDescent="0.35">
      <c r="G5441" s="215">
        <v>5434</v>
      </c>
      <c r="H5441" s="16">
        <f t="shared" ca="1" si="92"/>
        <v>6.1748699364026161E-2</v>
      </c>
    </row>
    <row r="5442" spans="7:8" x14ac:dyDescent="0.35">
      <c r="G5442" s="215">
        <v>5435</v>
      </c>
      <c r="H5442" s="16">
        <f t="shared" ca="1" si="92"/>
        <v>-5.9401789043971268E-2</v>
      </c>
    </row>
    <row r="5443" spans="7:8" x14ac:dyDescent="0.35">
      <c r="G5443" s="215">
        <v>5436</v>
      </c>
      <c r="H5443" s="16">
        <f t="shared" ca="1" si="92"/>
        <v>-7.200125393159236E-3</v>
      </c>
    </row>
    <row r="5444" spans="7:8" x14ac:dyDescent="0.35">
      <c r="G5444" s="215">
        <v>5437</v>
      </c>
      <c r="H5444" s="16">
        <f t="shared" ca="1" si="92"/>
        <v>0.19380310362347675</v>
      </c>
    </row>
    <row r="5445" spans="7:8" x14ac:dyDescent="0.35">
      <c r="G5445" s="215">
        <v>5438</v>
      </c>
      <c r="H5445" s="16">
        <f t="shared" ca="1" si="92"/>
        <v>6.5333367357399297E-3</v>
      </c>
    </row>
    <row r="5446" spans="7:8" x14ac:dyDescent="0.35">
      <c r="G5446" s="215">
        <v>5439</v>
      </c>
      <c r="H5446" s="16">
        <f t="shared" ca="1" si="92"/>
        <v>0.19923751893226196</v>
      </c>
    </row>
    <row r="5447" spans="7:8" x14ac:dyDescent="0.35">
      <c r="G5447" s="215">
        <v>5440</v>
      </c>
      <c r="H5447" s="16">
        <f t="shared" ca="1" si="92"/>
        <v>2.960012472673652E-2</v>
      </c>
    </row>
    <row r="5448" spans="7:8" x14ac:dyDescent="0.35">
      <c r="G5448" s="215">
        <v>5441</v>
      </c>
      <c r="H5448" s="16">
        <f t="shared" ref="H5448:H5511" ca="1" si="93">_xlfn.NORM.INV(RAND(),M$10,M$11)</f>
        <v>0.13687300138928243</v>
      </c>
    </row>
    <row r="5449" spans="7:8" x14ac:dyDescent="0.35">
      <c r="G5449" s="215">
        <v>5442</v>
      </c>
      <c r="H5449" s="16">
        <f t="shared" ca="1" si="93"/>
        <v>3.9183219476972883E-2</v>
      </c>
    </row>
    <row r="5450" spans="7:8" x14ac:dyDescent="0.35">
      <c r="G5450" s="215">
        <v>5443</v>
      </c>
      <c r="H5450" s="16">
        <f t="shared" ca="1" si="93"/>
        <v>0.12920831280534295</v>
      </c>
    </row>
    <row r="5451" spans="7:8" x14ac:dyDescent="0.35">
      <c r="G5451" s="215">
        <v>5444</v>
      </c>
      <c r="H5451" s="16">
        <f t="shared" ca="1" si="93"/>
        <v>7.8356979437358698E-2</v>
      </c>
    </row>
    <row r="5452" spans="7:8" x14ac:dyDescent="0.35">
      <c r="G5452" s="215">
        <v>5445</v>
      </c>
      <c r="H5452" s="16">
        <f t="shared" ca="1" si="93"/>
        <v>-2.1489787261377898E-2</v>
      </c>
    </row>
    <row r="5453" spans="7:8" x14ac:dyDescent="0.35">
      <c r="G5453" s="215">
        <v>5446</v>
      </c>
      <c r="H5453" s="16">
        <f t="shared" ca="1" si="93"/>
        <v>6.7871927045190152E-3</v>
      </c>
    </row>
    <row r="5454" spans="7:8" x14ac:dyDescent="0.35">
      <c r="G5454" s="215">
        <v>5447</v>
      </c>
      <c r="H5454" s="16">
        <f t="shared" ca="1" si="93"/>
        <v>9.0535999039029411E-2</v>
      </c>
    </row>
    <row r="5455" spans="7:8" x14ac:dyDescent="0.35">
      <c r="G5455" s="215">
        <v>5448</v>
      </c>
      <c r="H5455" s="16">
        <f t="shared" ca="1" si="93"/>
        <v>2.4293758829211816E-2</v>
      </c>
    </row>
    <row r="5456" spans="7:8" x14ac:dyDescent="0.35">
      <c r="G5456" s="215">
        <v>5449</v>
      </c>
      <c r="H5456" s="16">
        <f t="shared" ca="1" si="93"/>
        <v>-1.6239461665521811E-3</v>
      </c>
    </row>
    <row r="5457" spans="7:8" x14ac:dyDescent="0.35">
      <c r="G5457" s="215">
        <v>5450</v>
      </c>
      <c r="H5457" s="16">
        <f t="shared" ca="1" si="93"/>
        <v>6.2838148892844226E-3</v>
      </c>
    </row>
    <row r="5458" spans="7:8" x14ac:dyDescent="0.35">
      <c r="G5458" s="215">
        <v>5451</v>
      </c>
      <c r="H5458" s="16">
        <f t="shared" ca="1" si="93"/>
        <v>-6.8620548455564992E-2</v>
      </c>
    </row>
    <row r="5459" spans="7:8" x14ac:dyDescent="0.35">
      <c r="G5459" s="215">
        <v>5452</v>
      </c>
      <c r="H5459" s="16">
        <f t="shared" ca="1" si="93"/>
        <v>9.3041778667629249E-2</v>
      </c>
    </row>
    <row r="5460" spans="7:8" x14ac:dyDescent="0.35">
      <c r="G5460" s="215">
        <v>5453</v>
      </c>
      <c r="H5460" s="16">
        <f t="shared" ca="1" si="93"/>
        <v>3.5050331011301811E-2</v>
      </c>
    </row>
    <row r="5461" spans="7:8" x14ac:dyDescent="0.35">
      <c r="G5461" s="215">
        <v>5454</v>
      </c>
      <c r="H5461" s="16">
        <f t="shared" ca="1" si="93"/>
        <v>0.12851040001044881</v>
      </c>
    </row>
    <row r="5462" spans="7:8" x14ac:dyDescent="0.35">
      <c r="G5462" s="215">
        <v>5455</v>
      </c>
      <c r="H5462" s="16">
        <f t="shared" ca="1" si="93"/>
        <v>6.1961896786144957E-2</v>
      </c>
    </row>
    <row r="5463" spans="7:8" x14ac:dyDescent="0.35">
      <c r="G5463" s="215">
        <v>5456</v>
      </c>
      <c r="H5463" s="16">
        <f t="shared" ca="1" si="93"/>
        <v>-8.2404936373409343E-2</v>
      </c>
    </row>
    <row r="5464" spans="7:8" x14ac:dyDescent="0.35">
      <c r="G5464" s="215">
        <v>5457</v>
      </c>
      <c r="H5464" s="16">
        <f t="shared" ca="1" si="93"/>
        <v>-1.3730312084421374E-2</v>
      </c>
    </row>
    <row r="5465" spans="7:8" x14ac:dyDescent="0.35">
      <c r="G5465" s="215">
        <v>5458</v>
      </c>
      <c r="H5465" s="16">
        <f t="shared" ca="1" si="93"/>
        <v>0.14421203237737473</v>
      </c>
    </row>
    <row r="5466" spans="7:8" x14ac:dyDescent="0.35">
      <c r="G5466" s="215">
        <v>5459</v>
      </c>
      <c r="H5466" s="16">
        <f t="shared" ca="1" si="93"/>
        <v>1.7663936949216062E-2</v>
      </c>
    </row>
    <row r="5467" spans="7:8" x14ac:dyDescent="0.35">
      <c r="G5467" s="215">
        <v>5460</v>
      </c>
      <c r="H5467" s="16">
        <f t="shared" ca="1" si="93"/>
        <v>5.6335607528606155E-2</v>
      </c>
    </row>
    <row r="5468" spans="7:8" x14ac:dyDescent="0.35">
      <c r="G5468" s="215">
        <v>5461</v>
      </c>
      <c r="H5468" s="16">
        <f t="shared" ca="1" si="93"/>
        <v>-2.4735186165028827E-2</v>
      </c>
    </row>
    <row r="5469" spans="7:8" x14ac:dyDescent="0.35">
      <c r="G5469" s="215">
        <v>5462</v>
      </c>
      <c r="H5469" s="16">
        <f t="shared" ca="1" si="93"/>
        <v>-4.3494927830165127E-3</v>
      </c>
    </row>
    <row r="5470" spans="7:8" x14ac:dyDescent="0.35">
      <c r="G5470" s="215">
        <v>5463</v>
      </c>
      <c r="H5470" s="16">
        <f t="shared" ca="1" si="93"/>
        <v>-3.4840364366264059E-2</v>
      </c>
    </row>
    <row r="5471" spans="7:8" x14ac:dyDescent="0.35">
      <c r="G5471" s="215">
        <v>5464</v>
      </c>
      <c r="H5471" s="16">
        <f t="shared" ca="1" si="93"/>
        <v>0.10589343632188032</v>
      </c>
    </row>
    <row r="5472" spans="7:8" x14ac:dyDescent="0.35">
      <c r="G5472" s="215">
        <v>5465</v>
      </c>
      <c r="H5472" s="16">
        <f t="shared" ca="1" si="93"/>
        <v>0.12028213966270652</v>
      </c>
    </row>
    <row r="5473" spans="7:8" x14ac:dyDescent="0.35">
      <c r="G5473" s="215">
        <v>5466</v>
      </c>
      <c r="H5473" s="16">
        <f t="shared" ca="1" si="93"/>
        <v>2.0342627191319781E-2</v>
      </c>
    </row>
    <row r="5474" spans="7:8" x14ac:dyDescent="0.35">
      <c r="G5474" s="215">
        <v>5467</v>
      </c>
      <c r="H5474" s="16">
        <f t="shared" ca="1" si="93"/>
        <v>-5.278952434076202E-2</v>
      </c>
    </row>
    <row r="5475" spans="7:8" x14ac:dyDescent="0.35">
      <c r="G5475" s="215">
        <v>5468</v>
      </c>
      <c r="H5475" s="16">
        <f t="shared" ca="1" si="93"/>
        <v>-0.1041956720802224</v>
      </c>
    </row>
    <row r="5476" spans="7:8" x14ac:dyDescent="0.35">
      <c r="G5476" s="215">
        <v>5469</v>
      </c>
      <c r="H5476" s="16">
        <f t="shared" ca="1" si="93"/>
        <v>0.15626763442604694</v>
      </c>
    </row>
    <row r="5477" spans="7:8" x14ac:dyDescent="0.35">
      <c r="G5477" s="215">
        <v>5470</v>
      </c>
      <c r="H5477" s="16">
        <f t="shared" ca="1" si="93"/>
        <v>-7.4231142670046102E-2</v>
      </c>
    </row>
    <row r="5478" spans="7:8" x14ac:dyDescent="0.35">
      <c r="G5478" s="215">
        <v>5471</v>
      </c>
      <c r="H5478" s="16">
        <f t="shared" ca="1" si="93"/>
        <v>8.2954654978223633E-3</v>
      </c>
    </row>
    <row r="5479" spans="7:8" x14ac:dyDescent="0.35">
      <c r="G5479" s="215">
        <v>5472</v>
      </c>
      <c r="H5479" s="16">
        <f t="shared" ca="1" si="93"/>
        <v>7.1003186820294661E-2</v>
      </c>
    </row>
    <row r="5480" spans="7:8" x14ac:dyDescent="0.35">
      <c r="G5480" s="215">
        <v>5473</v>
      </c>
      <c r="H5480" s="16">
        <f t="shared" ca="1" si="93"/>
        <v>2.8611405731511549E-3</v>
      </c>
    </row>
    <row r="5481" spans="7:8" x14ac:dyDescent="0.35">
      <c r="G5481" s="215">
        <v>5474</v>
      </c>
      <c r="H5481" s="16">
        <f t="shared" ca="1" si="93"/>
        <v>1.3891181395256949E-2</v>
      </c>
    </row>
    <row r="5482" spans="7:8" x14ac:dyDescent="0.35">
      <c r="G5482" s="215">
        <v>5475</v>
      </c>
      <c r="H5482" s="16">
        <f t="shared" ca="1" si="93"/>
        <v>-7.6170614830572109E-2</v>
      </c>
    </row>
    <row r="5483" spans="7:8" x14ac:dyDescent="0.35">
      <c r="G5483" s="215">
        <v>5476</v>
      </c>
      <c r="H5483" s="16">
        <f t="shared" ca="1" si="93"/>
        <v>-4.2494175083623437E-2</v>
      </c>
    </row>
    <row r="5484" spans="7:8" x14ac:dyDescent="0.35">
      <c r="G5484" s="215">
        <v>5477</v>
      </c>
      <c r="H5484" s="16">
        <f t="shared" ca="1" si="93"/>
        <v>-0.10339392210688914</v>
      </c>
    </row>
    <row r="5485" spans="7:8" x14ac:dyDescent="0.35">
      <c r="G5485" s="215">
        <v>5478</v>
      </c>
      <c r="H5485" s="16">
        <f t="shared" ca="1" si="93"/>
        <v>-8.8004953872135708E-2</v>
      </c>
    </row>
    <row r="5486" spans="7:8" x14ac:dyDescent="0.35">
      <c r="G5486" s="215">
        <v>5479</v>
      </c>
      <c r="H5486" s="16">
        <f t="shared" ca="1" si="93"/>
        <v>1.0052938856622723E-2</v>
      </c>
    </row>
    <row r="5487" spans="7:8" x14ac:dyDescent="0.35">
      <c r="G5487" s="215">
        <v>5480</v>
      </c>
      <c r="H5487" s="16">
        <f t="shared" ca="1" si="93"/>
        <v>-3.053323532959917E-2</v>
      </c>
    </row>
    <row r="5488" spans="7:8" x14ac:dyDescent="0.35">
      <c r="G5488" s="215">
        <v>5481</v>
      </c>
      <c r="H5488" s="16">
        <f t="shared" ca="1" si="93"/>
        <v>-3.5602735729729162E-2</v>
      </c>
    </row>
    <row r="5489" spans="7:8" x14ac:dyDescent="0.35">
      <c r="G5489" s="215">
        <v>5482</v>
      </c>
      <c r="H5489" s="16">
        <f t="shared" ca="1" si="93"/>
        <v>-2.4229629547703174E-2</v>
      </c>
    </row>
    <row r="5490" spans="7:8" x14ac:dyDescent="0.35">
      <c r="G5490" s="215">
        <v>5483</v>
      </c>
      <c r="H5490" s="16">
        <f t="shared" ca="1" si="93"/>
        <v>0.10676139294250767</v>
      </c>
    </row>
    <row r="5491" spans="7:8" x14ac:dyDescent="0.35">
      <c r="G5491" s="215">
        <v>5484</v>
      </c>
      <c r="H5491" s="16">
        <f t="shared" ca="1" si="93"/>
        <v>-8.2352955552606494E-2</v>
      </c>
    </row>
    <row r="5492" spans="7:8" x14ac:dyDescent="0.35">
      <c r="G5492" s="215">
        <v>5485</v>
      </c>
      <c r="H5492" s="16">
        <f t="shared" ca="1" si="93"/>
        <v>-3.028528737750898E-2</v>
      </c>
    </row>
    <row r="5493" spans="7:8" x14ac:dyDescent="0.35">
      <c r="G5493" s="215">
        <v>5486</v>
      </c>
      <c r="H5493" s="16">
        <f t="shared" ca="1" si="93"/>
        <v>0.15318479502049795</v>
      </c>
    </row>
    <row r="5494" spans="7:8" x14ac:dyDescent="0.35">
      <c r="G5494" s="215">
        <v>5487</v>
      </c>
      <c r="H5494" s="16">
        <f t="shared" ca="1" si="93"/>
        <v>-4.8741451723472273E-2</v>
      </c>
    </row>
    <row r="5495" spans="7:8" x14ac:dyDescent="0.35">
      <c r="G5495" s="215">
        <v>5488</v>
      </c>
      <c r="H5495" s="16">
        <f t="shared" ca="1" si="93"/>
        <v>0.11658813572913876</v>
      </c>
    </row>
    <row r="5496" spans="7:8" x14ac:dyDescent="0.35">
      <c r="G5496" s="215">
        <v>5489</v>
      </c>
      <c r="H5496" s="16">
        <f t="shared" ca="1" si="93"/>
        <v>-5.6493517992314543E-2</v>
      </c>
    </row>
    <row r="5497" spans="7:8" x14ac:dyDescent="0.35">
      <c r="G5497" s="215">
        <v>5490</v>
      </c>
      <c r="H5497" s="16">
        <f t="shared" ca="1" si="93"/>
        <v>-3.7619767146382641E-2</v>
      </c>
    </row>
    <row r="5498" spans="7:8" x14ac:dyDescent="0.35">
      <c r="G5498" s="215">
        <v>5491</v>
      </c>
      <c r="H5498" s="16">
        <f t="shared" ca="1" si="93"/>
        <v>-2.0889996186050721E-2</v>
      </c>
    </row>
    <row r="5499" spans="7:8" x14ac:dyDescent="0.35">
      <c r="G5499" s="215">
        <v>5492</v>
      </c>
      <c r="H5499" s="16">
        <f t="shared" ca="1" si="93"/>
        <v>-5.3770717525482604E-3</v>
      </c>
    </row>
    <row r="5500" spans="7:8" x14ac:dyDescent="0.35">
      <c r="G5500" s="215">
        <v>5493</v>
      </c>
      <c r="H5500" s="16">
        <f t="shared" ca="1" si="93"/>
        <v>4.9499566540866222E-2</v>
      </c>
    </row>
    <row r="5501" spans="7:8" x14ac:dyDescent="0.35">
      <c r="G5501" s="215">
        <v>5494</v>
      </c>
      <c r="H5501" s="16">
        <f t="shared" ca="1" si="93"/>
        <v>8.7156980969916115E-2</v>
      </c>
    </row>
    <row r="5502" spans="7:8" x14ac:dyDescent="0.35">
      <c r="G5502" s="215">
        <v>5495</v>
      </c>
      <c r="H5502" s="16">
        <f t="shared" ca="1" si="93"/>
        <v>2.9740159774169252E-3</v>
      </c>
    </row>
    <row r="5503" spans="7:8" x14ac:dyDescent="0.35">
      <c r="G5503" s="215">
        <v>5496</v>
      </c>
      <c r="H5503" s="16">
        <f t="shared" ca="1" si="93"/>
        <v>0.12177424748100274</v>
      </c>
    </row>
    <row r="5504" spans="7:8" x14ac:dyDescent="0.35">
      <c r="G5504" s="215">
        <v>5497</v>
      </c>
      <c r="H5504" s="16">
        <f t="shared" ca="1" si="93"/>
        <v>-1.0570684279451549E-2</v>
      </c>
    </row>
    <row r="5505" spans="7:8" x14ac:dyDescent="0.35">
      <c r="G5505" s="215">
        <v>5498</v>
      </c>
      <c r="H5505" s="16">
        <f t="shared" ca="1" si="93"/>
        <v>-4.876084216929967E-2</v>
      </c>
    </row>
    <row r="5506" spans="7:8" x14ac:dyDescent="0.35">
      <c r="G5506" s="215">
        <v>5499</v>
      </c>
      <c r="H5506" s="16">
        <f t="shared" ca="1" si="93"/>
        <v>-1.9680009858737076E-2</v>
      </c>
    </row>
    <row r="5507" spans="7:8" x14ac:dyDescent="0.35">
      <c r="G5507" s="215">
        <v>5500</v>
      </c>
      <c r="H5507" s="16">
        <f t="shared" ca="1" si="93"/>
        <v>6.3240966827145473E-2</v>
      </c>
    </row>
    <row r="5508" spans="7:8" x14ac:dyDescent="0.35">
      <c r="G5508" s="215">
        <v>5501</v>
      </c>
      <c r="H5508" s="16">
        <f t="shared" ca="1" si="93"/>
        <v>-2.038529147681133E-2</v>
      </c>
    </row>
    <row r="5509" spans="7:8" x14ac:dyDescent="0.35">
      <c r="G5509" s="215">
        <v>5502</v>
      </c>
      <c r="H5509" s="16">
        <f t="shared" ca="1" si="93"/>
        <v>3.2290017866458496E-3</v>
      </c>
    </row>
    <row r="5510" spans="7:8" x14ac:dyDescent="0.35">
      <c r="G5510" s="215">
        <v>5503</v>
      </c>
      <c r="H5510" s="16">
        <f t="shared" ca="1" si="93"/>
        <v>0.10010552683549151</v>
      </c>
    </row>
    <row r="5511" spans="7:8" x14ac:dyDescent="0.35">
      <c r="G5511" s="215">
        <v>5504</v>
      </c>
      <c r="H5511" s="16">
        <f t="shared" ca="1" si="93"/>
        <v>-8.852882313384422E-2</v>
      </c>
    </row>
    <row r="5512" spans="7:8" x14ac:dyDescent="0.35">
      <c r="G5512" s="215">
        <v>5505</v>
      </c>
      <c r="H5512" s="16">
        <f t="shared" ref="H5512:H5575" ca="1" si="94">_xlfn.NORM.INV(RAND(),M$10,M$11)</f>
        <v>4.4307823560310544E-2</v>
      </c>
    </row>
    <row r="5513" spans="7:8" x14ac:dyDescent="0.35">
      <c r="G5513" s="215">
        <v>5506</v>
      </c>
      <c r="H5513" s="16">
        <f t="shared" ca="1" si="94"/>
        <v>0.13960539250184362</v>
      </c>
    </row>
    <row r="5514" spans="7:8" x14ac:dyDescent="0.35">
      <c r="G5514" s="215">
        <v>5507</v>
      </c>
      <c r="H5514" s="16">
        <f t="shared" ca="1" si="94"/>
        <v>-0.20126445535758053</v>
      </c>
    </row>
    <row r="5515" spans="7:8" x14ac:dyDescent="0.35">
      <c r="G5515" s="215">
        <v>5508</v>
      </c>
      <c r="H5515" s="16">
        <f t="shared" ca="1" si="94"/>
        <v>-2.5493595289169568E-2</v>
      </c>
    </row>
    <row r="5516" spans="7:8" x14ac:dyDescent="0.35">
      <c r="G5516" s="215">
        <v>5509</v>
      </c>
      <c r="H5516" s="16">
        <f t="shared" ca="1" si="94"/>
        <v>-0.13959470335057553</v>
      </c>
    </row>
    <row r="5517" spans="7:8" x14ac:dyDescent="0.35">
      <c r="G5517" s="215">
        <v>5510</v>
      </c>
      <c r="H5517" s="16">
        <f t="shared" ca="1" si="94"/>
        <v>-6.6304782800930079E-2</v>
      </c>
    </row>
    <row r="5518" spans="7:8" x14ac:dyDescent="0.35">
      <c r="G5518" s="215">
        <v>5511</v>
      </c>
      <c r="H5518" s="16">
        <f t="shared" ca="1" si="94"/>
        <v>-1.7305033531921712E-2</v>
      </c>
    </row>
    <row r="5519" spans="7:8" x14ac:dyDescent="0.35">
      <c r="G5519" s="215">
        <v>5512</v>
      </c>
      <c r="H5519" s="16">
        <f t="shared" ca="1" si="94"/>
        <v>-3.2497444090523089E-2</v>
      </c>
    </row>
    <row r="5520" spans="7:8" x14ac:dyDescent="0.35">
      <c r="G5520" s="215">
        <v>5513</v>
      </c>
      <c r="H5520" s="16">
        <f t="shared" ca="1" si="94"/>
        <v>-1.0984869238444515E-2</v>
      </c>
    </row>
    <row r="5521" spans="7:8" x14ac:dyDescent="0.35">
      <c r="G5521" s="215">
        <v>5514</v>
      </c>
      <c r="H5521" s="16">
        <f t="shared" ca="1" si="94"/>
        <v>0.10033357816655455</v>
      </c>
    </row>
    <row r="5522" spans="7:8" x14ac:dyDescent="0.35">
      <c r="G5522" s="215">
        <v>5515</v>
      </c>
      <c r="H5522" s="16">
        <f t="shared" ca="1" si="94"/>
        <v>-7.1106925980006092E-3</v>
      </c>
    </row>
    <row r="5523" spans="7:8" x14ac:dyDescent="0.35">
      <c r="G5523" s="215">
        <v>5516</v>
      </c>
      <c r="H5523" s="16">
        <f t="shared" ca="1" si="94"/>
        <v>-5.1650945045532332E-2</v>
      </c>
    </row>
    <row r="5524" spans="7:8" x14ac:dyDescent="0.35">
      <c r="G5524" s="215">
        <v>5517</v>
      </c>
      <c r="H5524" s="16">
        <f t="shared" ca="1" si="94"/>
        <v>-3.4863246697731179E-3</v>
      </c>
    </row>
    <row r="5525" spans="7:8" x14ac:dyDescent="0.35">
      <c r="G5525" s="215">
        <v>5518</v>
      </c>
      <c r="H5525" s="16">
        <f t="shared" ca="1" si="94"/>
        <v>-0.11019436216952053</v>
      </c>
    </row>
    <row r="5526" spans="7:8" x14ac:dyDescent="0.35">
      <c r="G5526" s="215">
        <v>5519</v>
      </c>
      <c r="H5526" s="16">
        <f t="shared" ca="1" si="94"/>
        <v>9.6529740044340798E-2</v>
      </c>
    </row>
    <row r="5527" spans="7:8" x14ac:dyDescent="0.35">
      <c r="G5527" s="215">
        <v>5520</v>
      </c>
      <c r="H5527" s="16">
        <f t="shared" ca="1" si="94"/>
        <v>9.3233381065843085E-2</v>
      </c>
    </row>
    <row r="5528" spans="7:8" x14ac:dyDescent="0.35">
      <c r="G5528" s="215">
        <v>5521</v>
      </c>
      <c r="H5528" s="16">
        <f t="shared" ca="1" si="94"/>
        <v>5.1623423756484293E-2</v>
      </c>
    </row>
    <row r="5529" spans="7:8" x14ac:dyDescent="0.35">
      <c r="G5529" s="215">
        <v>5522</v>
      </c>
      <c r="H5529" s="16">
        <f t="shared" ca="1" si="94"/>
        <v>7.7952613973762519E-2</v>
      </c>
    </row>
    <row r="5530" spans="7:8" x14ac:dyDescent="0.35">
      <c r="G5530" s="215">
        <v>5523</v>
      </c>
      <c r="H5530" s="16">
        <f t="shared" ca="1" si="94"/>
        <v>9.438339527663811E-2</v>
      </c>
    </row>
    <row r="5531" spans="7:8" x14ac:dyDescent="0.35">
      <c r="G5531" s="215">
        <v>5524</v>
      </c>
      <c r="H5531" s="16">
        <f t="shared" ca="1" si="94"/>
        <v>-4.7518536274274686E-2</v>
      </c>
    </row>
    <row r="5532" spans="7:8" x14ac:dyDescent="0.35">
      <c r="G5532" s="215">
        <v>5525</v>
      </c>
      <c r="H5532" s="16">
        <f t="shared" ca="1" si="94"/>
        <v>-6.6193060280552996E-2</v>
      </c>
    </row>
    <row r="5533" spans="7:8" x14ac:dyDescent="0.35">
      <c r="G5533" s="215">
        <v>5526</v>
      </c>
      <c r="H5533" s="16">
        <f t="shared" ca="1" si="94"/>
        <v>5.4063058812755865E-3</v>
      </c>
    </row>
    <row r="5534" spans="7:8" x14ac:dyDescent="0.35">
      <c r="G5534" s="215">
        <v>5527</v>
      </c>
      <c r="H5534" s="16">
        <f t="shared" ca="1" si="94"/>
        <v>-9.857534663919032E-3</v>
      </c>
    </row>
    <row r="5535" spans="7:8" x14ac:dyDescent="0.35">
      <c r="G5535" s="215">
        <v>5528</v>
      </c>
      <c r="H5535" s="16">
        <f t="shared" ca="1" si="94"/>
        <v>-1.5462599151603005E-2</v>
      </c>
    </row>
    <row r="5536" spans="7:8" x14ac:dyDescent="0.35">
      <c r="G5536" s="215">
        <v>5529</v>
      </c>
      <c r="H5536" s="16">
        <f t="shared" ca="1" si="94"/>
        <v>-0.15798377020149515</v>
      </c>
    </row>
    <row r="5537" spans="7:8" x14ac:dyDescent="0.35">
      <c r="G5537" s="215">
        <v>5530</v>
      </c>
      <c r="H5537" s="16">
        <f t="shared" ca="1" si="94"/>
        <v>1.380984863844925E-2</v>
      </c>
    </row>
    <row r="5538" spans="7:8" x14ac:dyDescent="0.35">
      <c r="G5538" s="215">
        <v>5531</v>
      </c>
      <c r="H5538" s="16">
        <f t="shared" ca="1" si="94"/>
        <v>-0.10915668794064243</v>
      </c>
    </row>
    <row r="5539" spans="7:8" x14ac:dyDescent="0.35">
      <c r="G5539" s="215">
        <v>5532</v>
      </c>
      <c r="H5539" s="16">
        <f t="shared" ca="1" si="94"/>
        <v>-2.985321011024791E-2</v>
      </c>
    </row>
    <row r="5540" spans="7:8" x14ac:dyDescent="0.35">
      <c r="G5540" s="215">
        <v>5533</v>
      </c>
      <c r="H5540" s="16">
        <f t="shared" ca="1" si="94"/>
        <v>-5.3116226333967786E-2</v>
      </c>
    </row>
    <row r="5541" spans="7:8" x14ac:dyDescent="0.35">
      <c r="G5541" s="215">
        <v>5534</v>
      </c>
      <c r="H5541" s="16">
        <f t="shared" ca="1" si="94"/>
        <v>1.1869891196044969E-2</v>
      </c>
    </row>
    <row r="5542" spans="7:8" x14ac:dyDescent="0.35">
      <c r="G5542" s="215">
        <v>5535</v>
      </c>
      <c r="H5542" s="16">
        <f t="shared" ca="1" si="94"/>
        <v>3.8620451286632038E-2</v>
      </c>
    </row>
    <row r="5543" spans="7:8" x14ac:dyDescent="0.35">
      <c r="G5543" s="215">
        <v>5536</v>
      </c>
      <c r="H5543" s="16">
        <f t="shared" ca="1" si="94"/>
        <v>-4.2131585312413858E-2</v>
      </c>
    </row>
    <row r="5544" spans="7:8" x14ac:dyDescent="0.35">
      <c r="G5544" s="215">
        <v>5537</v>
      </c>
      <c r="H5544" s="16">
        <f t="shared" ca="1" si="94"/>
        <v>-0.11924604423720914</v>
      </c>
    </row>
    <row r="5545" spans="7:8" x14ac:dyDescent="0.35">
      <c r="G5545" s="215">
        <v>5538</v>
      </c>
      <c r="H5545" s="16">
        <f t="shared" ca="1" si="94"/>
        <v>5.377931985030112E-3</v>
      </c>
    </row>
    <row r="5546" spans="7:8" x14ac:dyDescent="0.35">
      <c r="G5546" s="215">
        <v>5539</v>
      </c>
      <c r="H5546" s="16">
        <f t="shared" ca="1" si="94"/>
        <v>5.3655373160740621E-2</v>
      </c>
    </row>
    <row r="5547" spans="7:8" x14ac:dyDescent="0.35">
      <c r="G5547" s="215">
        <v>5540</v>
      </c>
      <c r="H5547" s="16">
        <f t="shared" ca="1" si="94"/>
        <v>5.8969597668390439E-2</v>
      </c>
    </row>
    <row r="5548" spans="7:8" x14ac:dyDescent="0.35">
      <c r="G5548" s="215">
        <v>5541</v>
      </c>
      <c r="H5548" s="16">
        <f t="shared" ca="1" si="94"/>
        <v>8.1008228170896382E-2</v>
      </c>
    </row>
    <row r="5549" spans="7:8" x14ac:dyDescent="0.35">
      <c r="G5549" s="215">
        <v>5542</v>
      </c>
      <c r="H5549" s="16">
        <f t="shared" ca="1" si="94"/>
        <v>2.4109557165269097E-2</v>
      </c>
    </row>
    <row r="5550" spans="7:8" x14ac:dyDescent="0.35">
      <c r="G5550" s="215">
        <v>5543</v>
      </c>
      <c r="H5550" s="16">
        <f t="shared" ca="1" si="94"/>
        <v>-6.7420826300801553E-2</v>
      </c>
    </row>
    <row r="5551" spans="7:8" x14ac:dyDescent="0.35">
      <c r="G5551" s="215">
        <v>5544</v>
      </c>
      <c r="H5551" s="16">
        <f t="shared" ca="1" si="94"/>
        <v>4.919395218414796E-2</v>
      </c>
    </row>
    <row r="5552" spans="7:8" x14ac:dyDescent="0.35">
      <c r="G5552" s="215">
        <v>5545</v>
      </c>
      <c r="H5552" s="16">
        <f t="shared" ca="1" si="94"/>
        <v>4.1792076593742136E-2</v>
      </c>
    </row>
    <row r="5553" spans="7:8" x14ac:dyDescent="0.35">
      <c r="G5553" s="215">
        <v>5546</v>
      </c>
      <c r="H5553" s="16">
        <f t="shared" ca="1" si="94"/>
        <v>-9.6472856874855323E-2</v>
      </c>
    </row>
    <row r="5554" spans="7:8" x14ac:dyDescent="0.35">
      <c r="G5554" s="215">
        <v>5547</v>
      </c>
      <c r="H5554" s="16">
        <f t="shared" ca="1" si="94"/>
        <v>-0.13032107384327213</v>
      </c>
    </row>
    <row r="5555" spans="7:8" x14ac:dyDescent="0.35">
      <c r="G5555" s="215">
        <v>5548</v>
      </c>
      <c r="H5555" s="16">
        <f t="shared" ca="1" si="94"/>
        <v>6.8356096797683064E-2</v>
      </c>
    </row>
    <row r="5556" spans="7:8" x14ac:dyDescent="0.35">
      <c r="G5556" s="215">
        <v>5549</v>
      </c>
      <c r="H5556" s="16">
        <f t="shared" ca="1" si="94"/>
        <v>-8.3753358916443671E-2</v>
      </c>
    </row>
    <row r="5557" spans="7:8" x14ac:dyDescent="0.35">
      <c r="G5557" s="215">
        <v>5550</v>
      </c>
      <c r="H5557" s="16">
        <f t="shared" ca="1" si="94"/>
        <v>-9.2292742601085449E-3</v>
      </c>
    </row>
    <row r="5558" spans="7:8" x14ac:dyDescent="0.35">
      <c r="G5558" s="215">
        <v>5551</v>
      </c>
      <c r="H5558" s="16">
        <f t="shared" ca="1" si="94"/>
        <v>-4.3566228512144992E-3</v>
      </c>
    </row>
    <row r="5559" spans="7:8" x14ac:dyDescent="0.35">
      <c r="G5559" s="215">
        <v>5552</v>
      </c>
      <c r="H5559" s="16">
        <f t="shared" ca="1" si="94"/>
        <v>-3.283192684731627E-2</v>
      </c>
    </row>
    <row r="5560" spans="7:8" x14ac:dyDescent="0.35">
      <c r="G5560" s="215">
        <v>5553</v>
      </c>
      <c r="H5560" s="16">
        <f t="shared" ca="1" si="94"/>
        <v>-8.4732347902523611E-2</v>
      </c>
    </row>
    <row r="5561" spans="7:8" x14ac:dyDescent="0.35">
      <c r="G5561" s="215">
        <v>5554</v>
      </c>
      <c r="H5561" s="16">
        <f t="shared" ca="1" si="94"/>
        <v>-5.3654151844551093E-2</v>
      </c>
    </row>
    <row r="5562" spans="7:8" x14ac:dyDescent="0.35">
      <c r="G5562" s="215">
        <v>5555</v>
      </c>
      <c r="H5562" s="16">
        <f t="shared" ca="1" si="94"/>
        <v>-7.7965008014815346E-2</v>
      </c>
    </row>
    <row r="5563" spans="7:8" x14ac:dyDescent="0.35">
      <c r="G5563" s="215">
        <v>5556</v>
      </c>
      <c r="H5563" s="16">
        <f t="shared" ca="1" si="94"/>
        <v>2.824661566419159E-3</v>
      </c>
    </row>
    <row r="5564" spans="7:8" x14ac:dyDescent="0.35">
      <c r="G5564" s="215">
        <v>5557</v>
      </c>
      <c r="H5564" s="16">
        <f t="shared" ca="1" si="94"/>
        <v>-2.2884150862471E-3</v>
      </c>
    </row>
    <row r="5565" spans="7:8" x14ac:dyDescent="0.35">
      <c r="G5565" s="215">
        <v>5558</v>
      </c>
      <c r="H5565" s="16">
        <f t="shared" ca="1" si="94"/>
        <v>-5.0264523481208565E-2</v>
      </c>
    </row>
    <row r="5566" spans="7:8" x14ac:dyDescent="0.35">
      <c r="G5566" s="215">
        <v>5559</v>
      </c>
      <c r="H5566" s="16">
        <f t="shared" ca="1" si="94"/>
        <v>-0.14370896571242028</v>
      </c>
    </row>
    <row r="5567" spans="7:8" x14ac:dyDescent="0.35">
      <c r="G5567" s="215">
        <v>5560</v>
      </c>
      <c r="H5567" s="16">
        <f t="shared" ca="1" si="94"/>
        <v>-9.7304837654982365E-2</v>
      </c>
    </row>
    <row r="5568" spans="7:8" x14ac:dyDescent="0.35">
      <c r="G5568" s="215">
        <v>5561</v>
      </c>
      <c r="H5568" s="16">
        <f t="shared" ca="1" si="94"/>
        <v>-8.2424989235038618E-2</v>
      </c>
    </row>
    <row r="5569" spans="7:8" x14ac:dyDescent="0.35">
      <c r="G5569" s="215">
        <v>5562</v>
      </c>
      <c r="H5569" s="16">
        <f t="shared" ca="1" si="94"/>
        <v>-4.5234390933856478E-2</v>
      </c>
    </row>
    <row r="5570" spans="7:8" x14ac:dyDescent="0.35">
      <c r="G5570" s="215">
        <v>5563</v>
      </c>
      <c r="H5570" s="16">
        <f t="shared" ca="1" si="94"/>
        <v>2.5984798885233855E-2</v>
      </c>
    </row>
    <row r="5571" spans="7:8" x14ac:dyDescent="0.35">
      <c r="G5571" s="215">
        <v>5564</v>
      </c>
      <c r="H5571" s="16">
        <f t="shared" ca="1" si="94"/>
        <v>-8.6487384168526249E-3</v>
      </c>
    </row>
    <row r="5572" spans="7:8" x14ac:dyDescent="0.35">
      <c r="G5572" s="215">
        <v>5565</v>
      </c>
      <c r="H5572" s="16">
        <f t="shared" ca="1" si="94"/>
        <v>-1.2386584497861328E-2</v>
      </c>
    </row>
    <row r="5573" spans="7:8" x14ac:dyDescent="0.35">
      <c r="G5573" s="215">
        <v>5566</v>
      </c>
      <c r="H5573" s="16">
        <f t="shared" ca="1" si="94"/>
        <v>4.2632483755079675E-3</v>
      </c>
    </row>
    <row r="5574" spans="7:8" x14ac:dyDescent="0.35">
      <c r="G5574" s="215">
        <v>5567</v>
      </c>
      <c r="H5574" s="16">
        <f t="shared" ca="1" si="94"/>
        <v>-1.9994822738337154E-2</v>
      </c>
    </row>
    <row r="5575" spans="7:8" x14ac:dyDescent="0.35">
      <c r="G5575" s="215">
        <v>5568</v>
      </c>
      <c r="H5575" s="16">
        <f t="shared" ca="1" si="94"/>
        <v>0.11196949795559784</v>
      </c>
    </row>
    <row r="5576" spans="7:8" x14ac:dyDescent="0.35">
      <c r="G5576" s="215">
        <v>5569</v>
      </c>
      <c r="H5576" s="16">
        <f t="shared" ref="H5576:H5639" ca="1" si="95">_xlfn.NORM.INV(RAND(),M$10,M$11)</f>
        <v>7.8277447427066923E-2</v>
      </c>
    </row>
    <row r="5577" spans="7:8" x14ac:dyDescent="0.35">
      <c r="G5577" s="215">
        <v>5570</v>
      </c>
      <c r="H5577" s="16">
        <f t="shared" ca="1" si="95"/>
        <v>-7.1512501254855212E-2</v>
      </c>
    </row>
    <row r="5578" spans="7:8" x14ac:dyDescent="0.35">
      <c r="G5578" s="215">
        <v>5571</v>
      </c>
      <c r="H5578" s="16">
        <f t="shared" ca="1" si="95"/>
        <v>2.8158223579577504E-2</v>
      </c>
    </row>
    <row r="5579" spans="7:8" x14ac:dyDescent="0.35">
      <c r="G5579" s="215">
        <v>5572</v>
      </c>
      <c r="H5579" s="16">
        <f t="shared" ca="1" si="95"/>
        <v>1.2748215450003705E-2</v>
      </c>
    </row>
    <row r="5580" spans="7:8" x14ac:dyDescent="0.35">
      <c r="G5580" s="215">
        <v>5573</v>
      </c>
      <c r="H5580" s="16">
        <f t="shared" ca="1" si="95"/>
        <v>4.4146663894404442E-2</v>
      </c>
    </row>
    <row r="5581" spans="7:8" x14ac:dyDescent="0.35">
      <c r="G5581" s="215">
        <v>5574</v>
      </c>
      <c r="H5581" s="16">
        <f t="shared" ca="1" si="95"/>
        <v>-5.999946272399713E-3</v>
      </c>
    </row>
    <row r="5582" spans="7:8" x14ac:dyDescent="0.35">
      <c r="G5582" s="215">
        <v>5575</v>
      </c>
      <c r="H5582" s="16">
        <f t="shared" ca="1" si="95"/>
        <v>3.1855328869922851E-2</v>
      </c>
    </row>
    <row r="5583" spans="7:8" x14ac:dyDescent="0.35">
      <c r="G5583" s="215">
        <v>5576</v>
      </c>
      <c r="H5583" s="16">
        <f t="shared" ca="1" si="95"/>
        <v>3.4274774410352794E-2</v>
      </c>
    </row>
    <row r="5584" spans="7:8" x14ac:dyDescent="0.35">
      <c r="G5584" s="215">
        <v>5577</v>
      </c>
      <c r="H5584" s="16">
        <f t="shared" ca="1" si="95"/>
        <v>-1.1992225487417622E-2</v>
      </c>
    </row>
    <row r="5585" spans="7:8" x14ac:dyDescent="0.35">
      <c r="G5585" s="215">
        <v>5578</v>
      </c>
      <c r="H5585" s="16">
        <f t="shared" ca="1" si="95"/>
        <v>-4.5348804138829107E-2</v>
      </c>
    </row>
    <row r="5586" spans="7:8" x14ac:dyDescent="0.35">
      <c r="G5586" s="215">
        <v>5579</v>
      </c>
      <c r="H5586" s="16">
        <f t="shared" ca="1" si="95"/>
        <v>0.10047564488387493</v>
      </c>
    </row>
    <row r="5587" spans="7:8" x14ac:dyDescent="0.35">
      <c r="G5587" s="215">
        <v>5580</v>
      </c>
      <c r="H5587" s="16">
        <f t="shared" ca="1" si="95"/>
        <v>2.6337625417863969E-2</v>
      </c>
    </row>
    <row r="5588" spans="7:8" x14ac:dyDescent="0.35">
      <c r="G5588" s="215">
        <v>5581</v>
      </c>
      <c r="H5588" s="16">
        <f t="shared" ca="1" si="95"/>
        <v>-6.5333174396831339E-3</v>
      </c>
    </row>
    <row r="5589" spans="7:8" x14ac:dyDescent="0.35">
      <c r="G5589" s="215">
        <v>5582</v>
      </c>
      <c r="H5589" s="16">
        <f t="shared" ca="1" si="95"/>
        <v>4.9725742318842595E-2</v>
      </c>
    </row>
    <row r="5590" spans="7:8" x14ac:dyDescent="0.35">
      <c r="G5590" s="215">
        <v>5583</v>
      </c>
      <c r="H5590" s="16">
        <f t="shared" ca="1" si="95"/>
        <v>-1.3291901241637715E-2</v>
      </c>
    </row>
    <row r="5591" spans="7:8" x14ac:dyDescent="0.35">
      <c r="G5591" s="215">
        <v>5584</v>
      </c>
      <c r="H5591" s="16">
        <f t="shared" ca="1" si="95"/>
        <v>-2.2827429505417347E-2</v>
      </c>
    </row>
    <row r="5592" spans="7:8" x14ac:dyDescent="0.35">
      <c r="G5592" s="215">
        <v>5585</v>
      </c>
      <c r="H5592" s="16">
        <f t="shared" ca="1" si="95"/>
        <v>0.11050088695157294</v>
      </c>
    </row>
    <row r="5593" spans="7:8" x14ac:dyDescent="0.35">
      <c r="G5593" s="215">
        <v>5586</v>
      </c>
      <c r="H5593" s="16">
        <f t="shared" ca="1" si="95"/>
        <v>0.10925561573376087</v>
      </c>
    </row>
    <row r="5594" spans="7:8" x14ac:dyDescent="0.35">
      <c r="G5594" s="215">
        <v>5587</v>
      </c>
      <c r="H5594" s="16">
        <f t="shared" ca="1" si="95"/>
        <v>-1.6185728060721615E-2</v>
      </c>
    </row>
    <row r="5595" spans="7:8" x14ac:dyDescent="0.35">
      <c r="G5595" s="215">
        <v>5588</v>
      </c>
      <c r="H5595" s="16">
        <f t="shared" ca="1" si="95"/>
        <v>5.3852369255675825E-2</v>
      </c>
    </row>
    <row r="5596" spans="7:8" x14ac:dyDescent="0.35">
      <c r="G5596" s="215">
        <v>5589</v>
      </c>
      <c r="H5596" s="16">
        <f t="shared" ca="1" si="95"/>
        <v>4.6062093331673298E-2</v>
      </c>
    </row>
    <row r="5597" spans="7:8" x14ac:dyDescent="0.35">
      <c r="G5597" s="215">
        <v>5590</v>
      </c>
      <c r="H5597" s="16">
        <f t="shared" ca="1" si="95"/>
        <v>5.21634573730764E-2</v>
      </c>
    </row>
    <row r="5598" spans="7:8" x14ac:dyDescent="0.35">
      <c r="G5598" s="215">
        <v>5591</v>
      </c>
      <c r="H5598" s="16">
        <f t="shared" ca="1" si="95"/>
        <v>9.4374902171731723E-2</v>
      </c>
    </row>
    <row r="5599" spans="7:8" x14ac:dyDescent="0.35">
      <c r="G5599" s="215">
        <v>5592</v>
      </c>
      <c r="H5599" s="16">
        <f t="shared" ca="1" si="95"/>
        <v>2.1132829437059242E-2</v>
      </c>
    </row>
    <row r="5600" spans="7:8" x14ac:dyDescent="0.35">
      <c r="G5600" s="215">
        <v>5593</v>
      </c>
      <c r="H5600" s="16">
        <f t="shared" ca="1" si="95"/>
        <v>9.3699693589576402E-2</v>
      </c>
    </row>
    <row r="5601" spans="7:8" x14ac:dyDescent="0.35">
      <c r="G5601" s="215">
        <v>5594</v>
      </c>
      <c r="H5601" s="16">
        <f t="shared" ca="1" si="95"/>
        <v>6.0273087294678103E-3</v>
      </c>
    </row>
    <row r="5602" spans="7:8" x14ac:dyDescent="0.35">
      <c r="G5602" s="215">
        <v>5595</v>
      </c>
      <c r="H5602" s="16">
        <f t="shared" ca="1" si="95"/>
        <v>2.855119935719248E-2</v>
      </c>
    </row>
    <row r="5603" spans="7:8" x14ac:dyDescent="0.35">
      <c r="G5603" s="215">
        <v>5596</v>
      </c>
      <c r="H5603" s="16">
        <f t="shared" ca="1" si="95"/>
        <v>2.4622631650314954E-2</v>
      </c>
    </row>
    <row r="5604" spans="7:8" x14ac:dyDescent="0.35">
      <c r="G5604" s="215">
        <v>5597</v>
      </c>
      <c r="H5604" s="16">
        <f t="shared" ca="1" si="95"/>
        <v>-3.7629708431457173E-2</v>
      </c>
    </row>
    <row r="5605" spans="7:8" x14ac:dyDescent="0.35">
      <c r="G5605" s="215">
        <v>5598</v>
      </c>
      <c r="H5605" s="16">
        <f t="shared" ca="1" si="95"/>
        <v>-5.5282930160427776E-2</v>
      </c>
    </row>
    <row r="5606" spans="7:8" x14ac:dyDescent="0.35">
      <c r="G5606" s="215">
        <v>5599</v>
      </c>
      <c r="H5606" s="16">
        <f t="shared" ca="1" si="95"/>
        <v>6.3782611910104856E-2</v>
      </c>
    </row>
    <row r="5607" spans="7:8" x14ac:dyDescent="0.35">
      <c r="G5607" s="215">
        <v>5600</v>
      </c>
      <c r="H5607" s="16">
        <f t="shared" ca="1" si="95"/>
        <v>-0.17784223375607153</v>
      </c>
    </row>
    <row r="5608" spans="7:8" x14ac:dyDescent="0.35">
      <c r="G5608" s="215">
        <v>5601</v>
      </c>
      <c r="H5608" s="16">
        <f t="shared" ca="1" si="95"/>
        <v>0.12232658961091972</v>
      </c>
    </row>
    <row r="5609" spans="7:8" x14ac:dyDescent="0.35">
      <c r="G5609" s="215">
        <v>5602</v>
      </c>
      <c r="H5609" s="16">
        <f t="shared" ca="1" si="95"/>
        <v>3.0238562370786506E-2</v>
      </c>
    </row>
    <row r="5610" spans="7:8" x14ac:dyDescent="0.35">
      <c r="G5610" s="215">
        <v>5603</v>
      </c>
      <c r="H5610" s="16">
        <f t="shared" ca="1" si="95"/>
        <v>-5.4797732851445902E-2</v>
      </c>
    </row>
    <row r="5611" spans="7:8" x14ac:dyDescent="0.35">
      <c r="G5611" s="215">
        <v>5604</v>
      </c>
      <c r="H5611" s="16">
        <f t="shared" ca="1" si="95"/>
        <v>-0.15351499423362136</v>
      </c>
    </row>
    <row r="5612" spans="7:8" x14ac:dyDescent="0.35">
      <c r="G5612" s="215">
        <v>5605</v>
      </c>
      <c r="H5612" s="16">
        <f t="shared" ca="1" si="95"/>
        <v>-3.3776377294420859E-2</v>
      </c>
    </row>
    <row r="5613" spans="7:8" x14ac:dyDescent="0.35">
      <c r="G5613" s="215">
        <v>5606</v>
      </c>
      <c r="H5613" s="16">
        <f t="shared" ca="1" si="95"/>
        <v>-1.2805173049250891E-2</v>
      </c>
    </row>
    <row r="5614" spans="7:8" x14ac:dyDescent="0.35">
      <c r="G5614" s="215">
        <v>5607</v>
      </c>
      <c r="H5614" s="16">
        <f t="shared" ca="1" si="95"/>
        <v>6.0254868601043926E-2</v>
      </c>
    </row>
    <row r="5615" spans="7:8" x14ac:dyDescent="0.35">
      <c r="G5615" s="215">
        <v>5608</v>
      </c>
      <c r="H5615" s="16">
        <f t="shared" ca="1" si="95"/>
        <v>-6.409385947147464E-2</v>
      </c>
    </row>
    <row r="5616" spans="7:8" x14ac:dyDescent="0.35">
      <c r="G5616" s="215">
        <v>5609</v>
      </c>
      <c r="H5616" s="16">
        <f t="shared" ca="1" si="95"/>
        <v>8.2874930949751929E-2</v>
      </c>
    </row>
    <row r="5617" spans="7:8" x14ac:dyDescent="0.35">
      <c r="G5617" s="215">
        <v>5610</v>
      </c>
      <c r="H5617" s="16">
        <f t="shared" ca="1" si="95"/>
        <v>-8.3210387500677302E-2</v>
      </c>
    </row>
    <row r="5618" spans="7:8" x14ac:dyDescent="0.35">
      <c r="G5618" s="215">
        <v>5611</v>
      </c>
      <c r="H5618" s="16">
        <f t="shared" ca="1" si="95"/>
        <v>-5.108821532287991E-2</v>
      </c>
    </row>
    <row r="5619" spans="7:8" x14ac:dyDescent="0.35">
      <c r="G5619" s="215">
        <v>5612</v>
      </c>
      <c r="H5619" s="16">
        <f t="shared" ca="1" si="95"/>
        <v>7.6614847698552965E-2</v>
      </c>
    </row>
    <row r="5620" spans="7:8" x14ac:dyDescent="0.35">
      <c r="G5620" s="215">
        <v>5613</v>
      </c>
      <c r="H5620" s="16">
        <f t="shared" ca="1" si="95"/>
        <v>8.5225924520846819E-2</v>
      </c>
    </row>
    <row r="5621" spans="7:8" x14ac:dyDescent="0.35">
      <c r="G5621" s="215">
        <v>5614</v>
      </c>
      <c r="H5621" s="16">
        <f t="shared" ca="1" si="95"/>
        <v>6.6860669241672263E-2</v>
      </c>
    </row>
    <row r="5622" spans="7:8" x14ac:dyDescent="0.35">
      <c r="G5622" s="215">
        <v>5615</v>
      </c>
      <c r="H5622" s="16">
        <f t="shared" ca="1" si="95"/>
        <v>-0.12047782523861836</v>
      </c>
    </row>
    <row r="5623" spans="7:8" x14ac:dyDescent="0.35">
      <c r="G5623" s="215">
        <v>5616</v>
      </c>
      <c r="H5623" s="16">
        <f t="shared" ca="1" si="95"/>
        <v>-4.5768978621977575E-4</v>
      </c>
    </row>
    <row r="5624" spans="7:8" x14ac:dyDescent="0.35">
      <c r="G5624" s="215">
        <v>5617</v>
      </c>
      <c r="H5624" s="16">
        <f t="shared" ca="1" si="95"/>
        <v>-6.3885485789424212E-2</v>
      </c>
    </row>
    <row r="5625" spans="7:8" x14ac:dyDescent="0.35">
      <c r="G5625" s="215">
        <v>5618</v>
      </c>
      <c r="H5625" s="16">
        <f t="shared" ca="1" si="95"/>
        <v>-2.1155785725391143E-2</v>
      </c>
    </row>
    <row r="5626" spans="7:8" x14ac:dyDescent="0.35">
      <c r="G5626" s="215">
        <v>5619</v>
      </c>
      <c r="H5626" s="16">
        <f t="shared" ca="1" si="95"/>
        <v>2.8030941504294121E-2</v>
      </c>
    </row>
    <row r="5627" spans="7:8" x14ac:dyDescent="0.35">
      <c r="G5627" s="215">
        <v>5620</v>
      </c>
      <c r="H5627" s="16">
        <f t="shared" ca="1" si="95"/>
        <v>4.8641330653784828E-2</v>
      </c>
    </row>
    <row r="5628" spans="7:8" x14ac:dyDescent="0.35">
      <c r="G5628" s="215">
        <v>5621</v>
      </c>
      <c r="H5628" s="16">
        <f t="shared" ca="1" si="95"/>
        <v>4.2374580474507456E-2</v>
      </c>
    </row>
    <row r="5629" spans="7:8" x14ac:dyDescent="0.35">
      <c r="G5629" s="215">
        <v>5622</v>
      </c>
      <c r="H5629" s="16">
        <f t="shared" ca="1" si="95"/>
        <v>-1.3422565875696086E-2</v>
      </c>
    </row>
    <row r="5630" spans="7:8" x14ac:dyDescent="0.35">
      <c r="G5630" s="215">
        <v>5623</v>
      </c>
      <c r="H5630" s="16">
        <f t="shared" ca="1" si="95"/>
        <v>9.9567411952440357E-2</v>
      </c>
    </row>
    <row r="5631" spans="7:8" x14ac:dyDescent="0.35">
      <c r="G5631" s="215">
        <v>5624</v>
      </c>
      <c r="H5631" s="16">
        <f t="shared" ca="1" si="95"/>
        <v>8.5783682908052543E-4</v>
      </c>
    </row>
    <row r="5632" spans="7:8" x14ac:dyDescent="0.35">
      <c r="G5632" s="215">
        <v>5625</v>
      </c>
      <c r="H5632" s="16">
        <f t="shared" ca="1" si="95"/>
        <v>9.5438488894013691E-3</v>
      </c>
    </row>
    <row r="5633" spans="7:8" x14ac:dyDescent="0.35">
      <c r="G5633" s="215">
        <v>5626</v>
      </c>
      <c r="H5633" s="16">
        <f t="shared" ca="1" si="95"/>
        <v>6.9358069224556035E-2</v>
      </c>
    </row>
    <row r="5634" spans="7:8" x14ac:dyDescent="0.35">
      <c r="G5634" s="215">
        <v>5627</v>
      </c>
      <c r="H5634" s="16">
        <f t="shared" ca="1" si="95"/>
        <v>2.7574259838807201E-2</v>
      </c>
    </row>
    <row r="5635" spans="7:8" x14ac:dyDescent="0.35">
      <c r="G5635" s="215">
        <v>5628</v>
      </c>
      <c r="H5635" s="16">
        <f t="shared" ca="1" si="95"/>
        <v>-1.530508269190951E-2</v>
      </c>
    </row>
    <row r="5636" spans="7:8" x14ac:dyDescent="0.35">
      <c r="G5636" s="215">
        <v>5629</v>
      </c>
      <c r="H5636" s="16">
        <f t="shared" ca="1" si="95"/>
        <v>0.11392005189117076</v>
      </c>
    </row>
    <row r="5637" spans="7:8" x14ac:dyDescent="0.35">
      <c r="G5637" s="215">
        <v>5630</v>
      </c>
      <c r="H5637" s="16">
        <f t="shared" ca="1" si="95"/>
        <v>-2.2053411426442997E-2</v>
      </c>
    </row>
    <row r="5638" spans="7:8" x14ac:dyDescent="0.35">
      <c r="G5638" s="215">
        <v>5631</v>
      </c>
      <c r="H5638" s="16">
        <f t="shared" ca="1" si="95"/>
        <v>-2.3887009479986201E-2</v>
      </c>
    </row>
    <row r="5639" spans="7:8" x14ac:dyDescent="0.35">
      <c r="G5639" s="215">
        <v>5632</v>
      </c>
      <c r="H5639" s="16">
        <f t="shared" ca="1" si="95"/>
        <v>-2.8929370963037247E-2</v>
      </c>
    </row>
    <row r="5640" spans="7:8" x14ac:dyDescent="0.35">
      <c r="G5640" s="215">
        <v>5633</v>
      </c>
      <c r="H5640" s="16">
        <f t="shared" ref="H5640:H5703" ca="1" si="96">_xlfn.NORM.INV(RAND(),M$10,M$11)</f>
        <v>-3.809733332852204E-2</v>
      </c>
    </row>
    <row r="5641" spans="7:8" x14ac:dyDescent="0.35">
      <c r="G5641" s="215">
        <v>5634</v>
      </c>
      <c r="H5641" s="16">
        <f t="shared" ca="1" si="96"/>
        <v>-4.1099466075932178E-2</v>
      </c>
    </row>
    <row r="5642" spans="7:8" x14ac:dyDescent="0.35">
      <c r="G5642" s="215">
        <v>5635</v>
      </c>
      <c r="H5642" s="16">
        <f t="shared" ca="1" si="96"/>
        <v>7.6910880277704201E-4</v>
      </c>
    </row>
    <row r="5643" spans="7:8" x14ac:dyDescent="0.35">
      <c r="G5643" s="215">
        <v>5636</v>
      </c>
      <c r="H5643" s="16">
        <f t="shared" ca="1" si="96"/>
        <v>0.17422429985189161</v>
      </c>
    </row>
    <row r="5644" spans="7:8" x14ac:dyDescent="0.35">
      <c r="G5644" s="215">
        <v>5637</v>
      </c>
      <c r="H5644" s="16">
        <f t="shared" ca="1" si="96"/>
        <v>-4.206081352457873E-2</v>
      </c>
    </row>
    <row r="5645" spans="7:8" x14ac:dyDescent="0.35">
      <c r="G5645" s="215">
        <v>5638</v>
      </c>
      <c r="H5645" s="16">
        <f t="shared" ca="1" si="96"/>
        <v>1.4113279964219206E-2</v>
      </c>
    </row>
    <row r="5646" spans="7:8" x14ac:dyDescent="0.35">
      <c r="G5646" s="215">
        <v>5639</v>
      </c>
      <c r="H5646" s="16">
        <f t="shared" ca="1" si="96"/>
        <v>0.10190559084378514</v>
      </c>
    </row>
    <row r="5647" spans="7:8" x14ac:dyDescent="0.35">
      <c r="G5647" s="215">
        <v>5640</v>
      </c>
      <c r="H5647" s="16">
        <f t="shared" ca="1" si="96"/>
        <v>-1.8581847345926151E-2</v>
      </c>
    </row>
    <row r="5648" spans="7:8" x14ac:dyDescent="0.35">
      <c r="G5648" s="215">
        <v>5641</v>
      </c>
      <c r="H5648" s="16">
        <f t="shared" ca="1" si="96"/>
        <v>-1.5449353412254445E-2</v>
      </c>
    </row>
    <row r="5649" spans="7:8" x14ac:dyDescent="0.35">
      <c r="G5649" s="215">
        <v>5642</v>
      </c>
      <c r="H5649" s="16">
        <f t="shared" ca="1" si="96"/>
        <v>3.9068656994752718E-2</v>
      </c>
    </row>
    <row r="5650" spans="7:8" x14ac:dyDescent="0.35">
      <c r="G5650" s="215">
        <v>5643</v>
      </c>
      <c r="H5650" s="16">
        <f t="shared" ca="1" si="96"/>
        <v>-0.1263758128484192</v>
      </c>
    </row>
    <row r="5651" spans="7:8" x14ac:dyDescent="0.35">
      <c r="G5651" s="215">
        <v>5644</v>
      </c>
      <c r="H5651" s="16">
        <f t="shared" ca="1" si="96"/>
        <v>3.2396447637427786E-2</v>
      </c>
    </row>
    <row r="5652" spans="7:8" x14ac:dyDescent="0.35">
      <c r="G5652" s="215">
        <v>5645</v>
      </c>
      <c r="H5652" s="16">
        <f t="shared" ca="1" si="96"/>
        <v>-4.6470451145297867E-2</v>
      </c>
    </row>
    <row r="5653" spans="7:8" x14ac:dyDescent="0.35">
      <c r="G5653" s="215">
        <v>5646</v>
      </c>
      <c r="H5653" s="16">
        <f t="shared" ca="1" si="96"/>
        <v>-4.6163183302221737E-3</v>
      </c>
    </row>
    <row r="5654" spans="7:8" x14ac:dyDescent="0.35">
      <c r="G5654" s="215">
        <v>5647</v>
      </c>
      <c r="H5654" s="16">
        <f t="shared" ca="1" si="96"/>
        <v>5.6681931951563833E-2</v>
      </c>
    </row>
    <row r="5655" spans="7:8" x14ac:dyDescent="0.35">
      <c r="G5655" s="215">
        <v>5648</v>
      </c>
      <c r="H5655" s="16">
        <f t="shared" ca="1" si="96"/>
        <v>-9.3669437644242765E-2</v>
      </c>
    </row>
    <row r="5656" spans="7:8" x14ac:dyDescent="0.35">
      <c r="G5656" s="215">
        <v>5649</v>
      </c>
      <c r="H5656" s="16">
        <f t="shared" ca="1" si="96"/>
        <v>8.363189201530502E-2</v>
      </c>
    </row>
    <row r="5657" spans="7:8" x14ac:dyDescent="0.35">
      <c r="G5657" s="215">
        <v>5650</v>
      </c>
      <c r="H5657" s="16">
        <f t="shared" ca="1" si="96"/>
        <v>-3.7111212174481753E-2</v>
      </c>
    </row>
    <row r="5658" spans="7:8" x14ac:dyDescent="0.35">
      <c r="G5658" s="215">
        <v>5651</v>
      </c>
      <c r="H5658" s="16">
        <f t="shared" ca="1" si="96"/>
        <v>-8.8368919793024962E-3</v>
      </c>
    </row>
    <row r="5659" spans="7:8" x14ac:dyDescent="0.35">
      <c r="G5659" s="215">
        <v>5652</v>
      </c>
      <c r="H5659" s="16">
        <f t="shared" ca="1" si="96"/>
        <v>9.2296070432358587E-2</v>
      </c>
    </row>
    <row r="5660" spans="7:8" x14ac:dyDescent="0.35">
      <c r="G5660" s="215">
        <v>5653</v>
      </c>
      <c r="H5660" s="16">
        <f t="shared" ca="1" si="96"/>
        <v>3.4766848132031514E-3</v>
      </c>
    </row>
    <row r="5661" spans="7:8" x14ac:dyDescent="0.35">
      <c r="G5661" s="215">
        <v>5654</v>
      </c>
      <c r="H5661" s="16">
        <f t="shared" ca="1" si="96"/>
        <v>5.3215687002289543E-3</v>
      </c>
    </row>
    <row r="5662" spans="7:8" x14ac:dyDescent="0.35">
      <c r="G5662" s="215">
        <v>5655</v>
      </c>
      <c r="H5662" s="16">
        <f t="shared" ca="1" si="96"/>
        <v>-1.2991409197633943E-2</v>
      </c>
    </row>
    <row r="5663" spans="7:8" x14ac:dyDescent="0.35">
      <c r="G5663" s="215">
        <v>5656</v>
      </c>
      <c r="H5663" s="16">
        <f t="shared" ca="1" si="96"/>
        <v>0.15091520251367624</v>
      </c>
    </row>
    <row r="5664" spans="7:8" x14ac:dyDescent="0.35">
      <c r="G5664" s="215">
        <v>5657</v>
      </c>
      <c r="H5664" s="16">
        <f t="shared" ca="1" si="96"/>
        <v>1.0881130236234896E-2</v>
      </c>
    </row>
    <row r="5665" spans="7:8" x14ac:dyDescent="0.35">
      <c r="G5665" s="215">
        <v>5658</v>
      </c>
      <c r="H5665" s="16">
        <f t="shared" ca="1" si="96"/>
        <v>-4.4403008336205807E-2</v>
      </c>
    </row>
    <row r="5666" spans="7:8" x14ac:dyDescent="0.35">
      <c r="G5666" s="215">
        <v>5659</v>
      </c>
      <c r="H5666" s="16">
        <f t="shared" ca="1" si="96"/>
        <v>-3.9926681921128304E-2</v>
      </c>
    </row>
    <row r="5667" spans="7:8" x14ac:dyDescent="0.35">
      <c r="G5667" s="215">
        <v>5660</v>
      </c>
      <c r="H5667" s="16">
        <f t="shared" ca="1" si="96"/>
        <v>5.9599603353980013E-2</v>
      </c>
    </row>
    <row r="5668" spans="7:8" x14ac:dyDescent="0.35">
      <c r="G5668" s="215">
        <v>5661</v>
      </c>
      <c r="H5668" s="16">
        <f t="shared" ca="1" si="96"/>
        <v>4.5828310163487512E-2</v>
      </c>
    </row>
    <row r="5669" spans="7:8" x14ac:dyDescent="0.35">
      <c r="G5669" s="215">
        <v>5662</v>
      </c>
      <c r="H5669" s="16">
        <f t="shared" ca="1" si="96"/>
        <v>3.2084262409312697E-2</v>
      </c>
    </row>
    <row r="5670" spans="7:8" x14ac:dyDescent="0.35">
      <c r="G5670" s="215">
        <v>5663</v>
      </c>
      <c r="H5670" s="16">
        <f t="shared" ca="1" si="96"/>
        <v>-5.1304349600123131E-2</v>
      </c>
    </row>
    <row r="5671" spans="7:8" x14ac:dyDescent="0.35">
      <c r="G5671" s="215">
        <v>5664</v>
      </c>
      <c r="H5671" s="16">
        <f t="shared" ca="1" si="96"/>
        <v>-3.9945859495928493E-2</v>
      </c>
    </row>
    <row r="5672" spans="7:8" x14ac:dyDescent="0.35">
      <c r="G5672" s="215">
        <v>5665</v>
      </c>
      <c r="H5672" s="16">
        <f t="shared" ca="1" si="96"/>
        <v>0.14808598143563032</v>
      </c>
    </row>
    <row r="5673" spans="7:8" x14ac:dyDescent="0.35">
      <c r="G5673" s="215">
        <v>5666</v>
      </c>
      <c r="H5673" s="16">
        <f t="shared" ca="1" si="96"/>
        <v>3.9422284495708698E-2</v>
      </c>
    </row>
    <row r="5674" spans="7:8" x14ac:dyDescent="0.35">
      <c r="G5674" s="215">
        <v>5667</v>
      </c>
      <c r="H5674" s="16">
        <f t="shared" ca="1" si="96"/>
        <v>-4.1157539589829789E-2</v>
      </c>
    </row>
    <row r="5675" spans="7:8" x14ac:dyDescent="0.35">
      <c r="G5675" s="215">
        <v>5668</v>
      </c>
      <c r="H5675" s="16">
        <f t="shared" ca="1" si="96"/>
        <v>-0.10660424913026609</v>
      </c>
    </row>
    <row r="5676" spans="7:8" x14ac:dyDescent="0.35">
      <c r="G5676" s="215">
        <v>5669</v>
      </c>
      <c r="H5676" s="16">
        <f t="shared" ca="1" si="96"/>
        <v>0.10587625492991493</v>
      </c>
    </row>
    <row r="5677" spans="7:8" x14ac:dyDescent="0.35">
      <c r="G5677" s="215">
        <v>5670</v>
      </c>
      <c r="H5677" s="16">
        <f t="shared" ca="1" si="96"/>
        <v>4.8716352138667277E-2</v>
      </c>
    </row>
    <row r="5678" spans="7:8" x14ac:dyDescent="0.35">
      <c r="G5678" s="215">
        <v>5671</v>
      </c>
      <c r="H5678" s="16">
        <f t="shared" ca="1" si="96"/>
        <v>0.11025223702239728</v>
      </c>
    </row>
    <row r="5679" spans="7:8" x14ac:dyDescent="0.35">
      <c r="G5679" s="215">
        <v>5672</v>
      </c>
      <c r="H5679" s="16">
        <f t="shared" ca="1" si="96"/>
        <v>-2.8521939276285459E-2</v>
      </c>
    </row>
    <row r="5680" spans="7:8" x14ac:dyDescent="0.35">
      <c r="G5680" s="215">
        <v>5673</v>
      </c>
      <c r="H5680" s="16">
        <f t="shared" ca="1" si="96"/>
        <v>-9.7307180588686162E-2</v>
      </c>
    </row>
    <row r="5681" spans="7:8" x14ac:dyDescent="0.35">
      <c r="G5681" s="215">
        <v>5674</v>
      </c>
      <c r="H5681" s="16">
        <f t="shared" ca="1" si="96"/>
        <v>-7.4151882249044232E-2</v>
      </c>
    </row>
    <row r="5682" spans="7:8" x14ac:dyDescent="0.35">
      <c r="G5682" s="215">
        <v>5675</v>
      </c>
      <c r="H5682" s="16">
        <f t="shared" ca="1" si="96"/>
        <v>-0.10149577615513537</v>
      </c>
    </row>
    <row r="5683" spans="7:8" x14ac:dyDescent="0.35">
      <c r="G5683" s="215">
        <v>5676</v>
      </c>
      <c r="H5683" s="16">
        <f t="shared" ca="1" si="96"/>
        <v>2.4955375831399548E-2</v>
      </c>
    </row>
    <row r="5684" spans="7:8" x14ac:dyDescent="0.35">
      <c r="G5684" s="215">
        <v>5677</v>
      </c>
      <c r="H5684" s="16">
        <f t="shared" ca="1" si="96"/>
        <v>-5.4441560566569971E-3</v>
      </c>
    </row>
    <row r="5685" spans="7:8" x14ac:dyDescent="0.35">
      <c r="G5685" s="215">
        <v>5678</v>
      </c>
      <c r="H5685" s="16">
        <f t="shared" ca="1" si="96"/>
        <v>-0.10925796503814517</v>
      </c>
    </row>
    <row r="5686" spans="7:8" x14ac:dyDescent="0.35">
      <c r="G5686" s="215">
        <v>5679</v>
      </c>
      <c r="H5686" s="16">
        <f t="shared" ca="1" si="96"/>
        <v>9.5387829462506596E-2</v>
      </c>
    </row>
    <row r="5687" spans="7:8" x14ac:dyDescent="0.35">
      <c r="G5687" s="215">
        <v>5680</v>
      </c>
      <c r="H5687" s="16">
        <f t="shared" ca="1" si="96"/>
        <v>-4.5740363029792869E-2</v>
      </c>
    </row>
    <row r="5688" spans="7:8" x14ac:dyDescent="0.35">
      <c r="G5688" s="215">
        <v>5681</v>
      </c>
      <c r="H5688" s="16">
        <f t="shared" ca="1" si="96"/>
        <v>-6.0109372488140758E-2</v>
      </c>
    </row>
    <row r="5689" spans="7:8" x14ac:dyDescent="0.35">
      <c r="G5689" s="215">
        <v>5682</v>
      </c>
      <c r="H5689" s="16">
        <f t="shared" ca="1" si="96"/>
        <v>-9.3899317037323529E-2</v>
      </c>
    </row>
    <row r="5690" spans="7:8" x14ac:dyDescent="0.35">
      <c r="G5690" s="215">
        <v>5683</v>
      </c>
      <c r="H5690" s="16">
        <f t="shared" ca="1" si="96"/>
        <v>7.0348610049876206E-2</v>
      </c>
    </row>
    <row r="5691" spans="7:8" x14ac:dyDescent="0.35">
      <c r="G5691" s="215">
        <v>5684</v>
      </c>
      <c r="H5691" s="16">
        <f t="shared" ca="1" si="96"/>
        <v>6.4147310411465458E-2</v>
      </c>
    </row>
    <row r="5692" spans="7:8" x14ac:dyDescent="0.35">
      <c r="G5692" s="215">
        <v>5685</v>
      </c>
      <c r="H5692" s="16">
        <f t="shared" ca="1" si="96"/>
        <v>2.7894456593890289E-2</v>
      </c>
    </row>
    <row r="5693" spans="7:8" x14ac:dyDescent="0.35">
      <c r="G5693" s="215">
        <v>5686</v>
      </c>
      <c r="H5693" s="16">
        <f t="shared" ca="1" si="96"/>
        <v>9.9009911962381902E-2</v>
      </c>
    </row>
    <row r="5694" spans="7:8" x14ac:dyDescent="0.35">
      <c r="G5694" s="215">
        <v>5687</v>
      </c>
      <c r="H5694" s="16">
        <f t="shared" ca="1" si="96"/>
        <v>0.13900525162404473</v>
      </c>
    </row>
    <row r="5695" spans="7:8" x14ac:dyDescent="0.35">
      <c r="G5695" s="215">
        <v>5688</v>
      </c>
      <c r="H5695" s="16">
        <f t="shared" ca="1" si="96"/>
        <v>-1.3998926921069733E-2</v>
      </c>
    </row>
    <row r="5696" spans="7:8" x14ac:dyDescent="0.35">
      <c r="G5696" s="215">
        <v>5689</v>
      </c>
      <c r="H5696" s="16">
        <f t="shared" ca="1" si="96"/>
        <v>1.0984481698208311E-3</v>
      </c>
    </row>
    <row r="5697" spans="7:8" x14ac:dyDescent="0.35">
      <c r="G5697" s="215">
        <v>5690</v>
      </c>
      <c r="H5697" s="16">
        <f t="shared" ca="1" si="96"/>
        <v>8.2423429369833365E-2</v>
      </c>
    </row>
    <row r="5698" spans="7:8" x14ac:dyDescent="0.35">
      <c r="G5698" s="215">
        <v>5691</v>
      </c>
      <c r="H5698" s="16">
        <f t="shared" ca="1" si="96"/>
        <v>-5.1915552492146216E-2</v>
      </c>
    </row>
    <row r="5699" spans="7:8" x14ac:dyDescent="0.35">
      <c r="G5699" s="215">
        <v>5692</v>
      </c>
      <c r="H5699" s="16">
        <f t="shared" ca="1" si="96"/>
        <v>1.5132960306453926E-2</v>
      </c>
    </row>
    <row r="5700" spans="7:8" x14ac:dyDescent="0.35">
      <c r="G5700" s="215">
        <v>5693</v>
      </c>
      <c r="H5700" s="16">
        <f t="shared" ca="1" si="96"/>
        <v>-6.6106898269352815E-2</v>
      </c>
    </row>
    <row r="5701" spans="7:8" x14ac:dyDescent="0.35">
      <c r="G5701" s="215">
        <v>5694</v>
      </c>
      <c r="H5701" s="16">
        <f t="shared" ca="1" si="96"/>
        <v>5.0893169538396552E-2</v>
      </c>
    </row>
    <row r="5702" spans="7:8" x14ac:dyDescent="0.35">
      <c r="G5702" s="215">
        <v>5695</v>
      </c>
      <c r="H5702" s="16">
        <f t="shared" ca="1" si="96"/>
        <v>-7.6548674637848438E-2</v>
      </c>
    </row>
    <row r="5703" spans="7:8" x14ac:dyDescent="0.35">
      <c r="G5703" s="215">
        <v>5696</v>
      </c>
      <c r="H5703" s="16">
        <f t="shared" ca="1" si="96"/>
        <v>4.0514371601890989E-2</v>
      </c>
    </row>
    <row r="5704" spans="7:8" x14ac:dyDescent="0.35">
      <c r="G5704" s="215">
        <v>5697</v>
      </c>
      <c r="H5704" s="16">
        <f t="shared" ref="H5704:H5767" ca="1" si="97">_xlfn.NORM.INV(RAND(),M$10,M$11)</f>
        <v>9.8270963150200619E-2</v>
      </c>
    </row>
    <row r="5705" spans="7:8" x14ac:dyDescent="0.35">
      <c r="G5705" s="215">
        <v>5698</v>
      </c>
      <c r="H5705" s="16">
        <f t="shared" ca="1" si="97"/>
        <v>0.17554283796192488</v>
      </c>
    </row>
    <row r="5706" spans="7:8" x14ac:dyDescent="0.35">
      <c r="G5706" s="215">
        <v>5699</v>
      </c>
      <c r="H5706" s="16">
        <f t="shared" ca="1" si="97"/>
        <v>-2.2369402451012477E-2</v>
      </c>
    </row>
    <row r="5707" spans="7:8" x14ac:dyDescent="0.35">
      <c r="G5707" s="215">
        <v>5700</v>
      </c>
      <c r="H5707" s="16">
        <f t="shared" ca="1" si="97"/>
        <v>5.1575336955911572E-2</v>
      </c>
    </row>
    <row r="5708" spans="7:8" x14ac:dyDescent="0.35">
      <c r="G5708" s="215">
        <v>5701</v>
      </c>
      <c r="H5708" s="16">
        <f t="shared" ca="1" si="97"/>
        <v>-3.2511961742107062E-3</v>
      </c>
    </row>
    <row r="5709" spans="7:8" x14ac:dyDescent="0.35">
      <c r="G5709" s="215">
        <v>5702</v>
      </c>
      <c r="H5709" s="16">
        <f t="shared" ca="1" si="97"/>
        <v>-4.2824817157118E-2</v>
      </c>
    </row>
    <row r="5710" spans="7:8" x14ac:dyDescent="0.35">
      <c r="G5710" s="215">
        <v>5703</v>
      </c>
      <c r="H5710" s="16">
        <f t="shared" ca="1" si="97"/>
        <v>6.4920807355371937E-2</v>
      </c>
    </row>
    <row r="5711" spans="7:8" x14ac:dyDescent="0.35">
      <c r="G5711" s="215">
        <v>5704</v>
      </c>
      <c r="H5711" s="16">
        <f t="shared" ca="1" si="97"/>
        <v>3.4196933411078961E-2</v>
      </c>
    </row>
    <row r="5712" spans="7:8" x14ac:dyDescent="0.35">
      <c r="G5712" s="215">
        <v>5705</v>
      </c>
      <c r="H5712" s="16">
        <f t="shared" ca="1" si="97"/>
        <v>7.0292998827764033E-2</v>
      </c>
    </row>
    <row r="5713" spans="7:8" x14ac:dyDescent="0.35">
      <c r="G5713" s="215">
        <v>5706</v>
      </c>
      <c r="H5713" s="16">
        <f t="shared" ca="1" si="97"/>
        <v>1.2975831540807881E-2</v>
      </c>
    </row>
    <row r="5714" spans="7:8" x14ac:dyDescent="0.35">
      <c r="G5714" s="215">
        <v>5707</v>
      </c>
      <c r="H5714" s="16">
        <f t="shared" ca="1" si="97"/>
        <v>5.6281078398866757E-2</v>
      </c>
    </row>
    <row r="5715" spans="7:8" x14ac:dyDescent="0.35">
      <c r="G5715" s="215">
        <v>5708</v>
      </c>
      <c r="H5715" s="16">
        <f t="shared" ca="1" si="97"/>
        <v>3.4790237560486728E-2</v>
      </c>
    </row>
    <row r="5716" spans="7:8" x14ac:dyDescent="0.35">
      <c r="G5716" s="215">
        <v>5709</v>
      </c>
      <c r="H5716" s="16">
        <f t="shared" ca="1" si="97"/>
        <v>4.8017516189127266E-2</v>
      </c>
    </row>
    <row r="5717" spans="7:8" x14ac:dyDescent="0.35">
      <c r="G5717" s="215">
        <v>5710</v>
      </c>
      <c r="H5717" s="16">
        <f t="shared" ca="1" si="97"/>
        <v>-0.13611946199091454</v>
      </c>
    </row>
    <row r="5718" spans="7:8" x14ac:dyDescent="0.35">
      <c r="G5718" s="215">
        <v>5711</v>
      </c>
      <c r="H5718" s="16">
        <f t="shared" ca="1" si="97"/>
        <v>3.4086585111030847E-2</v>
      </c>
    </row>
    <row r="5719" spans="7:8" x14ac:dyDescent="0.35">
      <c r="G5719" s="215">
        <v>5712</v>
      </c>
      <c r="H5719" s="16">
        <f t="shared" ca="1" si="97"/>
        <v>2.2494517142497672E-2</v>
      </c>
    </row>
    <row r="5720" spans="7:8" x14ac:dyDescent="0.35">
      <c r="G5720" s="215">
        <v>5713</v>
      </c>
      <c r="H5720" s="16">
        <f t="shared" ca="1" si="97"/>
        <v>-5.2261321826600829E-2</v>
      </c>
    </row>
    <row r="5721" spans="7:8" x14ac:dyDescent="0.35">
      <c r="G5721" s="215">
        <v>5714</v>
      </c>
      <c r="H5721" s="16">
        <f t="shared" ca="1" si="97"/>
        <v>-9.7310125941549155E-2</v>
      </c>
    </row>
    <row r="5722" spans="7:8" x14ac:dyDescent="0.35">
      <c r="G5722" s="215">
        <v>5715</v>
      </c>
      <c r="H5722" s="16">
        <f t="shared" ca="1" si="97"/>
        <v>-7.515491702769557E-2</v>
      </c>
    </row>
    <row r="5723" spans="7:8" x14ac:dyDescent="0.35">
      <c r="G5723" s="215">
        <v>5716</v>
      </c>
      <c r="H5723" s="16">
        <f t="shared" ca="1" si="97"/>
        <v>7.9578948400654784E-2</v>
      </c>
    </row>
    <row r="5724" spans="7:8" x14ac:dyDescent="0.35">
      <c r="G5724" s="215">
        <v>5717</v>
      </c>
      <c r="H5724" s="16">
        <f t="shared" ca="1" si="97"/>
        <v>-3.1687750782342546E-3</v>
      </c>
    </row>
    <row r="5725" spans="7:8" x14ac:dyDescent="0.35">
      <c r="G5725" s="215">
        <v>5718</v>
      </c>
      <c r="H5725" s="16">
        <f t="shared" ca="1" si="97"/>
        <v>2.7127963548824827E-2</v>
      </c>
    </row>
    <row r="5726" spans="7:8" x14ac:dyDescent="0.35">
      <c r="G5726" s="215">
        <v>5719</v>
      </c>
      <c r="H5726" s="16">
        <f t="shared" ca="1" si="97"/>
        <v>-0.10300819449600822</v>
      </c>
    </row>
    <row r="5727" spans="7:8" x14ac:dyDescent="0.35">
      <c r="G5727" s="215">
        <v>5720</v>
      </c>
      <c r="H5727" s="16">
        <f t="shared" ca="1" si="97"/>
        <v>7.8784399451560724E-2</v>
      </c>
    </row>
    <row r="5728" spans="7:8" x14ac:dyDescent="0.35">
      <c r="G5728" s="215">
        <v>5721</v>
      </c>
      <c r="H5728" s="16">
        <f t="shared" ca="1" si="97"/>
        <v>0.12212806517455026</v>
      </c>
    </row>
    <row r="5729" spans="7:8" x14ac:dyDescent="0.35">
      <c r="G5729" s="215">
        <v>5722</v>
      </c>
      <c r="H5729" s="16">
        <f t="shared" ca="1" si="97"/>
        <v>3.2737917197897565E-2</v>
      </c>
    </row>
    <row r="5730" spans="7:8" x14ac:dyDescent="0.35">
      <c r="G5730" s="215">
        <v>5723</v>
      </c>
      <c r="H5730" s="16">
        <f t="shared" ca="1" si="97"/>
        <v>-9.2732714276531847E-2</v>
      </c>
    </row>
    <row r="5731" spans="7:8" x14ac:dyDescent="0.35">
      <c r="G5731" s="215">
        <v>5724</v>
      </c>
      <c r="H5731" s="16">
        <f t="shared" ca="1" si="97"/>
        <v>3.0121522956921797E-2</v>
      </c>
    </row>
    <row r="5732" spans="7:8" x14ac:dyDescent="0.35">
      <c r="G5732" s="215">
        <v>5725</v>
      </c>
      <c r="H5732" s="16">
        <f t="shared" ca="1" si="97"/>
        <v>-9.460377808597227E-2</v>
      </c>
    </row>
    <row r="5733" spans="7:8" x14ac:dyDescent="0.35">
      <c r="G5733" s="215">
        <v>5726</v>
      </c>
      <c r="H5733" s="16">
        <f t="shared" ca="1" si="97"/>
        <v>1.3148311870791024E-2</v>
      </c>
    </row>
    <row r="5734" spans="7:8" x14ac:dyDescent="0.35">
      <c r="G5734" s="215">
        <v>5727</v>
      </c>
      <c r="H5734" s="16">
        <f t="shared" ca="1" si="97"/>
        <v>8.336332941221139E-2</v>
      </c>
    </row>
    <row r="5735" spans="7:8" x14ac:dyDescent="0.35">
      <c r="G5735" s="215">
        <v>5728</v>
      </c>
      <c r="H5735" s="16">
        <f t="shared" ca="1" si="97"/>
        <v>-1.4791819652872192E-2</v>
      </c>
    </row>
    <row r="5736" spans="7:8" x14ac:dyDescent="0.35">
      <c r="G5736" s="215">
        <v>5729</v>
      </c>
      <c r="H5736" s="16">
        <f t="shared" ca="1" si="97"/>
        <v>0.11720974638640654</v>
      </c>
    </row>
    <row r="5737" spans="7:8" x14ac:dyDescent="0.35">
      <c r="G5737" s="215">
        <v>5730</v>
      </c>
      <c r="H5737" s="16">
        <f t="shared" ca="1" si="97"/>
        <v>5.9728133210360523E-2</v>
      </c>
    </row>
    <row r="5738" spans="7:8" x14ac:dyDescent="0.35">
      <c r="G5738" s="215">
        <v>5731</v>
      </c>
      <c r="H5738" s="16">
        <f t="shared" ca="1" si="97"/>
        <v>-2.4565841388727441E-2</v>
      </c>
    </row>
    <row r="5739" spans="7:8" x14ac:dyDescent="0.35">
      <c r="G5739" s="215">
        <v>5732</v>
      </c>
      <c r="H5739" s="16">
        <f t="shared" ca="1" si="97"/>
        <v>3.6789127032878108E-2</v>
      </c>
    </row>
    <row r="5740" spans="7:8" x14ac:dyDescent="0.35">
      <c r="G5740" s="215">
        <v>5733</v>
      </c>
      <c r="H5740" s="16">
        <f t="shared" ca="1" si="97"/>
        <v>7.6454915505232576E-2</v>
      </c>
    </row>
    <row r="5741" spans="7:8" x14ac:dyDescent="0.35">
      <c r="G5741" s="215">
        <v>5734</v>
      </c>
      <c r="H5741" s="16">
        <f t="shared" ca="1" si="97"/>
        <v>2.9414369852397409E-2</v>
      </c>
    </row>
    <row r="5742" spans="7:8" x14ac:dyDescent="0.35">
      <c r="G5742" s="215">
        <v>5735</v>
      </c>
      <c r="H5742" s="16">
        <f t="shared" ca="1" si="97"/>
        <v>3.962907459424854E-2</v>
      </c>
    </row>
    <row r="5743" spans="7:8" x14ac:dyDescent="0.35">
      <c r="G5743" s="215">
        <v>5736</v>
      </c>
      <c r="H5743" s="16">
        <f t="shared" ca="1" si="97"/>
        <v>0.23486757273314826</v>
      </c>
    </row>
    <row r="5744" spans="7:8" x14ac:dyDescent="0.35">
      <c r="G5744" s="215">
        <v>5737</v>
      </c>
      <c r="H5744" s="16">
        <f t="shared" ca="1" si="97"/>
        <v>-0.14320418541538754</v>
      </c>
    </row>
    <row r="5745" spans="7:8" x14ac:dyDescent="0.35">
      <c r="G5745" s="215">
        <v>5738</v>
      </c>
      <c r="H5745" s="16">
        <f t="shared" ca="1" si="97"/>
        <v>-1.1932099848865382E-2</v>
      </c>
    </row>
    <row r="5746" spans="7:8" x14ac:dyDescent="0.35">
      <c r="G5746" s="215">
        <v>5739</v>
      </c>
      <c r="H5746" s="16">
        <f t="shared" ca="1" si="97"/>
        <v>4.1991830435442065E-2</v>
      </c>
    </row>
    <row r="5747" spans="7:8" x14ac:dyDescent="0.35">
      <c r="G5747" s="215">
        <v>5740</v>
      </c>
      <c r="H5747" s="16">
        <f t="shared" ca="1" si="97"/>
        <v>-0.11828096725324211</v>
      </c>
    </row>
    <row r="5748" spans="7:8" x14ac:dyDescent="0.35">
      <c r="G5748" s="215">
        <v>5741</v>
      </c>
      <c r="H5748" s="16">
        <f t="shared" ca="1" si="97"/>
        <v>4.6241412748762832E-3</v>
      </c>
    </row>
    <row r="5749" spans="7:8" x14ac:dyDescent="0.35">
      <c r="G5749" s="215">
        <v>5742</v>
      </c>
      <c r="H5749" s="16">
        <f t="shared" ca="1" si="97"/>
        <v>-8.474366206315942E-2</v>
      </c>
    </row>
    <row r="5750" spans="7:8" x14ac:dyDescent="0.35">
      <c r="G5750" s="215">
        <v>5743</v>
      </c>
      <c r="H5750" s="16">
        <f t="shared" ca="1" si="97"/>
        <v>5.8143203973811231E-2</v>
      </c>
    </row>
    <row r="5751" spans="7:8" x14ac:dyDescent="0.35">
      <c r="G5751" s="215">
        <v>5744</v>
      </c>
      <c r="H5751" s="16">
        <f t="shared" ca="1" si="97"/>
        <v>-5.5022616855501458E-2</v>
      </c>
    </row>
    <row r="5752" spans="7:8" x14ac:dyDescent="0.35">
      <c r="G5752" s="215">
        <v>5745</v>
      </c>
      <c r="H5752" s="16">
        <f t="shared" ca="1" si="97"/>
        <v>2.7204588152951077E-2</v>
      </c>
    </row>
    <row r="5753" spans="7:8" x14ac:dyDescent="0.35">
      <c r="G5753" s="215">
        <v>5746</v>
      </c>
      <c r="H5753" s="16">
        <f t="shared" ca="1" si="97"/>
        <v>-4.6951988670149089E-2</v>
      </c>
    </row>
    <row r="5754" spans="7:8" x14ac:dyDescent="0.35">
      <c r="G5754" s="215">
        <v>5747</v>
      </c>
      <c r="H5754" s="16">
        <f t="shared" ca="1" si="97"/>
        <v>4.7532041809865658E-2</v>
      </c>
    </row>
    <row r="5755" spans="7:8" x14ac:dyDescent="0.35">
      <c r="G5755" s="215">
        <v>5748</v>
      </c>
      <c r="H5755" s="16">
        <f t="shared" ca="1" si="97"/>
        <v>3.6579586046585483E-3</v>
      </c>
    </row>
    <row r="5756" spans="7:8" x14ac:dyDescent="0.35">
      <c r="G5756" s="215">
        <v>5749</v>
      </c>
      <c r="H5756" s="16">
        <f t="shared" ca="1" si="97"/>
        <v>-5.2849113385290081E-2</v>
      </c>
    </row>
    <row r="5757" spans="7:8" x14ac:dyDescent="0.35">
      <c r="G5757" s="215">
        <v>5750</v>
      </c>
      <c r="H5757" s="16">
        <f t="shared" ca="1" si="97"/>
        <v>2.4559802519483677E-2</v>
      </c>
    </row>
    <row r="5758" spans="7:8" x14ac:dyDescent="0.35">
      <c r="G5758" s="215">
        <v>5751</v>
      </c>
      <c r="H5758" s="16">
        <f t="shared" ca="1" si="97"/>
        <v>0.1073374203729493</v>
      </c>
    </row>
    <row r="5759" spans="7:8" x14ac:dyDescent="0.35">
      <c r="G5759" s="215">
        <v>5752</v>
      </c>
      <c r="H5759" s="16">
        <f t="shared" ca="1" si="97"/>
        <v>-0.10468648791675987</v>
      </c>
    </row>
    <row r="5760" spans="7:8" x14ac:dyDescent="0.35">
      <c r="G5760" s="215">
        <v>5753</v>
      </c>
      <c r="H5760" s="16">
        <f t="shared" ca="1" si="97"/>
        <v>6.0948071093558015E-2</v>
      </c>
    </row>
    <row r="5761" spans="7:8" x14ac:dyDescent="0.35">
      <c r="G5761" s="215">
        <v>5754</v>
      </c>
      <c r="H5761" s="16">
        <f t="shared" ca="1" si="97"/>
        <v>2.6812572930797897E-2</v>
      </c>
    </row>
    <row r="5762" spans="7:8" x14ac:dyDescent="0.35">
      <c r="G5762" s="215">
        <v>5755</v>
      </c>
      <c r="H5762" s="16">
        <f t="shared" ca="1" si="97"/>
        <v>-1.3431092946288518E-2</v>
      </c>
    </row>
    <row r="5763" spans="7:8" x14ac:dyDescent="0.35">
      <c r="G5763" s="215">
        <v>5756</v>
      </c>
      <c r="H5763" s="16">
        <f t="shared" ca="1" si="97"/>
        <v>1.16512177131462E-2</v>
      </c>
    </row>
    <row r="5764" spans="7:8" x14ac:dyDescent="0.35">
      <c r="G5764" s="215">
        <v>5757</v>
      </c>
      <c r="H5764" s="16">
        <f t="shared" ca="1" si="97"/>
        <v>-1.4604653285100754E-2</v>
      </c>
    </row>
    <row r="5765" spans="7:8" x14ac:dyDescent="0.35">
      <c r="G5765" s="215">
        <v>5758</v>
      </c>
      <c r="H5765" s="16">
        <f t="shared" ca="1" si="97"/>
        <v>-7.7011238789029726E-2</v>
      </c>
    </row>
    <row r="5766" spans="7:8" x14ac:dyDescent="0.35">
      <c r="G5766" s="215">
        <v>5759</v>
      </c>
      <c r="H5766" s="16">
        <f t="shared" ca="1" si="97"/>
        <v>7.676190828470067E-2</v>
      </c>
    </row>
    <row r="5767" spans="7:8" x14ac:dyDescent="0.35">
      <c r="G5767" s="215">
        <v>5760</v>
      </c>
      <c r="H5767" s="16">
        <f t="shared" ca="1" si="97"/>
        <v>-9.9033810042944467E-2</v>
      </c>
    </row>
    <row r="5768" spans="7:8" x14ac:dyDescent="0.35">
      <c r="G5768" s="215">
        <v>5761</v>
      </c>
      <c r="H5768" s="16">
        <f t="shared" ref="H5768:H5831" ca="1" si="98">_xlfn.NORM.INV(RAND(),M$10,M$11)</f>
        <v>-8.8709673441997525E-2</v>
      </c>
    </row>
    <row r="5769" spans="7:8" x14ac:dyDescent="0.35">
      <c r="G5769" s="215">
        <v>5762</v>
      </c>
      <c r="H5769" s="16">
        <f t="shared" ca="1" si="98"/>
        <v>-7.1000879072359288E-2</v>
      </c>
    </row>
    <row r="5770" spans="7:8" x14ac:dyDescent="0.35">
      <c r="G5770" s="215">
        <v>5763</v>
      </c>
      <c r="H5770" s="16">
        <f t="shared" ca="1" si="98"/>
        <v>-1.6462662308115293E-2</v>
      </c>
    </row>
    <row r="5771" spans="7:8" x14ac:dyDescent="0.35">
      <c r="G5771" s="215">
        <v>5764</v>
      </c>
      <c r="H5771" s="16">
        <f t="shared" ca="1" si="98"/>
        <v>6.2006891614053927E-2</v>
      </c>
    </row>
    <row r="5772" spans="7:8" x14ac:dyDescent="0.35">
      <c r="G5772" s="215">
        <v>5765</v>
      </c>
      <c r="H5772" s="16">
        <f t="shared" ca="1" si="98"/>
        <v>-7.6030379930733458E-2</v>
      </c>
    </row>
    <row r="5773" spans="7:8" x14ac:dyDescent="0.35">
      <c r="G5773" s="215">
        <v>5766</v>
      </c>
      <c r="H5773" s="16">
        <f t="shared" ca="1" si="98"/>
        <v>1.1009622697788561E-2</v>
      </c>
    </row>
    <row r="5774" spans="7:8" x14ac:dyDescent="0.35">
      <c r="G5774" s="215">
        <v>5767</v>
      </c>
      <c r="H5774" s="16">
        <f t="shared" ca="1" si="98"/>
        <v>-1.7168290705474914E-2</v>
      </c>
    </row>
    <row r="5775" spans="7:8" x14ac:dyDescent="0.35">
      <c r="G5775" s="215">
        <v>5768</v>
      </c>
      <c r="H5775" s="16">
        <f t="shared" ca="1" si="98"/>
        <v>3.3873493857035697E-2</v>
      </c>
    </row>
    <row r="5776" spans="7:8" x14ac:dyDescent="0.35">
      <c r="G5776" s="215">
        <v>5769</v>
      </c>
      <c r="H5776" s="16">
        <f t="shared" ca="1" si="98"/>
        <v>0.10036839526202232</v>
      </c>
    </row>
    <row r="5777" spans="7:8" x14ac:dyDescent="0.35">
      <c r="G5777" s="215">
        <v>5770</v>
      </c>
      <c r="H5777" s="16">
        <f t="shared" ca="1" si="98"/>
        <v>-7.7801975990148903E-2</v>
      </c>
    </row>
    <row r="5778" spans="7:8" x14ac:dyDescent="0.35">
      <c r="G5778" s="215">
        <v>5771</v>
      </c>
      <c r="H5778" s="16">
        <f t="shared" ca="1" si="98"/>
        <v>-8.713513134937724E-2</v>
      </c>
    </row>
    <row r="5779" spans="7:8" x14ac:dyDescent="0.35">
      <c r="G5779" s="215">
        <v>5772</v>
      </c>
      <c r="H5779" s="16">
        <f t="shared" ca="1" si="98"/>
        <v>2.1383206990170971E-2</v>
      </c>
    </row>
    <row r="5780" spans="7:8" x14ac:dyDescent="0.35">
      <c r="G5780" s="215">
        <v>5773</v>
      </c>
      <c r="H5780" s="16">
        <f t="shared" ca="1" si="98"/>
        <v>0.14571434840945194</v>
      </c>
    </row>
    <row r="5781" spans="7:8" x14ac:dyDescent="0.35">
      <c r="G5781" s="215">
        <v>5774</v>
      </c>
      <c r="H5781" s="16">
        <f t="shared" ca="1" si="98"/>
        <v>8.9113651023771639E-2</v>
      </c>
    </row>
    <row r="5782" spans="7:8" x14ac:dyDescent="0.35">
      <c r="G5782" s="215">
        <v>5775</v>
      </c>
      <c r="H5782" s="16">
        <f t="shared" ca="1" si="98"/>
        <v>-5.7148653558873747E-2</v>
      </c>
    </row>
    <row r="5783" spans="7:8" x14ac:dyDescent="0.35">
      <c r="G5783" s="215">
        <v>5776</v>
      </c>
      <c r="H5783" s="16">
        <f t="shared" ca="1" si="98"/>
        <v>4.7351913389722083E-2</v>
      </c>
    </row>
    <row r="5784" spans="7:8" x14ac:dyDescent="0.35">
      <c r="G5784" s="215">
        <v>5777</v>
      </c>
      <c r="H5784" s="16">
        <f t="shared" ca="1" si="98"/>
        <v>2.1872585052849482E-2</v>
      </c>
    </row>
    <row r="5785" spans="7:8" x14ac:dyDescent="0.35">
      <c r="G5785" s="215">
        <v>5778</v>
      </c>
      <c r="H5785" s="16">
        <f t="shared" ca="1" si="98"/>
        <v>2.6106199006389063E-2</v>
      </c>
    </row>
    <row r="5786" spans="7:8" x14ac:dyDescent="0.35">
      <c r="G5786" s="215">
        <v>5779</v>
      </c>
      <c r="H5786" s="16">
        <f t="shared" ca="1" si="98"/>
        <v>0.12360178969049035</v>
      </c>
    </row>
    <row r="5787" spans="7:8" x14ac:dyDescent="0.35">
      <c r="G5787" s="215">
        <v>5780</v>
      </c>
      <c r="H5787" s="16">
        <f t="shared" ca="1" si="98"/>
        <v>-6.4324558212614825E-4</v>
      </c>
    </row>
    <row r="5788" spans="7:8" x14ac:dyDescent="0.35">
      <c r="G5788" s="215">
        <v>5781</v>
      </c>
      <c r="H5788" s="16">
        <f t="shared" ca="1" si="98"/>
        <v>6.1122856543926157E-2</v>
      </c>
    </row>
    <row r="5789" spans="7:8" x14ac:dyDescent="0.35">
      <c r="G5789" s="215">
        <v>5782</v>
      </c>
      <c r="H5789" s="16">
        <f t="shared" ca="1" si="98"/>
        <v>6.4053996857114437E-2</v>
      </c>
    </row>
    <row r="5790" spans="7:8" x14ac:dyDescent="0.35">
      <c r="G5790" s="215">
        <v>5783</v>
      </c>
      <c r="H5790" s="16">
        <f t="shared" ca="1" si="98"/>
        <v>3.8392936774231126E-2</v>
      </c>
    </row>
    <row r="5791" spans="7:8" x14ac:dyDescent="0.35">
      <c r="G5791" s="215">
        <v>5784</v>
      </c>
      <c r="H5791" s="16">
        <f t="shared" ca="1" si="98"/>
        <v>6.9471214367258075E-2</v>
      </c>
    </row>
    <row r="5792" spans="7:8" x14ac:dyDescent="0.35">
      <c r="G5792" s="215">
        <v>5785</v>
      </c>
      <c r="H5792" s="16">
        <f t="shared" ca="1" si="98"/>
        <v>4.5397910514406906E-2</v>
      </c>
    </row>
    <row r="5793" spans="7:8" x14ac:dyDescent="0.35">
      <c r="G5793" s="215">
        <v>5786</v>
      </c>
      <c r="H5793" s="16">
        <f t="shared" ca="1" si="98"/>
        <v>5.7856602276359099E-3</v>
      </c>
    </row>
    <row r="5794" spans="7:8" x14ac:dyDescent="0.35">
      <c r="G5794" s="215">
        <v>5787</v>
      </c>
      <c r="H5794" s="16">
        <f t="shared" ca="1" si="98"/>
        <v>-8.4439344221023727E-2</v>
      </c>
    </row>
    <row r="5795" spans="7:8" x14ac:dyDescent="0.35">
      <c r="G5795" s="215">
        <v>5788</v>
      </c>
      <c r="H5795" s="16">
        <f t="shared" ca="1" si="98"/>
        <v>3.0843356242248512E-2</v>
      </c>
    </row>
    <row r="5796" spans="7:8" x14ac:dyDescent="0.35">
      <c r="G5796" s="215">
        <v>5789</v>
      </c>
      <c r="H5796" s="16">
        <f t="shared" ca="1" si="98"/>
        <v>-4.3689173429746694E-2</v>
      </c>
    </row>
    <row r="5797" spans="7:8" x14ac:dyDescent="0.35">
      <c r="G5797" s="215">
        <v>5790</v>
      </c>
      <c r="H5797" s="16">
        <f t="shared" ca="1" si="98"/>
        <v>0.16972590863500819</v>
      </c>
    </row>
    <row r="5798" spans="7:8" x14ac:dyDescent="0.35">
      <c r="G5798" s="215">
        <v>5791</v>
      </c>
      <c r="H5798" s="16">
        <f t="shared" ca="1" si="98"/>
        <v>0.21614572979029076</v>
      </c>
    </row>
    <row r="5799" spans="7:8" x14ac:dyDescent="0.35">
      <c r="G5799" s="215">
        <v>5792</v>
      </c>
      <c r="H5799" s="16">
        <f t="shared" ca="1" si="98"/>
        <v>3.9137226786711471E-2</v>
      </c>
    </row>
    <row r="5800" spans="7:8" x14ac:dyDescent="0.35">
      <c r="G5800" s="215">
        <v>5793</v>
      </c>
      <c r="H5800" s="16">
        <f t="shared" ca="1" si="98"/>
        <v>-0.18818174545408434</v>
      </c>
    </row>
    <row r="5801" spans="7:8" x14ac:dyDescent="0.35">
      <c r="G5801" s="215">
        <v>5794</v>
      </c>
      <c r="H5801" s="16">
        <f t="shared" ca="1" si="98"/>
        <v>-1.7386509559360157E-2</v>
      </c>
    </row>
    <row r="5802" spans="7:8" x14ac:dyDescent="0.35">
      <c r="G5802" s="215">
        <v>5795</v>
      </c>
      <c r="H5802" s="16">
        <f t="shared" ca="1" si="98"/>
        <v>-1.6192451522132532E-2</v>
      </c>
    </row>
    <row r="5803" spans="7:8" x14ac:dyDescent="0.35">
      <c r="G5803" s="215">
        <v>5796</v>
      </c>
      <c r="H5803" s="16">
        <f t="shared" ca="1" si="98"/>
        <v>-5.1534632700051083E-2</v>
      </c>
    </row>
    <row r="5804" spans="7:8" x14ac:dyDescent="0.35">
      <c r="G5804" s="215">
        <v>5797</v>
      </c>
      <c r="H5804" s="16">
        <f t="shared" ca="1" si="98"/>
        <v>6.7979193056277448E-2</v>
      </c>
    </row>
    <row r="5805" spans="7:8" x14ac:dyDescent="0.35">
      <c r="G5805" s="215">
        <v>5798</v>
      </c>
      <c r="H5805" s="16">
        <f t="shared" ca="1" si="98"/>
        <v>-3.272536289828723E-2</v>
      </c>
    </row>
    <row r="5806" spans="7:8" x14ac:dyDescent="0.35">
      <c r="G5806" s="215">
        <v>5799</v>
      </c>
      <c r="H5806" s="16">
        <f t="shared" ca="1" si="98"/>
        <v>-1.723669497765069E-2</v>
      </c>
    </row>
    <row r="5807" spans="7:8" x14ac:dyDescent="0.35">
      <c r="G5807" s="215">
        <v>5800</v>
      </c>
      <c r="H5807" s="16">
        <f t="shared" ca="1" si="98"/>
        <v>-2.1867134319612808E-3</v>
      </c>
    </row>
    <row r="5808" spans="7:8" x14ac:dyDescent="0.35">
      <c r="G5808" s="215">
        <v>5801</v>
      </c>
      <c r="H5808" s="16">
        <f t="shared" ca="1" si="98"/>
        <v>-2.7218429080800171E-2</v>
      </c>
    </row>
    <row r="5809" spans="7:8" x14ac:dyDescent="0.35">
      <c r="G5809" s="215">
        <v>5802</v>
      </c>
      <c r="H5809" s="16">
        <f t="shared" ca="1" si="98"/>
        <v>2.5666650136398579E-2</v>
      </c>
    </row>
    <row r="5810" spans="7:8" x14ac:dyDescent="0.35">
      <c r="G5810" s="215">
        <v>5803</v>
      </c>
      <c r="H5810" s="16">
        <f t="shared" ca="1" si="98"/>
        <v>-1.9775356476643951E-2</v>
      </c>
    </row>
    <row r="5811" spans="7:8" x14ac:dyDescent="0.35">
      <c r="G5811" s="215">
        <v>5804</v>
      </c>
      <c r="H5811" s="16">
        <f t="shared" ca="1" si="98"/>
        <v>2.8883816111238803E-2</v>
      </c>
    </row>
    <row r="5812" spans="7:8" x14ac:dyDescent="0.35">
      <c r="G5812" s="215">
        <v>5805</v>
      </c>
      <c r="H5812" s="16">
        <f t="shared" ca="1" si="98"/>
        <v>4.3737305585172165E-2</v>
      </c>
    </row>
    <row r="5813" spans="7:8" x14ac:dyDescent="0.35">
      <c r="G5813" s="215">
        <v>5806</v>
      </c>
      <c r="H5813" s="16">
        <f t="shared" ca="1" si="98"/>
        <v>-4.3894352481073595E-2</v>
      </c>
    </row>
    <row r="5814" spans="7:8" x14ac:dyDescent="0.35">
      <c r="G5814" s="215">
        <v>5807</v>
      </c>
      <c r="H5814" s="16">
        <f t="shared" ca="1" si="98"/>
        <v>1.6296821554440018E-3</v>
      </c>
    </row>
    <row r="5815" spans="7:8" x14ac:dyDescent="0.35">
      <c r="G5815" s="215">
        <v>5808</v>
      </c>
      <c r="H5815" s="16">
        <f t="shared" ca="1" si="98"/>
        <v>-7.5330457897700889E-2</v>
      </c>
    </row>
    <row r="5816" spans="7:8" x14ac:dyDescent="0.35">
      <c r="G5816" s="215">
        <v>5809</v>
      </c>
      <c r="H5816" s="16">
        <f t="shared" ca="1" si="98"/>
        <v>5.1966543449803476E-2</v>
      </c>
    </row>
    <row r="5817" spans="7:8" x14ac:dyDescent="0.35">
      <c r="G5817" s="215">
        <v>5810</v>
      </c>
      <c r="H5817" s="16">
        <f t="shared" ca="1" si="98"/>
        <v>-2.9290573422837037E-4</v>
      </c>
    </row>
    <row r="5818" spans="7:8" x14ac:dyDescent="0.35">
      <c r="G5818" s="215">
        <v>5811</v>
      </c>
      <c r="H5818" s="16">
        <f t="shared" ca="1" si="98"/>
        <v>6.8490011261984646E-2</v>
      </c>
    </row>
    <row r="5819" spans="7:8" x14ac:dyDescent="0.35">
      <c r="G5819" s="215">
        <v>5812</v>
      </c>
      <c r="H5819" s="16">
        <f t="shared" ca="1" si="98"/>
        <v>-3.5931158136396718E-2</v>
      </c>
    </row>
    <row r="5820" spans="7:8" x14ac:dyDescent="0.35">
      <c r="G5820" s="215">
        <v>5813</v>
      </c>
      <c r="H5820" s="16">
        <f t="shared" ca="1" si="98"/>
        <v>-9.6044307193022871E-2</v>
      </c>
    </row>
    <row r="5821" spans="7:8" x14ac:dyDescent="0.35">
      <c r="G5821" s="215">
        <v>5814</v>
      </c>
      <c r="H5821" s="16">
        <f t="shared" ca="1" si="98"/>
        <v>-4.2707576680974732E-2</v>
      </c>
    </row>
    <row r="5822" spans="7:8" x14ac:dyDescent="0.35">
      <c r="G5822" s="215">
        <v>5815</v>
      </c>
      <c r="H5822" s="16">
        <f t="shared" ca="1" si="98"/>
        <v>-2.6652297958101659E-3</v>
      </c>
    </row>
    <row r="5823" spans="7:8" x14ac:dyDescent="0.35">
      <c r="G5823" s="215">
        <v>5816</v>
      </c>
      <c r="H5823" s="16">
        <f t="shared" ca="1" si="98"/>
        <v>-0.1011517724655266</v>
      </c>
    </row>
    <row r="5824" spans="7:8" x14ac:dyDescent="0.35">
      <c r="G5824" s="215">
        <v>5817</v>
      </c>
      <c r="H5824" s="16">
        <f t="shared" ca="1" si="98"/>
        <v>1.4070016448433054E-2</v>
      </c>
    </row>
    <row r="5825" spans="7:8" x14ac:dyDescent="0.35">
      <c r="G5825" s="215">
        <v>5818</v>
      </c>
      <c r="H5825" s="16">
        <f t="shared" ca="1" si="98"/>
        <v>2.2646684712421743E-2</v>
      </c>
    </row>
    <row r="5826" spans="7:8" x14ac:dyDescent="0.35">
      <c r="G5826" s="215">
        <v>5819</v>
      </c>
      <c r="H5826" s="16">
        <f t="shared" ca="1" si="98"/>
        <v>-7.3791703001113249E-2</v>
      </c>
    </row>
    <row r="5827" spans="7:8" x14ac:dyDescent="0.35">
      <c r="G5827" s="215">
        <v>5820</v>
      </c>
      <c r="H5827" s="16">
        <f t="shared" ca="1" si="98"/>
        <v>1.9710340862313856E-2</v>
      </c>
    </row>
    <row r="5828" spans="7:8" x14ac:dyDescent="0.35">
      <c r="G5828" s="215">
        <v>5821</v>
      </c>
      <c r="H5828" s="16">
        <f t="shared" ca="1" si="98"/>
        <v>8.1968753751183177E-2</v>
      </c>
    </row>
    <row r="5829" spans="7:8" x14ac:dyDescent="0.35">
      <c r="G5829" s="215">
        <v>5822</v>
      </c>
      <c r="H5829" s="16">
        <f t="shared" ca="1" si="98"/>
        <v>8.7715301144947841E-2</v>
      </c>
    </row>
    <row r="5830" spans="7:8" x14ac:dyDescent="0.35">
      <c r="G5830" s="215">
        <v>5823</v>
      </c>
      <c r="H5830" s="16">
        <f t="shared" ca="1" si="98"/>
        <v>-2.6637958238281457E-2</v>
      </c>
    </row>
    <row r="5831" spans="7:8" x14ac:dyDescent="0.35">
      <c r="G5831" s="215">
        <v>5824</v>
      </c>
      <c r="H5831" s="16">
        <f t="shared" ca="1" si="98"/>
        <v>0.1140408717115157</v>
      </c>
    </row>
    <row r="5832" spans="7:8" x14ac:dyDescent="0.35">
      <c r="G5832" s="215">
        <v>5825</v>
      </c>
      <c r="H5832" s="16">
        <f t="shared" ref="H5832:H5895" ca="1" si="99">_xlfn.NORM.INV(RAND(),M$10,M$11)</f>
        <v>7.5608920605720178E-2</v>
      </c>
    </row>
    <row r="5833" spans="7:8" x14ac:dyDescent="0.35">
      <c r="G5833" s="215">
        <v>5826</v>
      </c>
      <c r="H5833" s="16">
        <f t="shared" ca="1" si="99"/>
        <v>0.15142006869855715</v>
      </c>
    </row>
    <row r="5834" spans="7:8" x14ac:dyDescent="0.35">
      <c r="G5834" s="215">
        <v>5827</v>
      </c>
      <c r="H5834" s="16">
        <f t="shared" ca="1" si="99"/>
        <v>0.12023617252488529</v>
      </c>
    </row>
    <row r="5835" spans="7:8" x14ac:dyDescent="0.35">
      <c r="G5835" s="215">
        <v>5828</v>
      </c>
      <c r="H5835" s="16">
        <f t="shared" ca="1" si="99"/>
        <v>-2.6650929508510657E-2</v>
      </c>
    </row>
    <row r="5836" spans="7:8" x14ac:dyDescent="0.35">
      <c r="G5836" s="215">
        <v>5829</v>
      </c>
      <c r="H5836" s="16">
        <f t="shared" ca="1" si="99"/>
        <v>0.1151659669869223</v>
      </c>
    </row>
    <row r="5837" spans="7:8" x14ac:dyDescent="0.35">
      <c r="G5837" s="215">
        <v>5830</v>
      </c>
      <c r="H5837" s="16">
        <f t="shared" ca="1" si="99"/>
        <v>-1.5522262331699632E-2</v>
      </c>
    </row>
    <row r="5838" spans="7:8" x14ac:dyDescent="0.35">
      <c r="G5838" s="215">
        <v>5831</v>
      </c>
      <c r="H5838" s="16">
        <f t="shared" ca="1" si="99"/>
        <v>-8.895361376498942E-2</v>
      </c>
    </row>
    <row r="5839" spans="7:8" x14ac:dyDescent="0.35">
      <c r="G5839" s="215">
        <v>5832</v>
      </c>
      <c r="H5839" s="16">
        <f t="shared" ca="1" si="99"/>
        <v>0.11991002492751582</v>
      </c>
    </row>
    <row r="5840" spans="7:8" x14ac:dyDescent="0.35">
      <c r="G5840" s="215">
        <v>5833</v>
      </c>
      <c r="H5840" s="16">
        <f t="shared" ca="1" si="99"/>
        <v>2.1225204810612661E-2</v>
      </c>
    </row>
    <row r="5841" spans="7:8" x14ac:dyDescent="0.35">
      <c r="G5841" s="215">
        <v>5834</v>
      </c>
      <c r="H5841" s="16">
        <f t="shared" ca="1" si="99"/>
        <v>-5.8659197059350465E-2</v>
      </c>
    </row>
    <row r="5842" spans="7:8" x14ac:dyDescent="0.35">
      <c r="G5842" s="215">
        <v>5835</v>
      </c>
      <c r="H5842" s="16">
        <f t="shared" ca="1" si="99"/>
        <v>5.7393846892415126E-2</v>
      </c>
    </row>
    <row r="5843" spans="7:8" x14ac:dyDescent="0.35">
      <c r="G5843" s="215">
        <v>5836</v>
      </c>
      <c r="H5843" s="16">
        <f t="shared" ca="1" si="99"/>
        <v>-1.1291835296288466E-2</v>
      </c>
    </row>
    <row r="5844" spans="7:8" x14ac:dyDescent="0.35">
      <c r="G5844" s="215">
        <v>5837</v>
      </c>
      <c r="H5844" s="16">
        <f t="shared" ca="1" si="99"/>
        <v>9.0914834763673388E-4</v>
      </c>
    </row>
    <row r="5845" spans="7:8" x14ac:dyDescent="0.35">
      <c r="G5845" s="215">
        <v>5838</v>
      </c>
      <c r="H5845" s="16">
        <f t="shared" ca="1" si="99"/>
        <v>5.5708203154476721E-2</v>
      </c>
    </row>
    <row r="5846" spans="7:8" x14ac:dyDescent="0.35">
      <c r="G5846" s="215">
        <v>5839</v>
      </c>
      <c r="H5846" s="16">
        <f t="shared" ca="1" si="99"/>
        <v>-6.8852581327687699E-3</v>
      </c>
    </row>
    <row r="5847" spans="7:8" x14ac:dyDescent="0.35">
      <c r="G5847" s="215">
        <v>5840</v>
      </c>
      <c r="H5847" s="16">
        <f t="shared" ca="1" si="99"/>
        <v>-4.0599206070155575E-2</v>
      </c>
    </row>
    <row r="5848" spans="7:8" x14ac:dyDescent="0.35">
      <c r="G5848" s="215">
        <v>5841</v>
      </c>
      <c r="H5848" s="16">
        <f t="shared" ca="1" si="99"/>
        <v>5.3614631673395688E-3</v>
      </c>
    </row>
    <row r="5849" spans="7:8" x14ac:dyDescent="0.35">
      <c r="G5849" s="215">
        <v>5842</v>
      </c>
      <c r="H5849" s="16">
        <f t="shared" ca="1" si="99"/>
        <v>-2.3528856953437264E-2</v>
      </c>
    </row>
    <row r="5850" spans="7:8" x14ac:dyDescent="0.35">
      <c r="G5850" s="215">
        <v>5843</v>
      </c>
      <c r="H5850" s="16">
        <f t="shared" ca="1" si="99"/>
        <v>8.4468862899812758E-4</v>
      </c>
    </row>
    <row r="5851" spans="7:8" x14ac:dyDescent="0.35">
      <c r="G5851" s="215">
        <v>5844</v>
      </c>
      <c r="H5851" s="16">
        <f t="shared" ca="1" si="99"/>
        <v>5.8924277288486218E-2</v>
      </c>
    </row>
    <row r="5852" spans="7:8" x14ac:dyDescent="0.35">
      <c r="G5852" s="215">
        <v>5845</v>
      </c>
      <c r="H5852" s="16">
        <f t="shared" ca="1" si="99"/>
        <v>3.3981137151554895E-2</v>
      </c>
    </row>
    <row r="5853" spans="7:8" x14ac:dyDescent="0.35">
      <c r="G5853" s="215">
        <v>5846</v>
      </c>
      <c r="H5853" s="16">
        <f t="shared" ca="1" si="99"/>
        <v>-0.17017191260464842</v>
      </c>
    </row>
    <row r="5854" spans="7:8" x14ac:dyDescent="0.35">
      <c r="G5854" s="215">
        <v>5847</v>
      </c>
      <c r="H5854" s="16">
        <f t="shared" ca="1" si="99"/>
        <v>-2.7725042149983722E-2</v>
      </c>
    </row>
    <row r="5855" spans="7:8" x14ac:dyDescent="0.35">
      <c r="G5855" s="215">
        <v>5848</v>
      </c>
      <c r="H5855" s="16">
        <f t="shared" ca="1" si="99"/>
        <v>5.77076653712153E-2</v>
      </c>
    </row>
    <row r="5856" spans="7:8" x14ac:dyDescent="0.35">
      <c r="G5856" s="215">
        <v>5849</v>
      </c>
      <c r="H5856" s="16">
        <f t="shared" ca="1" si="99"/>
        <v>-0.14148482390243655</v>
      </c>
    </row>
    <row r="5857" spans="7:8" x14ac:dyDescent="0.35">
      <c r="G5857" s="215">
        <v>5850</v>
      </c>
      <c r="H5857" s="16">
        <f t="shared" ca="1" si="99"/>
        <v>-8.1822981720017479E-2</v>
      </c>
    </row>
    <row r="5858" spans="7:8" x14ac:dyDescent="0.35">
      <c r="G5858" s="215">
        <v>5851</v>
      </c>
      <c r="H5858" s="16">
        <f t="shared" ca="1" si="99"/>
        <v>5.0221863888160467E-2</v>
      </c>
    </row>
    <row r="5859" spans="7:8" x14ac:dyDescent="0.35">
      <c r="G5859" s="215">
        <v>5852</v>
      </c>
      <c r="H5859" s="16">
        <f t="shared" ca="1" si="99"/>
        <v>2.4079940390845371E-2</v>
      </c>
    </row>
    <row r="5860" spans="7:8" x14ac:dyDescent="0.35">
      <c r="G5860" s="215">
        <v>5853</v>
      </c>
      <c r="H5860" s="16">
        <f t="shared" ca="1" si="99"/>
        <v>5.2021732601437581E-2</v>
      </c>
    </row>
    <row r="5861" spans="7:8" x14ac:dyDescent="0.35">
      <c r="G5861" s="215">
        <v>5854</v>
      </c>
      <c r="H5861" s="16">
        <f t="shared" ca="1" si="99"/>
        <v>5.8862679918789476E-2</v>
      </c>
    </row>
    <row r="5862" spans="7:8" x14ac:dyDescent="0.35">
      <c r="G5862" s="215">
        <v>5855</v>
      </c>
      <c r="H5862" s="16">
        <f t="shared" ca="1" si="99"/>
        <v>8.9631761263927898E-2</v>
      </c>
    </row>
    <row r="5863" spans="7:8" x14ac:dyDescent="0.35">
      <c r="G5863" s="215">
        <v>5856</v>
      </c>
      <c r="H5863" s="16">
        <f t="shared" ca="1" si="99"/>
        <v>-1.9110900417819276E-2</v>
      </c>
    </row>
    <row r="5864" spans="7:8" x14ac:dyDescent="0.35">
      <c r="G5864" s="215">
        <v>5857</v>
      </c>
      <c r="H5864" s="16">
        <f t="shared" ca="1" si="99"/>
        <v>-3.7290761973746672E-2</v>
      </c>
    </row>
    <row r="5865" spans="7:8" x14ac:dyDescent="0.35">
      <c r="G5865" s="215">
        <v>5858</v>
      </c>
      <c r="H5865" s="16">
        <f t="shared" ca="1" si="99"/>
        <v>-9.1065777244242627E-2</v>
      </c>
    </row>
    <row r="5866" spans="7:8" x14ac:dyDescent="0.35">
      <c r="G5866" s="215">
        <v>5859</v>
      </c>
      <c r="H5866" s="16">
        <f t="shared" ca="1" si="99"/>
        <v>2.7659566230999619E-2</v>
      </c>
    </row>
    <row r="5867" spans="7:8" x14ac:dyDescent="0.35">
      <c r="G5867" s="215">
        <v>5860</v>
      </c>
      <c r="H5867" s="16">
        <f t="shared" ca="1" si="99"/>
        <v>1.8695653023240038E-2</v>
      </c>
    </row>
    <row r="5868" spans="7:8" x14ac:dyDescent="0.35">
      <c r="G5868" s="215">
        <v>5861</v>
      </c>
      <c r="H5868" s="16">
        <f t="shared" ca="1" si="99"/>
        <v>8.2205726380013472E-2</v>
      </c>
    </row>
    <row r="5869" spans="7:8" x14ac:dyDescent="0.35">
      <c r="G5869" s="215">
        <v>5862</v>
      </c>
      <c r="H5869" s="16">
        <f t="shared" ca="1" si="99"/>
        <v>3.7978620368274464E-2</v>
      </c>
    </row>
    <row r="5870" spans="7:8" x14ac:dyDescent="0.35">
      <c r="G5870" s="215">
        <v>5863</v>
      </c>
      <c r="H5870" s="16">
        <f t="shared" ca="1" si="99"/>
        <v>0.13893177654460773</v>
      </c>
    </row>
    <row r="5871" spans="7:8" x14ac:dyDescent="0.35">
      <c r="G5871" s="215">
        <v>5864</v>
      </c>
      <c r="H5871" s="16">
        <f t="shared" ca="1" si="99"/>
        <v>5.6190501155826064E-2</v>
      </c>
    </row>
    <row r="5872" spans="7:8" x14ac:dyDescent="0.35">
      <c r="G5872" s="215">
        <v>5865</v>
      </c>
      <c r="H5872" s="16">
        <f t="shared" ca="1" si="99"/>
        <v>-4.6043208458285051E-2</v>
      </c>
    </row>
    <row r="5873" spans="7:8" x14ac:dyDescent="0.35">
      <c r="G5873" s="215">
        <v>5866</v>
      </c>
      <c r="H5873" s="16">
        <f t="shared" ca="1" si="99"/>
        <v>1.9394477556681861E-2</v>
      </c>
    </row>
    <row r="5874" spans="7:8" x14ac:dyDescent="0.35">
      <c r="G5874" s="215">
        <v>5867</v>
      </c>
      <c r="H5874" s="16">
        <f t="shared" ca="1" si="99"/>
        <v>-7.4820564893058994E-2</v>
      </c>
    </row>
    <row r="5875" spans="7:8" x14ac:dyDescent="0.35">
      <c r="G5875" s="215">
        <v>5868</v>
      </c>
      <c r="H5875" s="16">
        <f t="shared" ca="1" si="99"/>
        <v>1.3486665427272469E-3</v>
      </c>
    </row>
    <row r="5876" spans="7:8" x14ac:dyDescent="0.35">
      <c r="G5876" s="215">
        <v>5869</v>
      </c>
      <c r="H5876" s="16">
        <f t="shared" ca="1" si="99"/>
        <v>5.9449612951249717E-2</v>
      </c>
    </row>
    <row r="5877" spans="7:8" x14ac:dyDescent="0.35">
      <c r="G5877" s="215">
        <v>5870</v>
      </c>
      <c r="H5877" s="16">
        <f t="shared" ca="1" si="99"/>
        <v>2.3753004813606808E-2</v>
      </c>
    </row>
    <row r="5878" spans="7:8" x14ac:dyDescent="0.35">
      <c r="G5878" s="215">
        <v>5871</v>
      </c>
      <c r="H5878" s="16">
        <f t="shared" ca="1" si="99"/>
        <v>-0.11470260312734692</v>
      </c>
    </row>
    <row r="5879" spans="7:8" x14ac:dyDescent="0.35">
      <c r="G5879" s="215">
        <v>5872</v>
      </c>
      <c r="H5879" s="16">
        <f t="shared" ca="1" si="99"/>
        <v>0.10920862890474649</v>
      </c>
    </row>
    <row r="5880" spans="7:8" x14ac:dyDescent="0.35">
      <c r="G5880" s="215">
        <v>5873</v>
      </c>
      <c r="H5880" s="16">
        <f t="shared" ca="1" si="99"/>
        <v>0.1253160261492906</v>
      </c>
    </row>
    <row r="5881" spans="7:8" x14ac:dyDescent="0.35">
      <c r="G5881" s="215">
        <v>5874</v>
      </c>
      <c r="H5881" s="16">
        <f t="shared" ca="1" si="99"/>
        <v>-5.3237270775656265E-2</v>
      </c>
    </row>
    <row r="5882" spans="7:8" x14ac:dyDescent="0.35">
      <c r="G5882" s="215">
        <v>5875</v>
      </c>
      <c r="H5882" s="16">
        <f t="shared" ca="1" si="99"/>
        <v>0.1316836629472026</v>
      </c>
    </row>
    <row r="5883" spans="7:8" x14ac:dyDescent="0.35">
      <c r="G5883" s="215">
        <v>5876</v>
      </c>
      <c r="H5883" s="16">
        <f t="shared" ca="1" si="99"/>
        <v>-3.9935109126733134E-2</v>
      </c>
    </row>
    <row r="5884" spans="7:8" x14ac:dyDescent="0.35">
      <c r="G5884" s="215">
        <v>5877</v>
      </c>
      <c r="H5884" s="16">
        <f t="shared" ca="1" si="99"/>
        <v>5.783903290279846E-2</v>
      </c>
    </row>
    <row r="5885" spans="7:8" x14ac:dyDescent="0.35">
      <c r="G5885" s="215">
        <v>5878</v>
      </c>
      <c r="H5885" s="16">
        <f t="shared" ca="1" si="99"/>
        <v>-6.9622555856147988E-2</v>
      </c>
    </row>
    <row r="5886" spans="7:8" x14ac:dyDescent="0.35">
      <c r="G5886" s="215">
        <v>5879</v>
      </c>
      <c r="H5886" s="16">
        <f t="shared" ca="1" si="99"/>
        <v>0.14370729949820821</v>
      </c>
    </row>
    <row r="5887" spans="7:8" x14ac:dyDescent="0.35">
      <c r="G5887" s="215">
        <v>5880</v>
      </c>
      <c r="H5887" s="16">
        <f t="shared" ca="1" si="99"/>
        <v>2.3872248818813439E-2</v>
      </c>
    </row>
    <row r="5888" spans="7:8" x14ac:dyDescent="0.35">
      <c r="G5888" s="215">
        <v>5881</v>
      </c>
      <c r="H5888" s="16">
        <f t="shared" ca="1" si="99"/>
        <v>-7.1390741695750812E-2</v>
      </c>
    </row>
    <row r="5889" spans="7:8" x14ac:dyDescent="0.35">
      <c r="G5889" s="215">
        <v>5882</v>
      </c>
      <c r="H5889" s="16">
        <f t="shared" ca="1" si="99"/>
        <v>-3.1109834397534241E-2</v>
      </c>
    </row>
    <row r="5890" spans="7:8" x14ac:dyDescent="0.35">
      <c r="G5890" s="215">
        <v>5883</v>
      </c>
      <c r="H5890" s="16">
        <f t="shared" ca="1" si="99"/>
        <v>0.12194650741983581</v>
      </c>
    </row>
    <row r="5891" spans="7:8" x14ac:dyDescent="0.35">
      <c r="G5891" s="215">
        <v>5884</v>
      </c>
      <c r="H5891" s="16">
        <f t="shared" ca="1" si="99"/>
        <v>6.9544723498692632E-2</v>
      </c>
    </row>
    <row r="5892" spans="7:8" x14ac:dyDescent="0.35">
      <c r="G5892" s="215">
        <v>5885</v>
      </c>
      <c r="H5892" s="16">
        <f t="shared" ca="1" si="99"/>
        <v>-0.10216694677867641</v>
      </c>
    </row>
    <row r="5893" spans="7:8" x14ac:dyDescent="0.35">
      <c r="G5893" s="215">
        <v>5886</v>
      </c>
      <c r="H5893" s="16">
        <f t="shared" ca="1" si="99"/>
        <v>-1.7654443449207767E-2</v>
      </c>
    </row>
    <row r="5894" spans="7:8" x14ac:dyDescent="0.35">
      <c r="G5894" s="215">
        <v>5887</v>
      </c>
      <c r="H5894" s="16">
        <f t="shared" ca="1" si="99"/>
        <v>2.1366860873619702E-2</v>
      </c>
    </row>
    <row r="5895" spans="7:8" x14ac:dyDescent="0.35">
      <c r="G5895" s="215">
        <v>5888</v>
      </c>
      <c r="H5895" s="16">
        <f t="shared" ca="1" si="99"/>
        <v>8.1464228317993E-4</v>
      </c>
    </row>
    <row r="5896" spans="7:8" x14ac:dyDescent="0.35">
      <c r="G5896" s="215">
        <v>5889</v>
      </c>
      <c r="H5896" s="16">
        <f t="shared" ref="H5896:H5959" ca="1" si="100">_xlfn.NORM.INV(RAND(),M$10,M$11)</f>
        <v>-2.5296593323303997E-2</v>
      </c>
    </row>
    <row r="5897" spans="7:8" x14ac:dyDescent="0.35">
      <c r="G5897" s="215">
        <v>5890</v>
      </c>
      <c r="H5897" s="16">
        <f t="shared" ca="1" si="100"/>
        <v>-0.18127710713475531</v>
      </c>
    </row>
    <row r="5898" spans="7:8" x14ac:dyDescent="0.35">
      <c r="G5898" s="215">
        <v>5891</v>
      </c>
      <c r="H5898" s="16">
        <f t="shared" ca="1" si="100"/>
        <v>-7.1467866444051134E-2</v>
      </c>
    </row>
    <row r="5899" spans="7:8" x14ac:dyDescent="0.35">
      <c r="G5899" s="215">
        <v>5892</v>
      </c>
      <c r="H5899" s="16">
        <f t="shared" ca="1" si="100"/>
        <v>6.0644852424616286E-3</v>
      </c>
    </row>
    <row r="5900" spans="7:8" x14ac:dyDescent="0.35">
      <c r="G5900" s="215">
        <v>5893</v>
      </c>
      <c r="H5900" s="16">
        <f t="shared" ca="1" si="100"/>
        <v>-3.0767114394103536E-2</v>
      </c>
    </row>
    <row r="5901" spans="7:8" x14ac:dyDescent="0.35">
      <c r="G5901" s="215">
        <v>5894</v>
      </c>
      <c r="H5901" s="16">
        <f t="shared" ca="1" si="100"/>
        <v>-2.0598400556691137E-3</v>
      </c>
    </row>
    <row r="5902" spans="7:8" x14ac:dyDescent="0.35">
      <c r="G5902" s="215">
        <v>5895</v>
      </c>
      <c r="H5902" s="16">
        <f t="shared" ca="1" si="100"/>
        <v>-4.5198415879596304E-2</v>
      </c>
    </row>
    <row r="5903" spans="7:8" x14ac:dyDescent="0.35">
      <c r="G5903" s="215">
        <v>5896</v>
      </c>
      <c r="H5903" s="16">
        <f t="shared" ca="1" si="100"/>
        <v>-6.4914665265653107E-2</v>
      </c>
    </row>
    <row r="5904" spans="7:8" x14ac:dyDescent="0.35">
      <c r="G5904" s="215">
        <v>5897</v>
      </c>
      <c r="H5904" s="16">
        <f t="shared" ca="1" si="100"/>
        <v>6.7469499896615659E-2</v>
      </c>
    </row>
    <row r="5905" spans="7:8" x14ac:dyDescent="0.35">
      <c r="G5905" s="215">
        <v>5898</v>
      </c>
      <c r="H5905" s="16">
        <f t="shared" ca="1" si="100"/>
        <v>1.1091405329809081E-2</v>
      </c>
    </row>
    <row r="5906" spans="7:8" x14ac:dyDescent="0.35">
      <c r="G5906" s="215">
        <v>5899</v>
      </c>
      <c r="H5906" s="16">
        <f t="shared" ca="1" si="100"/>
        <v>-0.1047725021169221</v>
      </c>
    </row>
    <row r="5907" spans="7:8" x14ac:dyDescent="0.35">
      <c r="G5907" s="215">
        <v>5900</v>
      </c>
      <c r="H5907" s="16">
        <f t="shared" ca="1" si="100"/>
        <v>3.5342745372998433E-2</v>
      </c>
    </row>
    <row r="5908" spans="7:8" x14ac:dyDescent="0.35">
      <c r="G5908" s="215">
        <v>5901</v>
      </c>
      <c r="H5908" s="16">
        <f t="shared" ca="1" si="100"/>
        <v>0.11639283883439516</v>
      </c>
    </row>
    <row r="5909" spans="7:8" x14ac:dyDescent="0.35">
      <c r="G5909" s="215">
        <v>5902</v>
      </c>
      <c r="H5909" s="16">
        <f t="shared" ca="1" si="100"/>
        <v>6.8146053324485756E-2</v>
      </c>
    </row>
    <row r="5910" spans="7:8" x14ac:dyDescent="0.35">
      <c r="G5910" s="215">
        <v>5903</v>
      </c>
      <c r="H5910" s="16">
        <f t="shared" ca="1" si="100"/>
        <v>4.6863768696036673E-2</v>
      </c>
    </row>
    <row r="5911" spans="7:8" x14ac:dyDescent="0.35">
      <c r="G5911" s="215">
        <v>5904</v>
      </c>
      <c r="H5911" s="16">
        <f t="shared" ca="1" si="100"/>
        <v>-6.0100168778615161E-3</v>
      </c>
    </row>
    <row r="5912" spans="7:8" x14ac:dyDescent="0.35">
      <c r="G5912" s="215">
        <v>5905</v>
      </c>
      <c r="H5912" s="16">
        <f t="shared" ca="1" si="100"/>
        <v>1.6089006682041086E-2</v>
      </c>
    </row>
    <row r="5913" spans="7:8" x14ac:dyDescent="0.35">
      <c r="G5913" s="215">
        <v>5906</v>
      </c>
      <c r="H5913" s="16">
        <f t="shared" ca="1" si="100"/>
        <v>7.7358002398253134E-2</v>
      </c>
    </row>
    <row r="5914" spans="7:8" x14ac:dyDescent="0.35">
      <c r="G5914" s="215">
        <v>5907</v>
      </c>
      <c r="H5914" s="16">
        <f t="shared" ca="1" si="100"/>
        <v>4.0498398498565652E-2</v>
      </c>
    </row>
    <row r="5915" spans="7:8" x14ac:dyDescent="0.35">
      <c r="G5915" s="215">
        <v>5908</v>
      </c>
      <c r="H5915" s="16">
        <f t="shared" ca="1" si="100"/>
        <v>-3.5753255617638632E-2</v>
      </c>
    </row>
    <row r="5916" spans="7:8" x14ac:dyDescent="0.35">
      <c r="G5916" s="215">
        <v>5909</v>
      </c>
      <c r="H5916" s="16">
        <f t="shared" ca="1" si="100"/>
        <v>3.3555784960547362E-2</v>
      </c>
    </row>
    <row r="5917" spans="7:8" x14ac:dyDescent="0.35">
      <c r="G5917" s="215">
        <v>5910</v>
      </c>
      <c r="H5917" s="16">
        <f t="shared" ca="1" si="100"/>
        <v>-5.0484802174581955E-2</v>
      </c>
    </row>
    <row r="5918" spans="7:8" x14ac:dyDescent="0.35">
      <c r="G5918" s="215">
        <v>5911</v>
      </c>
      <c r="H5918" s="16">
        <f t="shared" ca="1" si="100"/>
        <v>3.0357700416369791E-2</v>
      </c>
    </row>
    <row r="5919" spans="7:8" x14ac:dyDescent="0.35">
      <c r="G5919" s="215">
        <v>5912</v>
      </c>
      <c r="H5919" s="16">
        <f t="shared" ca="1" si="100"/>
        <v>5.1989170934872167E-2</v>
      </c>
    </row>
    <row r="5920" spans="7:8" x14ac:dyDescent="0.35">
      <c r="G5920" s="215">
        <v>5913</v>
      </c>
      <c r="H5920" s="16">
        <f t="shared" ca="1" si="100"/>
        <v>-5.2827519691912281E-2</v>
      </c>
    </row>
    <row r="5921" spans="7:8" x14ac:dyDescent="0.35">
      <c r="G5921" s="215">
        <v>5914</v>
      </c>
      <c r="H5921" s="16">
        <f t="shared" ca="1" si="100"/>
        <v>9.5313053812342757E-2</v>
      </c>
    </row>
    <row r="5922" spans="7:8" x14ac:dyDescent="0.35">
      <c r="G5922" s="215">
        <v>5915</v>
      </c>
      <c r="H5922" s="16">
        <f t="shared" ca="1" si="100"/>
        <v>8.0054297093797314E-2</v>
      </c>
    </row>
    <row r="5923" spans="7:8" x14ac:dyDescent="0.35">
      <c r="G5923" s="215">
        <v>5916</v>
      </c>
      <c r="H5923" s="16">
        <f t="shared" ca="1" si="100"/>
        <v>-2.92573743900164E-2</v>
      </c>
    </row>
    <row r="5924" spans="7:8" x14ac:dyDescent="0.35">
      <c r="G5924" s="215">
        <v>5917</v>
      </c>
      <c r="H5924" s="16">
        <f t="shared" ca="1" si="100"/>
        <v>-4.0895107110180573E-2</v>
      </c>
    </row>
    <row r="5925" spans="7:8" x14ac:dyDescent="0.35">
      <c r="G5925" s="215">
        <v>5918</v>
      </c>
      <c r="H5925" s="16">
        <f t="shared" ca="1" si="100"/>
        <v>9.90458658725272E-2</v>
      </c>
    </row>
    <row r="5926" spans="7:8" x14ac:dyDescent="0.35">
      <c r="G5926" s="215">
        <v>5919</v>
      </c>
      <c r="H5926" s="16">
        <f t="shared" ca="1" si="100"/>
        <v>5.9360475935955406E-2</v>
      </c>
    </row>
    <row r="5927" spans="7:8" x14ac:dyDescent="0.35">
      <c r="G5927" s="215">
        <v>5920</v>
      </c>
      <c r="H5927" s="16">
        <f t="shared" ca="1" si="100"/>
        <v>2.5042141183871536E-3</v>
      </c>
    </row>
    <row r="5928" spans="7:8" x14ac:dyDescent="0.35">
      <c r="G5928" s="215">
        <v>5921</v>
      </c>
      <c r="H5928" s="16">
        <f t="shared" ca="1" si="100"/>
        <v>3.5117330911121743E-2</v>
      </c>
    </row>
    <row r="5929" spans="7:8" x14ac:dyDescent="0.35">
      <c r="G5929" s="215">
        <v>5922</v>
      </c>
      <c r="H5929" s="16">
        <f t="shared" ca="1" si="100"/>
        <v>8.3119781929357012E-2</v>
      </c>
    </row>
    <row r="5930" spans="7:8" x14ac:dyDescent="0.35">
      <c r="G5930" s="215">
        <v>5923</v>
      </c>
      <c r="H5930" s="16">
        <f t="shared" ca="1" si="100"/>
        <v>3.8180128506616576E-2</v>
      </c>
    </row>
    <row r="5931" spans="7:8" x14ac:dyDescent="0.35">
      <c r="G5931" s="215">
        <v>5924</v>
      </c>
      <c r="H5931" s="16">
        <f t="shared" ca="1" si="100"/>
        <v>-3.6155740320312699E-2</v>
      </c>
    </row>
    <row r="5932" spans="7:8" x14ac:dyDescent="0.35">
      <c r="G5932" s="215">
        <v>5925</v>
      </c>
      <c r="H5932" s="16">
        <f t="shared" ca="1" si="100"/>
        <v>9.6597618189614057E-2</v>
      </c>
    </row>
    <row r="5933" spans="7:8" x14ac:dyDescent="0.35">
      <c r="G5933" s="215">
        <v>5926</v>
      </c>
      <c r="H5933" s="16">
        <f t="shared" ca="1" si="100"/>
        <v>-4.6920888537138217E-2</v>
      </c>
    </row>
    <row r="5934" spans="7:8" x14ac:dyDescent="0.35">
      <c r="G5934" s="215">
        <v>5927</v>
      </c>
      <c r="H5934" s="16">
        <f t="shared" ca="1" si="100"/>
        <v>5.3182614025024241E-3</v>
      </c>
    </row>
    <row r="5935" spans="7:8" x14ac:dyDescent="0.35">
      <c r="G5935" s="215">
        <v>5928</v>
      </c>
      <c r="H5935" s="16">
        <f t="shared" ca="1" si="100"/>
        <v>-2.7169482619619514E-2</v>
      </c>
    </row>
    <row r="5936" spans="7:8" x14ac:dyDescent="0.35">
      <c r="G5936" s="215">
        <v>5929</v>
      </c>
      <c r="H5936" s="16">
        <f t="shared" ca="1" si="100"/>
        <v>-0.10179258345969561</v>
      </c>
    </row>
    <row r="5937" spans="7:8" x14ac:dyDescent="0.35">
      <c r="G5937" s="215">
        <v>5930</v>
      </c>
      <c r="H5937" s="16">
        <f t="shared" ca="1" si="100"/>
        <v>-6.9135718929577636E-2</v>
      </c>
    </row>
    <row r="5938" spans="7:8" x14ac:dyDescent="0.35">
      <c r="G5938" s="215">
        <v>5931</v>
      </c>
      <c r="H5938" s="16">
        <f t="shared" ca="1" si="100"/>
        <v>0.12761922946022872</v>
      </c>
    </row>
    <row r="5939" spans="7:8" x14ac:dyDescent="0.35">
      <c r="G5939" s="215">
        <v>5932</v>
      </c>
      <c r="H5939" s="16">
        <f t="shared" ca="1" si="100"/>
        <v>0.11405836340193912</v>
      </c>
    </row>
    <row r="5940" spans="7:8" x14ac:dyDescent="0.35">
      <c r="G5940" s="215">
        <v>5933</v>
      </c>
      <c r="H5940" s="16">
        <f t="shared" ca="1" si="100"/>
        <v>2.6132254445082888E-2</v>
      </c>
    </row>
    <row r="5941" spans="7:8" x14ac:dyDescent="0.35">
      <c r="G5941" s="215">
        <v>5934</v>
      </c>
      <c r="H5941" s="16">
        <f t="shared" ca="1" si="100"/>
        <v>-6.3138560978084166E-2</v>
      </c>
    </row>
    <row r="5942" spans="7:8" x14ac:dyDescent="0.35">
      <c r="G5942" s="215">
        <v>5935</v>
      </c>
      <c r="H5942" s="16">
        <f t="shared" ca="1" si="100"/>
        <v>-9.182515446211019E-2</v>
      </c>
    </row>
    <row r="5943" spans="7:8" x14ac:dyDescent="0.35">
      <c r="G5943" s="215">
        <v>5936</v>
      </c>
      <c r="H5943" s="16">
        <f t="shared" ca="1" si="100"/>
        <v>-0.15574318915620189</v>
      </c>
    </row>
    <row r="5944" spans="7:8" x14ac:dyDescent="0.35">
      <c r="G5944" s="215">
        <v>5937</v>
      </c>
      <c r="H5944" s="16">
        <f t="shared" ca="1" si="100"/>
        <v>9.964157256606275E-2</v>
      </c>
    </row>
    <row r="5945" spans="7:8" x14ac:dyDescent="0.35">
      <c r="G5945" s="215">
        <v>5938</v>
      </c>
      <c r="H5945" s="16">
        <f t="shared" ca="1" si="100"/>
        <v>4.586192535430518E-2</v>
      </c>
    </row>
    <row r="5946" spans="7:8" x14ac:dyDescent="0.35">
      <c r="G5946" s="215">
        <v>5939</v>
      </c>
      <c r="H5946" s="16">
        <f t="shared" ca="1" si="100"/>
        <v>4.2759586666528418E-2</v>
      </c>
    </row>
    <row r="5947" spans="7:8" x14ac:dyDescent="0.35">
      <c r="G5947" s="215">
        <v>5940</v>
      </c>
      <c r="H5947" s="16">
        <f t="shared" ca="1" si="100"/>
        <v>-3.4926226297550822E-2</v>
      </c>
    </row>
    <row r="5948" spans="7:8" x14ac:dyDescent="0.35">
      <c r="G5948" s="215">
        <v>5941</v>
      </c>
      <c r="H5948" s="16">
        <f t="shared" ca="1" si="100"/>
        <v>0.16233777305707475</v>
      </c>
    </row>
    <row r="5949" spans="7:8" x14ac:dyDescent="0.35">
      <c r="G5949" s="215">
        <v>5942</v>
      </c>
      <c r="H5949" s="16">
        <f t="shared" ca="1" si="100"/>
        <v>1.5116640903855304E-2</v>
      </c>
    </row>
    <row r="5950" spans="7:8" x14ac:dyDescent="0.35">
      <c r="G5950" s="215">
        <v>5943</v>
      </c>
      <c r="H5950" s="16">
        <f t="shared" ca="1" si="100"/>
        <v>0.14793327508885831</v>
      </c>
    </row>
    <row r="5951" spans="7:8" x14ac:dyDescent="0.35">
      <c r="G5951" s="215">
        <v>5944</v>
      </c>
      <c r="H5951" s="16">
        <f t="shared" ca="1" si="100"/>
        <v>-0.13474466704181651</v>
      </c>
    </row>
    <row r="5952" spans="7:8" x14ac:dyDescent="0.35">
      <c r="G5952" s="215">
        <v>5945</v>
      </c>
      <c r="H5952" s="16">
        <f t="shared" ca="1" si="100"/>
        <v>7.48528392941087E-2</v>
      </c>
    </row>
    <row r="5953" spans="7:8" x14ac:dyDescent="0.35">
      <c r="G5953" s="215">
        <v>5946</v>
      </c>
      <c r="H5953" s="16">
        <f t="shared" ca="1" si="100"/>
        <v>-3.3501651583885045E-2</v>
      </c>
    </row>
    <row r="5954" spans="7:8" x14ac:dyDescent="0.35">
      <c r="G5954" s="215">
        <v>5947</v>
      </c>
      <c r="H5954" s="16">
        <f t="shared" ca="1" si="100"/>
        <v>3.1514776514271862E-2</v>
      </c>
    </row>
    <row r="5955" spans="7:8" x14ac:dyDescent="0.35">
      <c r="G5955" s="215">
        <v>5948</v>
      </c>
      <c r="H5955" s="16">
        <f t="shared" ca="1" si="100"/>
        <v>4.867221687402315E-2</v>
      </c>
    </row>
    <row r="5956" spans="7:8" x14ac:dyDescent="0.35">
      <c r="G5956" s="215">
        <v>5949</v>
      </c>
      <c r="H5956" s="16">
        <f t="shared" ca="1" si="100"/>
        <v>4.7998732483464368E-2</v>
      </c>
    </row>
    <row r="5957" spans="7:8" x14ac:dyDescent="0.35">
      <c r="G5957" s="215">
        <v>5950</v>
      </c>
      <c r="H5957" s="16">
        <f t="shared" ca="1" si="100"/>
        <v>-0.13493475626818677</v>
      </c>
    </row>
    <row r="5958" spans="7:8" x14ac:dyDescent="0.35">
      <c r="G5958" s="215">
        <v>5951</v>
      </c>
      <c r="H5958" s="16">
        <f t="shared" ca="1" si="100"/>
        <v>-1.0538386767334589E-3</v>
      </c>
    </row>
    <row r="5959" spans="7:8" x14ac:dyDescent="0.35">
      <c r="G5959" s="215">
        <v>5952</v>
      </c>
      <c r="H5959" s="16">
        <f t="shared" ca="1" si="100"/>
        <v>-5.2918497552568014E-2</v>
      </c>
    </row>
    <row r="5960" spans="7:8" x14ac:dyDescent="0.35">
      <c r="G5960" s="215">
        <v>5953</v>
      </c>
      <c r="H5960" s="16">
        <f t="shared" ref="H5960:H6023" ca="1" si="101">_xlfn.NORM.INV(RAND(),M$10,M$11)</f>
        <v>2.5916989271451005E-2</v>
      </c>
    </row>
    <row r="5961" spans="7:8" x14ac:dyDescent="0.35">
      <c r="G5961" s="215">
        <v>5954</v>
      </c>
      <c r="H5961" s="16">
        <f t="shared" ca="1" si="101"/>
        <v>4.6415828430279929E-4</v>
      </c>
    </row>
    <row r="5962" spans="7:8" x14ac:dyDescent="0.35">
      <c r="G5962" s="215">
        <v>5955</v>
      </c>
      <c r="H5962" s="16">
        <f t="shared" ca="1" si="101"/>
        <v>-1.326716015017455E-2</v>
      </c>
    </row>
    <row r="5963" spans="7:8" x14ac:dyDescent="0.35">
      <c r="G5963" s="215">
        <v>5956</v>
      </c>
      <c r="H5963" s="16">
        <f t="shared" ca="1" si="101"/>
        <v>-1.5727033217122717E-2</v>
      </c>
    </row>
    <row r="5964" spans="7:8" x14ac:dyDescent="0.35">
      <c r="G5964" s="215">
        <v>5957</v>
      </c>
      <c r="H5964" s="16">
        <f t="shared" ca="1" si="101"/>
        <v>-3.3004056071508317E-2</v>
      </c>
    </row>
    <row r="5965" spans="7:8" x14ac:dyDescent="0.35">
      <c r="G5965" s="215">
        <v>5958</v>
      </c>
      <c r="H5965" s="16">
        <f t="shared" ca="1" si="101"/>
        <v>1.724786333040184E-2</v>
      </c>
    </row>
    <row r="5966" spans="7:8" x14ac:dyDescent="0.35">
      <c r="G5966" s="215">
        <v>5959</v>
      </c>
      <c r="H5966" s="16">
        <f t="shared" ca="1" si="101"/>
        <v>0.10759691697673364</v>
      </c>
    </row>
    <row r="5967" spans="7:8" x14ac:dyDescent="0.35">
      <c r="G5967" s="215">
        <v>5960</v>
      </c>
      <c r="H5967" s="16">
        <f t="shared" ca="1" si="101"/>
        <v>7.5235068177876355E-2</v>
      </c>
    </row>
    <row r="5968" spans="7:8" x14ac:dyDescent="0.35">
      <c r="G5968" s="215">
        <v>5961</v>
      </c>
      <c r="H5968" s="16">
        <f t="shared" ca="1" si="101"/>
        <v>-3.3219338928086317E-2</v>
      </c>
    </row>
    <row r="5969" spans="7:8" x14ac:dyDescent="0.35">
      <c r="G5969" s="215">
        <v>5962</v>
      </c>
      <c r="H5969" s="16">
        <f t="shared" ca="1" si="101"/>
        <v>-7.321094129258205E-3</v>
      </c>
    </row>
    <row r="5970" spans="7:8" x14ac:dyDescent="0.35">
      <c r="G5970" s="215">
        <v>5963</v>
      </c>
      <c r="H5970" s="16">
        <f t="shared" ca="1" si="101"/>
        <v>-1.2376764683321453E-2</v>
      </c>
    </row>
    <row r="5971" spans="7:8" x14ac:dyDescent="0.35">
      <c r="G5971" s="215">
        <v>5964</v>
      </c>
      <c r="H5971" s="16">
        <f t="shared" ca="1" si="101"/>
        <v>-6.9229325146236594E-3</v>
      </c>
    </row>
    <row r="5972" spans="7:8" x14ac:dyDescent="0.35">
      <c r="G5972" s="215">
        <v>5965</v>
      </c>
      <c r="H5972" s="16">
        <f t="shared" ca="1" si="101"/>
        <v>6.0880267741732691E-2</v>
      </c>
    </row>
    <row r="5973" spans="7:8" x14ac:dyDescent="0.35">
      <c r="G5973" s="215">
        <v>5966</v>
      </c>
      <c r="H5973" s="16">
        <f t="shared" ca="1" si="101"/>
        <v>4.4238538229235985E-2</v>
      </c>
    </row>
    <row r="5974" spans="7:8" x14ac:dyDescent="0.35">
      <c r="G5974" s="215">
        <v>5967</v>
      </c>
      <c r="H5974" s="16">
        <f t="shared" ca="1" si="101"/>
        <v>-7.2575433879006092E-3</v>
      </c>
    </row>
    <row r="5975" spans="7:8" x14ac:dyDescent="0.35">
      <c r="G5975" s="215">
        <v>5968</v>
      </c>
      <c r="H5975" s="16">
        <f t="shared" ca="1" si="101"/>
        <v>-8.1407811369531027E-2</v>
      </c>
    </row>
    <row r="5976" spans="7:8" x14ac:dyDescent="0.35">
      <c r="G5976" s="215">
        <v>5969</v>
      </c>
      <c r="H5976" s="16">
        <f t="shared" ca="1" si="101"/>
        <v>-8.7489638762043603E-2</v>
      </c>
    </row>
    <row r="5977" spans="7:8" x14ac:dyDescent="0.35">
      <c r="G5977" s="215">
        <v>5970</v>
      </c>
      <c r="H5977" s="16">
        <f t="shared" ca="1" si="101"/>
        <v>-0.1445226619372289</v>
      </c>
    </row>
    <row r="5978" spans="7:8" x14ac:dyDescent="0.35">
      <c r="G5978" s="215">
        <v>5971</v>
      </c>
      <c r="H5978" s="16">
        <f t="shared" ca="1" si="101"/>
        <v>-3.0942871736457971E-2</v>
      </c>
    </row>
    <row r="5979" spans="7:8" x14ac:dyDescent="0.35">
      <c r="G5979" s="215">
        <v>5972</v>
      </c>
      <c r="H5979" s="16">
        <f t="shared" ca="1" si="101"/>
        <v>-4.0449286340852195E-2</v>
      </c>
    </row>
    <row r="5980" spans="7:8" x14ac:dyDescent="0.35">
      <c r="G5980" s="215">
        <v>5973</v>
      </c>
      <c r="H5980" s="16">
        <f t="shared" ca="1" si="101"/>
        <v>-1.8641325228984425E-2</v>
      </c>
    </row>
    <row r="5981" spans="7:8" x14ac:dyDescent="0.35">
      <c r="G5981" s="215">
        <v>5974</v>
      </c>
      <c r="H5981" s="16">
        <f t="shared" ca="1" si="101"/>
        <v>-2.9656673302695304E-2</v>
      </c>
    </row>
    <row r="5982" spans="7:8" x14ac:dyDescent="0.35">
      <c r="G5982" s="215">
        <v>5975</v>
      </c>
      <c r="H5982" s="16">
        <f t="shared" ca="1" si="101"/>
        <v>8.347511726045885E-2</v>
      </c>
    </row>
    <row r="5983" spans="7:8" x14ac:dyDescent="0.35">
      <c r="G5983" s="215">
        <v>5976</v>
      </c>
      <c r="H5983" s="16">
        <f t="shared" ca="1" si="101"/>
        <v>0.17757158150158106</v>
      </c>
    </row>
    <row r="5984" spans="7:8" x14ac:dyDescent="0.35">
      <c r="G5984" s="215">
        <v>5977</v>
      </c>
      <c r="H5984" s="16">
        <f t="shared" ca="1" si="101"/>
        <v>7.5271425214529133E-2</v>
      </c>
    </row>
    <row r="5985" spans="7:8" x14ac:dyDescent="0.35">
      <c r="G5985" s="215">
        <v>5978</v>
      </c>
      <c r="H5985" s="16">
        <f t="shared" ca="1" si="101"/>
        <v>-2.6849994535999237E-3</v>
      </c>
    </row>
    <row r="5986" spans="7:8" x14ac:dyDescent="0.35">
      <c r="G5986" s="215">
        <v>5979</v>
      </c>
      <c r="H5986" s="16">
        <f t="shared" ca="1" si="101"/>
        <v>7.9210477235091004E-2</v>
      </c>
    </row>
    <row r="5987" spans="7:8" x14ac:dyDescent="0.35">
      <c r="G5987" s="215">
        <v>5980</v>
      </c>
      <c r="H5987" s="16">
        <f t="shared" ca="1" si="101"/>
        <v>-4.3114236004267892E-2</v>
      </c>
    </row>
    <row r="5988" spans="7:8" x14ac:dyDescent="0.35">
      <c r="G5988" s="215">
        <v>5981</v>
      </c>
      <c r="H5988" s="16">
        <f t="shared" ca="1" si="101"/>
        <v>0.11638303189311992</v>
      </c>
    </row>
    <row r="5989" spans="7:8" x14ac:dyDescent="0.35">
      <c r="G5989" s="215">
        <v>5982</v>
      </c>
      <c r="H5989" s="16">
        <f t="shared" ca="1" si="101"/>
        <v>4.0275841337246598E-2</v>
      </c>
    </row>
    <row r="5990" spans="7:8" x14ac:dyDescent="0.35">
      <c r="G5990" s="215">
        <v>5983</v>
      </c>
      <c r="H5990" s="16">
        <f t="shared" ca="1" si="101"/>
        <v>3.6022376590716734E-2</v>
      </c>
    </row>
    <row r="5991" spans="7:8" x14ac:dyDescent="0.35">
      <c r="G5991" s="215">
        <v>5984</v>
      </c>
      <c r="H5991" s="16">
        <f t="shared" ca="1" si="101"/>
        <v>1.6497866006364551E-2</v>
      </c>
    </row>
    <row r="5992" spans="7:8" x14ac:dyDescent="0.35">
      <c r="G5992" s="215">
        <v>5985</v>
      </c>
      <c r="H5992" s="16">
        <f t="shared" ca="1" si="101"/>
        <v>-5.5702545508677037E-2</v>
      </c>
    </row>
    <row r="5993" spans="7:8" x14ac:dyDescent="0.35">
      <c r="G5993" s="215">
        <v>5986</v>
      </c>
      <c r="H5993" s="16">
        <f t="shared" ca="1" si="101"/>
        <v>-6.6720301703102544E-3</v>
      </c>
    </row>
    <row r="5994" spans="7:8" x14ac:dyDescent="0.35">
      <c r="G5994" s="215">
        <v>5987</v>
      </c>
      <c r="H5994" s="16">
        <f t="shared" ca="1" si="101"/>
        <v>1.478784249003539E-2</v>
      </c>
    </row>
    <row r="5995" spans="7:8" x14ac:dyDescent="0.35">
      <c r="G5995" s="215">
        <v>5988</v>
      </c>
      <c r="H5995" s="16">
        <f t="shared" ca="1" si="101"/>
        <v>-1.4645513631356105E-2</v>
      </c>
    </row>
    <row r="5996" spans="7:8" x14ac:dyDescent="0.35">
      <c r="G5996" s="215">
        <v>5989</v>
      </c>
      <c r="H5996" s="16">
        <f t="shared" ca="1" si="101"/>
        <v>-7.4119420546481213E-2</v>
      </c>
    </row>
    <row r="5997" spans="7:8" x14ac:dyDescent="0.35">
      <c r="G5997" s="215">
        <v>5990</v>
      </c>
      <c r="H5997" s="16">
        <f t="shared" ca="1" si="101"/>
        <v>-6.4535261621692777E-2</v>
      </c>
    </row>
    <row r="5998" spans="7:8" x14ac:dyDescent="0.35">
      <c r="G5998" s="215">
        <v>5991</v>
      </c>
      <c r="H5998" s="16">
        <f t="shared" ca="1" si="101"/>
        <v>5.7498459428523316E-2</v>
      </c>
    </row>
    <row r="5999" spans="7:8" x14ac:dyDescent="0.35">
      <c r="G5999" s="215">
        <v>5992</v>
      </c>
      <c r="H5999" s="16">
        <f t="shared" ca="1" si="101"/>
        <v>1.8065878630517639E-3</v>
      </c>
    </row>
    <row r="6000" spans="7:8" x14ac:dyDescent="0.35">
      <c r="G6000" s="215">
        <v>5993</v>
      </c>
      <c r="H6000" s="16">
        <f t="shared" ca="1" si="101"/>
        <v>3.173849912390482E-2</v>
      </c>
    </row>
    <row r="6001" spans="7:8" x14ac:dyDescent="0.35">
      <c r="G6001" s="215">
        <v>5994</v>
      </c>
      <c r="H6001" s="16">
        <f t="shared" ca="1" si="101"/>
        <v>-2.6555366783379376E-2</v>
      </c>
    </row>
    <row r="6002" spans="7:8" x14ac:dyDescent="0.35">
      <c r="G6002" s="215">
        <v>5995</v>
      </c>
      <c r="H6002" s="16">
        <f t="shared" ca="1" si="101"/>
        <v>7.8261742450390914E-2</v>
      </c>
    </row>
    <row r="6003" spans="7:8" x14ac:dyDescent="0.35">
      <c r="G6003" s="215">
        <v>5996</v>
      </c>
      <c r="H6003" s="16">
        <f t="shared" ca="1" si="101"/>
        <v>-4.7195300987753153E-2</v>
      </c>
    </row>
    <row r="6004" spans="7:8" x14ac:dyDescent="0.35">
      <c r="G6004" s="215">
        <v>5997</v>
      </c>
      <c r="H6004" s="16">
        <f t="shared" ca="1" si="101"/>
        <v>-0.10830555000303517</v>
      </c>
    </row>
    <row r="6005" spans="7:8" x14ac:dyDescent="0.35">
      <c r="G6005" s="215">
        <v>5998</v>
      </c>
      <c r="H6005" s="16">
        <f t="shared" ca="1" si="101"/>
        <v>-5.973494611713262E-2</v>
      </c>
    </row>
    <row r="6006" spans="7:8" x14ac:dyDescent="0.35">
      <c r="G6006" s="215">
        <v>5999</v>
      </c>
      <c r="H6006" s="16">
        <f t="shared" ca="1" si="101"/>
        <v>5.2968918060000911E-2</v>
      </c>
    </row>
    <row r="6007" spans="7:8" x14ac:dyDescent="0.35">
      <c r="G6007" s="215">
        <v>6000</v>
      </c>
      <c r="H6007" s="16">
        <f t="shared" ca="1" si="101"/>
        <v>5.6887389150833939E-2</v>
      </c>
    </row>
    <row r="6008" spans="7:8" x14ac:dyDescent="0.35">
      <c r="G6008" s="215">
        <v>6001</v>
      </c>
      <c r="H6008" s="16">
        <f t="shared" ca="1" si="101"/>
        <v>7.803065176638594E-4</v>
      </c>
    </row>
    <row r="6009" spans="7:8" x14ac:dyDescent="0.35">
      <c r="G6009" s="215">
        <v>6002</v>
      </c>
      <c r="H6009" s="16">
        <f t="shared" ca="1" si="101"/>
        <v>-1.8531048863791449E-2</v>
      </c>
    </row>
    <row r="6010" spans="7:8" x14ac:dyDescent="0.35">
      <c r="G6010" s="215">
        <v>6003</v>
      </c>
      <c r="H6010" s="16">
        <f t="shared" ca="1" si="101"/>
        <v>0.10387196523911515</v>
      </c>
    </row>
    <row r="6011" spans="7:8" x14ac:dyDescent="0.35">
      <c r="G6011" s="215">
        <v>6004</v>
      </c>
      <c r="H6011" s="16">
        <f t="shared" ca="1" si="101"/>
        <v>8.9374611656754588E-2</v>
      </c>
    </row>
    <row r="6012" spans="7:8" x14ac:dyDescent="0.35">
      <c r="G6012" s="215">
        <v>6005</v>
      </c>
      <c r="H6012" s="16">
        <f t="shared" ca="1" si="101"/>
        <v>7.7721788132614655E-2</v>
      </c>
    </row>
    <row r="6013" spans="7:8" x14ac:dyDescent="0.35">
      <c r="G6013" s="215">
        <v>6006</v>
      </c>
      <c r="H6013" s="16">
        <f t="shared" ca="1" si="101"/>
        <v>3.7600265291858476E-2</v>
      </c>
    </row>
    <row r="6014" spans="7:8" x14ac:dyDescent="0.35">
      <c r="G6014" s="215">
        <v>6007</v>
      </c>
      <c r="H6014" s="16">
        <f t="shared" ca="1" si="101"/>
        <v>-1.2607712699905241E-2</v>
      </c>
    </row>
    <row r="6015" spans="7:8" x14ac:dyDescent="0.35">
      <c r="G6015" s="215">
        <v>6008</v>
      </c>
      <c r="H6015" s="16">
        <f t="shared" ca="1" si="101"/>
        <v>8.0601035036287974E-3</v>
      </c>
    </row>
    <row r="6016" spans="7:8" x14ac:dyDescent="0.35">
      <c r="G6016" s="215">
        <v>6009</v>
      </c>
      <c r="H6016" s="16">
        <f t="shared" ca="1" si="101"/>
        <v>1.2798433189978151E-2</v>
      </c>
    </row>
    <row r="6017" spans="7:8" x14ac:dyDescent="0.35">
      <c r="G6017" s="215">
        <v>6010</v>
      </c>
      <c r="H6017" s="16">
        <f t="shared" ca="1" si="101"/>
        <v>-0.15640564503017218</v>
      </c>
    </row>
    <row r="6018" spans="7:8" x14ac:dyDescent="0.35">
      <c r="G6018" s="215">
        <v>6011</v>
      </c>
      <c r="H6018" s="16">
        <f t="shared" ca="1" si="101"/>
        <v>7.7112881975698086E-2</v>
      </c>
    </row>
    <row r="6019" spans="7:8" x14ac:dyDescent="0.35">
      <c r="G6019" s="215">
        <v>6012</v>
      </c>
      <c r="H6019" s="16">
        <f t="shared" ca="1" si="101"/>
        <v>1.5282263803107441E-2</v>
      </c>
    </row>
    <row r="6020" spans="7:8" x14ac:dyDescent="0.35">
      <c r="G6020" s="215">
        <v>6013</v>
      </c>
      <c r="H6020" s="16">
        <f t="shared" ca="1" si="101"/>
        <v>7.6443961770074634E-2</v>
      </c>
    </row>
    <row r="6021" spans="7:8" x14ac:dyDescent="0.35">
      <c r="G6021" s="215">
        <v>6014</v>
      </c>
      <c r="H6021" s="16">
        <f t="shared" ca="1" si="101"/>
        <v>-4.1189000464203609E-2</v>
      </c>
    </row>
    <row r="6022" spans="7:8" x14ac:dyDescent="0.35">
      <c r="G6022" s="215">
        <v>6015</v>
      </c>
      <c r="H6022" s="16">
        <f t="shared" ca="1" si="101"/>
        <v>-2.4809779859014922E-2</v>
      </c>
    </row>
    <row r="6023" spans="7:8" x14ac:dyDescent="0.35">
      <c r="G6023" s="215">
        <v>6016</v>
      </c>
      <c r="H6023" s="16">
        <f t="shared" ca="1" si="101"/>
        <v>-7.2874785510461629E-2</v>
      </c>
    </row>
    <row r="6024" spans="7:8" x14ac:dyDescent="0.35">
      <c r="G6024" s="215">
        <v>6017</v>
      </c>
      <c r="H6024" s="16">
        <f t="shared" ref="H6024:H6087" ca="1" si="102">_xlfn.NORM.INV(RAND(),M$10,M$11)</f>
        <v>-3.9824182190757347E-3</v>
      </c>
    </row>
    <row r="6025" spans="7:8" x14ac:dyDescent="0.35">
      <c r="G6025" s="215">
        <v>6018</v>
      </c>
      <c r="H6025" s="16">
        <f t="shared" ca="1" si="102"/>
        <v>4.4149941268034537E-2</v>
      </c>
    </row>
    <row r="6026" spans="7:8" x14ac:dyDescent="0.35">
      <c r="G6026" s="215">
        <v>6019</v>
      </c>
      <c r="H6026" s="16">
        <f t="shared" ca="1" si="102"/>
        <v>2.3692592289271959E-2</v>
      </c>
    </row>
    <row r="6027" spans="7:8" x14ac:dyDescent="0.35">
      <c r="G6027" s="215">
        <v>6020</v>
      </c>
      <c r="H6027" s="16">
        <f t="shared" ca="1" si="102"/>
        <v>1.197035888475209E-2</v>
      </c>
    </row>
    <row r="6028" spans="7:8" x14ac:dyDescent="0.35">
      <c r="G6028" s="215">
        <v>6021</v>
      </c>
      <c r="H6028" s="16">
        <f t="shared" ca="1" si="102"/>
        <v>-4.530161956166065E-2</v>
      </c>
    </row>
    <row r="6029" spans="7:8" x14ac:dyDescent="0.35">
      <c r="G6029" s="215">
        <v>6022</v>
      </c>
      <c r="H6029" s="16">
        <f t="shared" ca="1" si="102"/>
        <v>-5.8568109048535724E-2</v>
      </c>
    </row>
    <row r="6030" spans="7:8" x14ac:dyDescent="0.35">
      <c r="G6030" s="215">
        <v>6023</v>
      </c>
      <c r="H6030" s="16">
        <f t="shared" ca="1" si="102"/>
        <v>4.0687173385143674E-2</v>
      </c>
    </row>
    <row r="6031" spans="7:8" x14ac:dyDescent="0.35">
      <c r="G6031" s="215">
        <v>6024</v>
      </c>
      <c r="H6031" s="16">
        <f t="shared" ca="1" si="102"/>
        <v>1.9634041802943727E-2</v>
      </c>
    </row>
    <row r="6032" spans="7:8" x14ac:dyDescent="0.35">
      <c r="G6032" s="215">
        <v>6025</v>
      </c>
      <c r="H6032" s="16">
        <f t="shared" ca="1" si="102"/>
        <v>-5.9162300968888554E-2</v>
      </c>
    </row>
    <row r="6033" spans="7:8" x14ac:dyDescent="0.35">
      <c r="G6033" s="215">
        <v>6026</v>
      </c>
      <c r="H6033" s="16">
        <f t="shared" ca="1" si="102"/>
        <v>-1.0735113102733833E-2</v>
      </c>
    </row>
    <row r="6034" spans="7:8" x14ac:dyDescent="0.35">
      <c r="G6034" s="215">
        <v>6027</v>
      </c>
      <c r="H6034" s="16">
        <f t="shared" ca="1" si="102"/>
        <v>3.0041749098324456E-3</v>
      </c>
    </row>
    <row r="6035" spans="7:8" x14ac:dyDescent="0.35">
      <c r="G6035" s="215">
        <v>6028</v>
      </c>
      <c r="H6035" s="16">
        <f t="shared" ca="1" si="102"/>
        <v>-2.4186319340982424E-2</v>
      </c>
    </row>
    <row r="6036" spans="7:8" x14ac:dyDescent="0.35">
      <c r="G6036" s="215">
        <v>6029</v>
      </c>
      <c r="H6036" s="16">
        <f t="shared" ca="1" si="102"/>
        <v>0.10633784636403976</v>
      </c>
    </row>
    <row r="6037" spans="7:8" x14ac:dyDescent="0.35">
      <c r="G6037" s="215">
        <v>6030</v>
      </c>
      <c r="H6037" s="16">
        <f t="shared" ca="1" si="102"/>
        <v>-0.12362270991012927</v>
      </c>
    </row>
    <row r="6038" spans="7:8" x14ac:dyDescent="0.35">
      <c r="G6038" s="215">
        <v>6031</v>
      </c>
      <c r="H6038" s="16">
        <f t="shared" ca="1" si="102"/>
        <v>9.9110367664558288E-2</v>
      </c>
    </row>
    <row r="6039" spans="7:8" x14ac:dyDescent="0.35">
      <c r="G6039" s="215">
        <v>6032</v>
      </c>
      <c r="H6039" s="16">
        <f t="shared" ca="1" si="102"/>
        <v>-4.6253331593976321E-2</v>
      </c>
    </row>
    <row r="6040" spans="7:8" x14ac:dyDescent="0.35">
      <c r="G6040" s="215">
        <v>6033</v>
      </c>
      <c r="H6040" s="16">
        <f t="shared" ca="1" si="102"/>
        <v>7.3714908959648717E-2</v>
      </c>
    </row>
    <row r="6041" spans="7:8" x14ac:dyDescent="0.35">
      <c r="G6041" s="215">
        <v>6034</v>
      </c>
      <c r="H6041" s="16">
        <f t="shared" ca="1" si="102"/>
        <v>-8.3778405391829347E-2</v>
      </c>
    </row>
    <row r="6042" spans="7:8" x14ac:dyDescent="0.35">
      <c r="G6042" s="215">
        <v>6035</v>
      </c>
      <c r="H6042" s="16">
        <f t="shared" ca="1" si="102"/>
        <v>-7.0266176630481639E-2</v>
      </c>
    </row>
    <row r="6043" spans="7:8" x14ac:dyDescent="0.35">
      <c r="G6043" s="215">
        <v>6036</v>
      </c>
      <c r="H6043" s="16">
        <f t="shared" ca="1" si="102"/>
        <v>-6.5970325356300694E-2</v>
      </c>
    </row>
    <row r="6044" spans="7:8" x14ac:dyDescent="0.35">
      <c r="G6044" s="215">
        <v>6037</v>
      </c>
      <c r="H6044" s="16">
        <f t="shared" ca="1" si="102"/>
        <v>9.3667787386158122E-2</v>
      </c>
    </row>
    <row r="6045" spans="7:8" x14ac:dyDescent="0.35">
      <c r="G6045" s="215">
        <v>6038</v>
      </c>
      <c r="H6045" s="16">
        <f t="shared" ca="1" si="102"/>
        <v>3.4860203606303708E-2</v>
      </c>
    </row>
    <row r="6046" spans="7:8" x14ac:dyDescent="0.35">
      <c r="G6046" s="215">
        <v>6039</v>
      </c>
      <c r="H6046" s="16">
        <f t="shared" ca="1" si="102"/>
        <v>-4.2366693348260986E-2</v>
      </c>
    </row>
    <row r="6047" spans="7:8" x14ac:dyDescent="0.35">
      <c r="G6047" s="215">
        <v>6040</v>
      </c>
      <c r="H6047" s="16">
        <f t="shared" ca="1" si="102"/>
        <v>4.4405274597906982E-3</v>
      </c>
    </row>
    <row r="6048" spans="7:8" x14ac:dyDescent="0.35">
      <c r="G6048" s="215">
        <v>6041</v>
      </c>
      <c r="H6048" s="16">
        <f t="shared" ca="1" si="102"/>
        <v>-0.1094432250058622</v>
      </c>
    </row>
    <row r="6049" spans="7:8" x14ac:dyDescent="0.35">
      <c r="G6049" s="215">
        <v>6042</v>
      </c>
      <c r="H6049" s="16">
        <f t="shared" ca="1" si="102"/>
        <v>-5.2047788704817355E-2</v>
      </c>
    </row>
    <row r="6050" spans="7:8" x14ac:dyDescent="0.35">
      <c r="G6050" s="215">
        <v>6043</v>
      </c>
      <c r="H6050" s="16">
        <f t="shared" ca="1" si="102"/>
        <v>5.0388301266508423E-2</v>
      </c>
    </row>
    <row r="6051" spans="7:8" x14ac:dyDescent="0.35">
      <c r="G6051" s="215">
        <v>6044</v>
      </c>
      <c r="H6051" s="16">
        <f t="shared" ca="1" si="102"/>
        <v>0.15609497694920446</v>
      </c>
    </row>
    <row r="6052" spans="7:8" x14ac:dyDescent="0.35">
      <c r="G6052" s="215">
        <v>6045</v>
      </c>
      <c r="H6052" s="16">
        <f t="shared" ca="1" si="102"/>
        <v>6.1885867436101027E-2</v>
      </c>
    </row>
    <row r="6053" spans="7:8" x14ac:dyDescent="0.35">
      <c r="G6053" s="215">
        <v>6046</v>
      </c>
      <c r="H6053" s="16">
        <f t="shared" ca="1" si="102"/>
        <v>-9.2212908224871618E-3</v>
      </c>
    </row>
    <row r="6054" spans="7:8" x14ac:dyDescent="0.35">
      <c r="G6054" s="215">
        <v>6047</v>
      </c>
      <c r="H6054" s="16">
        <f t="shared" ca="1" si="102"/>
        <v>3.5326685517337406E-2</v>
      </c>
    </row>
    <row r="6055" spans="7:8" x14ac:dyDescent="0.35">
      <c r="G6055" s="215">
        <v>6048</v>
      </c>
      <c r="H6055" s="16">
        <f t="shared" ca="1" si="102"/>
        <v>8.4433510990946883E-2</v>
      </c>
    </row>
    <row r="6056" spans="7:8" x14ac:dyDescent="0.35">
      <c r="G6056" s="215">
        <v>6049</v>
      </c>
      <c r="H6056" s="16">
        <f t="shared" ca="1" si="102"/>
        <v>-0.10073485335588354</v>
      </c>
    </row>
    <row r="6057" spans="7:8" x14ac:dyDescent="0.35">
      <c r="G6057" s="215">
        <v>6050</v>
      </c>
      <c r="H6057" s="16">
        <f t="shared" ca="1" si="102"/>
        <v>-0.10848346405825032</v>
      </c>
    </row>
    <row r="6058" spans="7:8" x14ac:dyDescent="0.35">
      <c r="G6058" s="215">
        <v>6051</v>
      </c>
      <c r="H6058" s="16">
        <f t="shared" ca="1" si="102"/>
        <v>-3.5438882470281693E-2</v>
      </c>
    </row>
    <row r="6059" spans="7:8" x14ac:dyDescent="0.35">
      <c r="G6059" s="215">
        <v>6052</v>
      </c>
      <c r="H6059" s="16">
        <f t="shared" ca="1" si="102"/>
        <v>0.11734345737040533</v>
      </c>
    </row>
    <row r="6060" spans="7:8" x14ac:dyDescent="0.35">
      <c r="G6060" s="215">
        <v>6053</v>
      </c>
      <c r="H6060" s="16">
        <f t="shared" ca="1" si="102"/>
        <v>-2.8271641582652714E-2</v>
      </c>
    </row>
    <row r="6061" spans="7:8" x14ac:dyDescent="0.35">
      <c r="G6061" s="215">
        <v>6054</v>
      </c>
      <c r="H6061" s="16">
        <f t="shared" ca="1" si="102"/>
        <v>5.4266600963159869E-2</v>
      </c>
    </row>
    <row r="6062" spans="7:8" x14ac:dyDescent="0.35">
      <c r="G6062" s="215">
        <v>6055</v>
      </c>
      <c r="H6062" s="16">
        <f t="shared" ca="1" si="102"/>
        <v>3.554954930186173E-2</v>
      </c>
    </row>
    <row r="6063" spans="7:8" x14ac:dyDescent="0.35">
      <c r="G6063" s="215">
        <v>6056</v>
      </c>
      <c r="H6063" s="16">
        <f t="shared" ca="1" si="102"/>
        <v>-5.8941311004925737E-2</v>
      </c>
    </row>
    <row r="6064" spans="7:8" x14ac:dyDescent="0.35">
      <c r="G6064" s="215">
        <v>6057</v>
      </c>
      <c r="H6064" s="16">
        <f t="shared" ca="1" si="102"/>
        <v>-7.8075572327078471E-2</v>
      </c>
    </row>
    <row r="6065" spans="7:8" x14ac:dyDescent="0.35">
      <c r="G6065" s="215">
        <v>6058</v>
      </c>
      <c r="H6065" s="16">
        <f t="shared" ca="1" si="102"/>
        <v>2.9990285267848974E-2</v>
      </c>
    </row>
    <row r="6066" spans="7:8" x14ac:dyDescent="0.35">
      <c r="G6066" s="215">
        <v>6059</v>
      </c>
      <c r="H6066" s="16">
        <f t="shared" ca="1" si="102"/>
        <v>-3.2469090850464732E-2</v>
      </c>
    </row>
    <row r="6067" spans="7:8" x14ac:dyDescent="0.35">
      <c r="G6067" s="215">
        <v>6060</v>
      </c>
      <c r="H6067" s="16">
        <f t="shared" ca="1" si="102"/>
        <v>6.784381106797982E-2</v>
      </c>
    </row>
    <row r="6068" spans="7:8" x14ac:dyDescent="0.35">
      <c r="G6068" s="215">
        <v>6061</v>
      </c>
      <c r="H6068" s="16">
        <f t="shared" ca="1" si="102"/>
        <v>-5.7550169326288647E-2</v>
      </c>
    </row>
    <row r="6069" spans="7:8" x14ac:dyDescent="0.35">
      <c r="G6069" s="215">
        <v>6062</v>
      </c>
      <c r="H6069" s="16">
        <f t="shared" ca="1" si="102"/>
        <v>3.1521206681240782E-2</v>
      </c>
    </row>
    <row r="6070" spans="7:8" x14ac:dyDescent="0.35">
      <c r="G6070" s="215">
        <v>6063</v>
      </c>
      <c r="H6070" s="16">
        <f t="shared" ca="1" si="102"/>
        <v>-9.915615358612892E-2</v>
      </c>
    </row>
    <row r="6071" spans="7:8" x14ac:dyDescent="0.35">
      <c r="G6071" s="215">
        <v>6064</v>
      </c>
      <c r="H6071" s="16">
        <f t="shared" ca="1" si="102"/>
        <v>2.1256685940786821E-2</v>
      </c>
    </row>
    <row r="6072" spans="7:8" x14ac:dyDescent="0.35">
      <c r="G6072" s="215">
        <v>6065</v>
      </c>
      <c r="H6072" s="16">
        <f t="shared" ca="1" si="102"/>
        <v>0.10820561593223052</v>
      </c>
    </row>
    <row r="6073" spans="7:8" x14ac:dyDescent="0.35">
      <c r="G6073" s="215">
        <v>6066</v>
      </c>
      <c r="H6073" s="16">
        <f t="shared" ca="1" si="102"/>
        <v>8.9590366517043968E-2</v>
      </c>
    </row>
    <row r="6074" spans="7:8" x14ac:dyDescent="0.35">
      <c r="G6074" s="215">
        <v>6067</v>
      </c>
      <c r="H6074" s="16">
        <f t="shared" ca="1" si="102"/>
        <v>0.13007171360706005</v>
      </c>
    </row>
    <row r="6075" spans="7:8" x14ac:dyDescent="0.35">
      <c r="G6075" s="215">
        <v>6068</v>
      </c>
      <c r="H6075" s="16">
        <f t="shared" ca="1" si="102"/>
        <v>1.2918302407535342E-2</v>
      </c>
    </row>
    <row r="6076" spans="7:8" x14ac:dyDescent="0.35">
      <c r="G6076" s="215">
        <v>6069</v>
      </c>
      <c r="H6076" s="16">
        <f t="shared" ca="1" si="102"/>
        <v>-5.1068335310233429E-2</v>
      </c>
    </row>
    <row r="6077" spans="7:8" x14ac:dyDescent="0.35">
      <c r="G6077" s="215">
        <v>6070</v>
      </c>
      <c r="H6077" s="16">
        <f t="shared" ca="1" si="102"/>
        <v>-3.1025086456084514E-2</v>
      </c>
    </row>
    <row r="6078" spans="7:8" x14ac:dyDescent="0.35">
      <c r="G6078" s="215">
        <v>6071</v>
      </c>
      <c r="H6078" s="16">
        <f t="shared" ca="1" si="102"/>
        <v>2.5982849054620498E-2</v>
      </c>
    </row>
    <row r="6079" spans="7:8" x14ac:dyDescent="0.35">
      <c r="G6079" s="215">
        <v>6072</v>
      </c>
      <c r="H6079" s="16">
        <f t="shared" ca="1" si="102"/>
        <v>-9.2160098255043441E-2</v>
      </c>
    </row>
    <row r="6080" spans="7:8" x14ac:dyDescent="0.35">
      <c r="G6080" s="215">
        <v>6073</v>
      </c>
      <c r="H6080" s="16">
        <f t="shared" ca="1" si="102"/>
        <v>4.610638617236841E-2</v>
      </c>
    </row>
    <row r="6081" spans="7:8" x14ac:dyDescent="0.35">
      <c r="G6081" s="215">
        <v>6074</v>
      </c>
      <c r="H6081" s="16">
        <f t="shared" ca="1" si="102"/>
        <v>3.6601745502808813E-2</v>
      </c>
    </row>
    <row r="6082" spans="7:8" x14ac:dyDescent="0.35">
      <c r="G6082" s="215">
        <v>6075</v>
      </c>
      <c r="H6082" s="16">
        <f t="shared" ca="1" si="102"/>
        <v>0.11490660431909296</v>
      </c>
    </row>
    <row r="6083" spans="7:8" x14ac:dyDescent="0.35">
      <c r="G6083" s="215">
        <v>6076</v>
      </c>
      <c r="H6083" s="16">
        <f t="shared" ca="1" si="102"/>
        <v>1.2252346760224062E-2</v>
      </c>
    </row>
    <row r="6084" spans="7:8" x14ac:dyDescent="0.35">
      <c r="G6084" s="215">
        <v>6077</v>
      </c>
      <c r="H6084" s="16">
        <f t="shared" ca="1" si="102"/>
        <v>-7.5984844346818417E-3</v>
      </c>
    </row>
    <row r="6085" spans="7:8" x14ac:dyDescent="0.35">
      <c r="G6085" s="215">
        <v>6078</v>
      </c>
      <c r="H6085" s="16">
        <f t="shared" ca="1" si="102"/>
        <v>-8.9020719206708114E-3</v>
      </c>
    </row>
    <row r="6086" spans="7:8" x14ac:dyDescent="0.35">
      <c r="G6086" s="215">
        <v>6079</v>
      </c>
      <c r="H6086" s="16">
        <f t="shared" ca="1" si="102"/>
        <v>0.11653762057962246</v>
      </c>
    </row>
    <row r="6087" spans="7:8" x14ac:dyDescent="0.35">
      <c r="G6087" s="215">
        <v>6080</v>
      </c>
      <c r="H6087" s="16">
        <f t="shared" ca="1" si="102"/>
        <v>-0.14240015693678934</v>
      </c>
    </row>
    <row r="6088" spans="7:8" x14ac:dyDescent="0.35">
      <c r="G6088" s="215">
        <v>6081</v>
      </c>
      <c r="H6088" s="16">
        <f t="shared" ref="H6088:H6151" ca="1" si="103">_xlfn.NORM.INV(RAND(),M$10,M$11)</f>
        <v>0.19591911994636863</v>
      </c>
    </row>
    <row r="6089" spans="7:8" x14ac:dyDescent="0.35">
      <c r="G6089" s="215">
        <v>6082</v>
      </c>
      <c r="H6089" s="16">
        <f t="shared" ca="1" si="103"/>
        <v>6.880437831812676E-2</v>
      </c>
    </row>
    <row r="6090" spans="7:8" x14ac:dyDescent="0.35">
      <c r="G6090" s="215">
        <v>6083</v>
      </c>
      <c r="H6090" s="16">
        <f t="shared" ca="1" si="103"/>
        <v>5.6140668697064272E-2</v>
      </c>
    </row>
    <row r="6091" spans="7:8" x14ac:dyDescent="0.35">
      <c r="G6091" s="215">
        <v>6084</v>
      </c>
      <c r="H6091" s="16">
        <f t="shared" ca="1" si="103"/>
        <v>6.9777929074939862E-2</v>
      </c>
    </row>
    <row r="6092" spans="7:8" x14ac:dyDescent="0.35">
      <c r="G6092" s="215">
        <v>6085</v>
      </c>
      <c r="H6092" s="16">
        <f t="shared" ca="1" si="103"/>
        <v>-2.2329051053837281E-2</v>
      </c>
    </row>
    <row r="6093" spans="7:8" x14ac:dyDescent="0.35">
      <c r="G6093" s="215">
        <v>6086</v>
      </c>
      <c r="H6093" s="16">
        <f t="shared" ca="1" si="103"/>
        <v>6.0979145861227421E-2</v>
      </c>
    </row>
    <row r="6094" spans="7:8" x14ac:dyDescent="0.35">
      <c r="G6094" s="215">
        <v>6087</v>
      </c>
      <c r="H6094" s="16">
        <f t="shared" ca="1" si="103"/>
        <v>0.11766084069139066</v>
      </c>
    </row>
    <row r="6095" spans="7:8" x14ac:dyDescent="0.35">
      <c r="G6095" s="215">
        <v>6088</v>
      </c>
      <c r="H6095" s="16">
        <f t="shared" ca="1" si="103"/>
        <v>0.10144804105796244</v>
      </c>
    </row>
    <row r="6096" spans="7:8" x14ac:dyDescent="0.35">
      <c r="G6096" s="215">
        <v>6089</v>
      </c>
      <c r="H6096" s="16">
        <f t="shared" ca="1" si="103"/>
        <v>5.5406074659831286E-2</v>
      </c>
    </row>
    <row r="6097" spans="7:8" x14ac:dyDescent="0.35">
      <c r="G6097" s="215">
        <v>6090</v>
      </c>
      <c r="H6097" s="16">
        <f t="shared" ca="1" si="103"/>
        <v>-0.14249295059451778</v>
      </c>
    </row>
    <row r="6098" spans="7:8" x14ac:dyDescent="0.35">
      <c r="G6098" s="215">
        <v>6091</v>
      </c>
      <c r="H6098" s="16">
        <f t="shared" ca="1" si="103"/>
        <v>5.2383871807858981E-3</v>
      </c>
    </row>
    <row r="6099" spans="7:8" x14ac:dyDescent="0.35">
      <c r="G6099" s="215">
        <v>6092</v>
      </c>
      <c r="H6099" s="16">
        <f t="shared" ca="1" si="103"/>
        <v>-2.0040422484723788E-2</v>
      </c>
    </row>
    <row r="6100" spans="7:8" x14ac:dyDescent="0.35">
      <c r="G6100" s="215">
        <v>6093</v>
      </c>
      <c r="H6100" s="16">
        <f t="shared" ca="1" si="103"/>
        <v>6.8020943159637165E-2</v>
      </c>
    </row>
    <row r="6101" spans="7:8" x14ac:dyDescent="0.35">
      <c r="G6101" s="215">
        <v>6094</v>
      </c>
      <c r="H6101" s="16">
        <f t="shared" ca="1" si="103"/>
        <v>1.7727355772039093E-2</v>
      </c>
    </row>
    <row r="6102" spans="7:8" x14ac:dyDescent="0.35">
      <c r="G6102" s="215">
        <v>6095</v>
      </c>
      <c r="H6102" s="16">
        <f t="shared" ca="1" si="103"/>
        <v>-0.14543493247355063</v>
      </c>
    </row>
    <row r="6103" spans="7:8" x14ac:dyDescent="0.35">
      <c r="G6103" s="215">
        <v>6096</v>
      </c>
      <c r="H6103" s="16">
        <f t="shared" ca="1" si="103"/>
        <v>-2.2629620668236195E-2</v>
      </c>
    </row>
    <row r="6104" spans="7:8" x14ac:dyDescent="0.35">
      <c r="G6104" s="215">
        <v>6097</v>
      </c>
      <c r="H6104" s="16">
        <f t="shared" ca="1" si="103"/>
        <v>-1.1342014262238936E-2</v>
      </c>
    </row>
    <row r="6105" spans="7:8" x14ac:dyDescent="0.35">
      <c r="G6105" s="215">
        <v>6098</v>
      </c>
      <c r="H6105" s="16">
        <f t="shared" ca="1" si="103"/>
        <v>-8.7813658299139438E-2</v>
      </c>
    </row>
    <row r="6106" spans="7:8" x14ac:dyDescent="0.35">
      <c r="G6106" s="215">
        <v>6099</v>
      </c>
      <c r="H6106" s="16">
        <f t="shared" ca="1" si="103"/>
        <v>5.6872764747169596E-2</v>
      </c>
    </row>
    <row r="6107" spans="7:8" x14ac:dyDescent="0.35">
      <c r="G6107" s="215">
        <v>6100</v>
      </c>
      <c r="H6107" s="16">
        <f t="shared" ca="1" si="103"/>
        <v>0.1054180836821185</v>
      </c>
    </row>
    <row r="6108" spans="7:8" x14ac:dyDescent="0.35">
      <c r="G6108" s="215">
        <v>6101</v>
      </c>
      <c r="H6108" s="16">
        <f t="shared" ca="1" si="103"/>
        <v>0.131647875919508</v>
      </c>
    </row>
    <row r="6109" spans="7:8" x14ac:dyDescent="0.35">
      <c r="G6109" s="215">
        <v>6102</v>
      </c>
      <c r="H6109" s="16">
        <f t="shared" ca="1" si="103"/>
        <v>0.15456109970941245</v>
      </c>
    </row>
    <row r="6110" spans="7:8" x14ac:dyDescent="0.35">
      <c r="G6110" s="215">
        <v>6103</v>
      </c>
      <c r="H6110" s="16">
        <f t="shared" ca="1" si="103"/>
        <v>-0.14841455302547144</v>
      </c>
    </row>
    <row r="6111" spans="7:8" x14ac:dyDescent="0.35">
      <c r="G6111" s="215">
        <v>6104</v>
      </c>
      <c r="H6111" s="16">
        <f t="shared" ca="1" si="103"/>
        <v>9.4902878277840011E-3</v>
      </c>
    </row>
    <row r="6112" spans="7:8" x14ac:dyDescent="0.35">
      <c r="G6112" s="215">
        <v>6105</v>
      </c>
      <c r="H6112" s="16">
        <f t="shared" ca="1" si="103"/>
        <v>-6.0404613900099408E-2</v>
      </c>
    </row>
    <row r="6113" spans="7:8" x14ac:dyDescent="0.35">
      <c r="G6113" s="215">
        <v>6106</v>
      </c>
      <c r="H6113" s="16">
        <f t="shared" ca="1" si="103"/>
        <v>-8.3805762626643507E-2</v>
      </c>
    </row>
    <row r="6114" spans="7:8" x14ac:dyDescent="0.35">
      <c r="G6114" s="215">
        <v>6107</v>
      </c>
      <c r="H6114" s="16">
        <f t="shared" ca="1" si="103"/>
        <v>-4.2634230540363083E-2</v>
      </c>
    </row>
    <row r="6115" spans="7:8" x14ac:dyDescent="0.35">
      <c r="G6115" s="215">
        <v>6108</v>
      </c>
      <c r="H6115" s="16">
        <f t="shared" ca="1" si="103"/>
        <v>0.10975116523919431</v>
      </c>
    </row>
    <row r="6116" spans="7:8" x14ac:dyDescent="0.35">
      <c r="G6116" s="215">
        <v>6109</v>
      </c>
      <c r="H6116" s="16">
        <f t="shared" ca="1" si="103"/>
        <v>4.3143243344061402E-2</v>
      </c>
    </row>
    <row r="6117" spans="7:8" x14ac:dyDescent="0.35">
      <c r="G6117" s="215">
        <v>6110</v>
      </c>
      <c r="H6117" s="16">
        <f t="shared" ca="1" si="103"/>
        <v>-1.5790618955770306E-2</v>
      </c>
    </row>
    <row r="6118" spans="7:8" x14ac:dyDescent="0.35">
      <c r="G6118" s="215">
        <v>6111</v>
      </c>
      <c r="H6118" s="16">
        <f t="shared" ca="1" si="103"/>
        <v>0.14143692134089261</v>
      </c>
    </row>
    <row r="6119" spans="7:8" x14ac:dyDescent="0.35">
      <c r="G6119" s="215">
        <v>6112</v>
      </c>
      <c r="H6119" s="16">
        <f t="shared" ca="1" si="103"/>
        <v>6.9531068814012942E-2</v>
      </c>
    </row>
    <row r="6120" spans="7:8" x14ac:dyDescent="0.35">
      <c r="G6120" s="215">
        <v>6113</v>
      </c>
      <c r="H6120" s="16">
        <f t="shared" ca="1" si="103"/>
        <v>0.1598644598945651</v>
      </c>
    </row>
    <row r="6121" spans="7:8" x14ac:dyDescent="0.35">
      <c r="G6121" s="215">
        <v>6114</v>
      </c>
      <c r="H6121" s="16">
        <f t="shared" ca="1" si="103"/>
        <v>0.19584902532617304</v>
      </c>
    </row>
    <row r="6122" spans="7:8" x14ac:dyDescent="0.35">
      <c r="G6122" s="215">
        <v>6115</v>
      </c>
      <c r="H6122" s="16">
        <f t="shared" ca="1" si="103"/>
        <v>5.2318413313080861E-2</v>
      </c>
    </row>
    <row r="6123" spans="7:8" x14ac:dyDescent="0.35">
      <c r="G6123" s="215">
        <v>6116</v>
      </c>
      <c r="H6123" s="16">
        <f t="shared" ca="1" si="103"/>
        <v>6.0770174779247607E-2</v>
      </c>
    </row>
    <row r="6124" spans="7:8" x14ac:dyDescent="0.35">
      <c r="G6124" s="215">
        <v>6117</v>
      </c>
      <c r="H6124" s="16">
        <f t="shared" ca="1" si="103"/>
        <v>0.14365319045544814</v>
      </c>
    </row>
    <row r="6125" spans="7:8" x14ac:dyDescent="0.35">
      <c r="G6125" s="215">
        <v>6118</v>
      </c>
      <c r="H6125" s="16">
        <f t="shared" ca="1" si="103"/>
        <v>-9.9421715005480665E-2</v>
      </c>
    </row>
    <row r="6126" spans="7:8" x14ac:dyDescent="0.35">
      <c r="G6126" s="215">
        <v>6119</v>
      </c>
      <c r="H6126" s="16">
        <f t="shared" ca="1" si="103"/>
        <v>5.466385449166237E-3</v>
      </c>
    </row>
    <row r="6127" spans="7:8" x14ac:dyDescent="0.35">
      <c r="G6127" s="215">
        <v>6120</v>
      </c>
      <c r="H6127" s="16">
        <f t="shared" ca="1" si="103"/>
        <v>0.11273610202735627</v>
      </c>
    </row>
    <row r="6128" spans="7:8" x14ac:dyDescent="0.35">
      <c r="G6128" s="215">
        <v>6121</v>
      </c>
      <c r="H6128" s="16">
        <f t="shared" ca="1" si="103"/>
        <v>-0.14755355569603529</v>
      </c>
    </row>
    <row r="6129" spans="7:8" x14ac:dyDescent="0.35">
      <c r="G6129" s="215">
        <v>6122</v>
      </c>
      <c r="H6129" s="16">
        <f t="shared" ca="1" si="103"/>
        <v>3.9413734768211001E-2</v>
      </c>
    </row>
    <row r="6130" spans="7:8" x14ac:dyDescent="0.35">
      <c r="G6130" s="215">
        <v>6123</v>
      </c>
      <c r="H6130" s="16">
        <f t="shared" ca="1" si="103"/>
        <v>-1.0003767459242641E-2</v>
      </c>
    </row>
    <row r="6131" spans="7:8" x14ac:dyDescent="0.35">
      <c r="G6131" s="215">
        <v>6124</v>
      </c>
      <c r="H6131" s="16">
        <f t="shared" ca="1" si="103"/>
        <v>0.1614592292453062</v>
      </c>
    </row>
    <row r="6132" spans="7:8" x14ac:dyDescent="0.35">
      <c r="G6132" s="215">
        <v>6125</v>
      </c>
      <c r="H6132" s="16">
        <f t="shared" ca="1" si="103"/>
        <v>9.4144870574033895E-2</v>
      </c>
    </row>
    <row r="6133" spans="7:8" x14ac:dyDescent="0.35">
      <c r="G6133" s="215">
        <v>6126</v>
      </c>
      <c r="H6133" s="16">
        <f t="shared" ca="1" si="103"/>
        <v>3.4421543147199599E-2</v>
      </c>
    </row>
    <row r="6134" spans="7:8" x14ac:dyDescent="0.35">
      <c r="G6134" s="215">
        <v>6127</v>
      </c>
      <c r="H6134" s="16">
        <f t="shared" ca="1" si="103"/>
        <v>3.5367344132554712E-2</v>
      </c>
    </row>
    <row r="6135" spans="7:8" x14ac:dyDescent="0.35">
      <c r="G6135" s="215">
        <v>6128</v>
      </c>
      <c r="H6135" s="16">
        <f t="shared" ca="1" si="103"/>
        <v>0.18763595692458007</v>
      </c>
    </row>
    <row r="6136" spans="7:8" x14ac:dyDescent="0.35">
      <c r="G6136" s="215">
        <v>6129</v>
      </c>
      <c r="H6136" s="16">
        <f t="shared" ca="1" si="103"/>
        <v>-5.2395450866085089E-2</v>
      </c>
    </row>
    <row r="6137" spans="7:8" x14ac:dyDescent="0.35">
      <c r="G6137" s="215">
        <v>6130</v>
      </c>
      <c r="H6137" s="16">
        <f t="shared" ca="1" si="103"/>
        <v>-0.10141511481374343</v>
      </c>
    </row>
    <row r="6138" spans="7:8" x14ac:dyDescent="0.35">
      <c r="G6138" s="215">
        <v>6131</v>
      </c>
      <c r="H6138" s="16">
        <f t="shared" ca="1" si="103"/>
        <v>6.3253690458680387E-2</v>
      </c>
    </row>
    <row r="6139" spans="7:8" x14ac:dyDescent="0.35">
      <c r="G6139" s="215">
        <v>6132</v>
      </c>
      <c r="H6139" s="16">
        <f t="shared" ca="1" si="103"/>
        <v>-3.1802485515028761E-2</v>
      </c>
    </row>
    <row r="6140" spans="7:8" x14ac:dyDescent="0.35">
      <c r="G6140" s="215">
        <v>6133</v>
      </c>
      <c r="H6140" s="16">
        <f t="shared" ca="1" si="103"/>
        <v>4.3958161993341405E-2</v>
      </c>
    </row>
    <row r="6141" spans="7:8" x14ac:dyDescent="0.35">
      <c r="G6141" s="215">
        <v>6134</v>
      </c>
      <c r="H6141" s="16">
        <f t="shared" ca="1" si="103"/>
        <v>9.3075620043308396E-2</v>
      </c>
    </row>
    <row r="6142" spans="7:8" x14ac:dyDescent="0.35">
      <c r="G6142" s="215">
        <v>6135</v>
      </c>
      <c r="H6142" s="16">
        <f t="shared" ca="1" si="103"/>
        <v>-4.9289809432465581E-2</v>
      </c>
    </row>
    <row r="6143" spans="7:8" x14ac:dyDescent="0.35">
      <c r="G6143" s="215">
        <v>6136</v>
      </c>
      <c r="H6143" s="16">
        <f t="shared" ca="1" si="103"/>
        <v>-1.5971149080454612E-2</v>
      </c>
    </row>
    <row r="6144" spans="7:8" x14ac:dyDescent="0.35">
      <c r="G6144" s="215">
        <v>6137</v>
      </c>
      <c r="H6144" s="16">
        <f t="shared" ca="1" si="103"/>
        <v>3.516797229076233E-2</v>
      </c>
    </row>
    <row r="6145" spans="7:8" x14ac:dyDescent="0.35">
      <c r="G6145" s="215">
        <v>6138</v>
      </c>
      <c r="H6145" s="16">
        <f t="shared" ca="1" si="103"/>
        <v>4.8564571838976806E-2</v>
      </c>
    </row>
    <row r="6146" spans="7:8" x14ac:dyDescent="0.35">
      <c r="G6146" s="215">
        <v>6139</v>
      </c>
      <c r="H6146" s="16">
        <f t="shared" ca="1" si="103"/>
        <v>-2.0826841045814941E-3</v>
      </c>
    </row>
    <row r="6147" spans="7:8" x14ac:dyDescent="0.35">
      <c r="G6147" s="215">
        <v>6140</v>
      </c>
      <c r="H6147" s="16">
        <f t="shared" ca="1" si="103"/>
        <v>-3.352690534664346E-3</v>
      </c>
    </row>
    <row r="6148" spans="7:8" x14ac:dyDescent="0.35">
      <c r="G6148" s="215">
        <v>6141</v>
      </c>
      <c r="H6148" s="16">
        <f t="shared" ca="1" si="103"/>
        <v>9.3816626816954379E-2</v>
      </c>
    </row>
    <row r="6149" spans="7:8" x14ac:dyDescent="0.35">
      <c r="G6149" s="215">
        <v>6142</v>
      </c>
      <c r="H6149" s="16">
        <f t="shared" ca="1" si="103"/>
        <v>4.7961226534133553E-2</v>
      </c>
    </row>
    <row r="6150" spans="7:8" x14ac:dyDescent="0.35">
      <c r="G6150" s="215">
        <v>6143</v>
      </c>
      <c r="H6150" s="16">
        <f t="shared" ca="1" si="103"/>
        <v>7.7618609572250724E-3</v>
      </c>
    </row>
    <row r="6151" spans="7:8" x14ac:dyDescent="0.35">
      <c r="G6151" s="215">
        <v>6144</v>
      </c>
      <c r="H6151" s="16">
        <f t="shared" ca="1" si="103"/>
        <v>5.5591539895139793E-3</v>
      </c>
    </row>
    <row r="6152" spans="7:8" x14ac:dyDescent="0.35">
      <c r="G6152" s="215">
        <v>6145</v>
      </c>
      <c r="H6152" s="16">
        <f t="shared" ref="H6152:H6215" ca="1" si="104">_xlfn.NORM.INV(RAND(),M$10,M$11)</f>
        <v>7.0160147529424836E-3</v>
      </c>
    </row>
    <row r="6153" spans="7:8" x14ac:dyDescent="0.35">
      <c r="G6153" s="215">
        <v>6146</v>
      </c>
      <c r="H6153" s="16">
        <f t="shared" ca="1" si="104"/>
        <v>-8.9811725759774155E-2</v>
      </c>
    </row>
    <row r="6154" spans="7:8" x14ac:dyDescent="0.35">
      <c r="G6154" s="215">
        <v>6147</v>
      </c>
      <c r="H6154" s="16">
        <f t="shared" ca="1" si="104"/>
        <v>-4.1079994621342243E-3</v>
      </c>
    </row>
    <row r="6155" spans="7:8" x14ac:dyDescent="0.35">
      <c r="G6155" s="215">
        <v>6148</v>
      </c>
      <c r="H6155" s="16">
        <f t="shared" ca="1" si="104"/>
        <v>7.8983620396274878E-2</v>
      </c>
    </row>
    <row r="6156" spans="7:8" x14ac:dyDescent="0.35">
      <c r="G6156" s="215">
        <v>6149</v>
      </c>
      <c r="H6156" s="16">
        <f t="shared" ca="1" si="104"/>
        <v>-9.1644132659167349E-2</v>
      </c>
    </row>
    <row r="6157" spans="7:8" x14ac:dyDescent="0.35">
      <c r="G6157" s="215">
        <v>6150</v>
      </c>
      <c r="H6157" s="16">
        <f t="shared" ca="1" si="104"/>
        <v>2.4173818201578129E-2</v>
      </c>
    </row>
    <row r="6158" spans="7:8" x14ac:dyDescent="0.35">
      <c r="G6158" s="215">
        <v>6151</v>
      </c>
      <c r="H6158" s="16">
        <f t="shared" ca="1" si="104"/>
        <v>8.1790423681373708E-2</v>
      </c>
    </row>
    <row r="6159" spans="7:8" x14ac:dyDescent="0.35">
      <c r="G6159" s="215">
        <v>6152</v>
      </c>
      <c r="H6159" s="16">
        <f t="shared" ca="1" si="104"/>
        <v>3.169881764285858E-3</v>
      </c>
    </row>
    <row r="6160" spans="7:8" x14ac:dyDescent="0.35">
      <c r="G6160" s="215">
        <v>6153</v>
      </c>
      <c r="H6160" s="16">
        <f t="shared" ca="1" si="104"/>
        <v>0.10702285910927012</v>
      </c>
    </row>
    <row r="6161" spans="7:8" x14ac:dyDescent="0.35">
      <c r="G6161" s="215">
        <v>6154</v>
      </c>
      <c r="H6161" s="16">
        <f t="shared" ca="1" si="104"/>
        <v>7.5464286673796094E-2</v>
      </c>
    </row>
    <row r="6162" spans="7:8" x14ac:dyDescent="0.35">
      <c r="G6162" s="215">
        <v>6155</v>
      </c>
      <c r="H6162" s="16">
        <f t="shared" ca="1" si="104"/>
        <v>3.6007010485308494E-2</v>
      </c>
    </row>
    <row r="6163" spans="7:8" x14ac:dyDescent="0.35">
      <c r="G6163" s="215">
        <v>6156</v>
      </c>
      <c r="H6163" s="16">
        <f t="shared" ca="1" si="104"/>
        <v>8.5308999374677438E-2</v>
      </c>
    </row>
    <row r="6164" spans="7:8" x14ac:dyDescent="0.35">
      <c r="G6164" s="215">
        <v>6157</v>
      </c>
      <c r="H6164" s="16">
        <f t="shared" ca="1" si="104"/>
        <v>3.1985722497326355E-2</v>
      </c>
    </row>
    <row r="6165" spans="7:8" x14ac:dyDescent="0.35">
      <c r="G6165" s="215">
        <v>6158</v>
      </c>
      <c r="H6165" s="16">
        <f t="shared" ca="1" si="104"/>
        <v>-1.9602231187796953E-2</v>
      </c>
    </row>
    <row r="6166" spans="7:8" x14ac:dyDescent="0.35">
      <c r="G6166" s="215">
        <v>6159</v>
      </c>
      <c r="H6166" s="16">
        <f t="shared" ca="1" si="104"/>
        <v>-8.0989946545574308E-3</v>
      </c>
    </row>
    <row r="6167" spans="7:8" x14ac:dyDescent="0.35">
      <c r="G6167" s="215">
        <v>6160</v>
      </c>
      <c r="H6167" s="16">
        <f t="shared" ca="1" si="104"/>
        <v>-0.13160455174536842</v>
      </c>
    </row>
    <row r="6168" spans="7:8" x14ac:dyDescent="0.35">
      <c r="G6168" s="215">
        <v>6161</v>
      </c>
      <c r="H6168" s="16">
        <f t="shared" ca="1" si="104"/>
        <v>-4.4818638160694403E-3</v>
      </c>
    </row>
    <row r="6169" spans="7:8" x14ac:dyDescent="0.35">
      <c r="G6169" s="215">
        <v>6162</v>
      </c>
      <c r="H6169" s="16">
        <f t="shared" ca="1" si="104"/>
        <v>0.20329210390567862</v>
      </c>
    </row>
    <row r="6170" spans="7:8" x14ac:dyDescent="0.35">
      <c r="G6170" s="215">
        <v>6163</v>
      </c>
      <c r="H6170" s="16">
        <f t="shared" ca="1" si="104"/>
        <v>-1.3634754615526656E-2</v>
      </c>
    </row>
    <row r="6171" spans="7:8" x14ac:dyDescent="0.35">
      <c r="G6171" s="215">
        <v>6164</v>
      </c>
      <c r="H6171" s="16">
        <f t="shared" ca="1" si="104"/>
        <v>-0.11261163696223866</v>
      </c>
    </row>
    <row r="6172" spans="7:8" x14ac:dyDescent="0.35">
      <c r="G6172" s="215">
        <v>6165</v>
      </c>
      <c r="H6172" s="16">
        <f t="shared" ca="1" si="104"/>
        <v>-8.6961725768465933E-2</v>
      </c>
    </row>
    <row r="6173" spans="7:8" x14ac:dyDescent="0.35">
      <c r="G6173" s="215">
        <v>6166</v>
      </c>
      <c r="H6173" s="16">
        <f t="shared" ca="1" si="104"/>
        <v>3.2236884255482545E-2</v>
      </c>
    </row>
    <row r="6174" spans="7:8" x14ac:dyDescent="0.35">
      <c r="G6174" s="215">
        <v>6167</v>
      </c>
      <c r="H6174" s="16">
        <f t="shared" ca="1" si="104"/>
        <v>-2.7975805781857963E-2</v>
      </c>
    </row>
    <row r="6175" spans="7:8" x14ac:dyDescent="0.35">
      <c r="G6175" s="215">
        <v>6168</v>
      </c>
      <c r="H6175" s="16">
        <f t="shared" ca="1" si="104"/>
        <v>-5.9796308114738642E-2</v>
      </c>
    </row>
    <row r="6176" spans="7:8" x14ac:dyDescent="0.35">
      <c r="G6176" s="215">
        <v>6169</v>
      </c>
      <c r="H6176" s="16">
        <f t="shared" ca="1" si="104"/>
        <v>-4.74260030642535E-2</v>
      </c>
    </row>
    <row r="6177" spans="7:8" x14ac:dyDescent="0.35">
      <c r="G6177" s="215">
        <v>6170</v>
      </c>
      <c r="H6177" s="16">
        <f t="shared" ca="1" si="104"/>
        <v>2.5919204126188637E-2</v>
      </c>
    </row>
    <row r="6178" spans="7:8" x14ac:dyDescent="0.35">
      <c r="G6178" s="215">
        <v>6171</v>
      </c>
      <c r="H6178" s="16">
        <f t="shared" ca="1" si="104"/>
        <v>6.6088707363395935E-2</v>
      </c>
    </row>
    <row r="6179" spans="7:8" x14ac:dyDescent="0.35">
      <c r="G6179" s="215">
        <v>6172</v>
      </c>
      <c r="H6179" s="16">
        <f t="shared" ca="1" si="104"/>
        <v>9.413156054381569E-2</v>
      </c>
    </row>
    <row r="6180" spans="7:8" x14ac:dyDescent="0.35">
      <c r="G6180" s="215">
        <v>6173</v>
      </c>
      <c r="H6180" s="16">
        <f t="shared" ca="1" si="104"/>
        <v>-1.4697998363101792E-2</v>
      </c>
    </row>
    <row r="6181" spans="7:8" x14ac:dyDescent="0.35">
      <c r="G6181" s="215">
        <v>6174</v>
      </c>
      <c r="H6181" s="16">
        <f t="shared" ca="1" si="104"/>
        <v>-1.85462346188566E-2</v>
      </c>
    </row>
    <row r="6182" spans="7:8" x14ac:dyDescent="0.35">
      <c r="G6182" s="215">
        <v>6175</v>
      </c>
      <c r="H6182" s="16">
        <f t="shared" ca="1" si="104"/>
        <v>0.10554811362518914</v>
      </c>
    </row>
    <row r="6183" spans="7:8" x14ac:dyDescent="0.35">
      <c r="G6183" s="215">
        <v>6176</v>
      </c>
      <c r="H6183" s="16">
        <f t="shared" ca="1" si="104"/>
        <v>5.8431568206019323E-3</v>
      </c>
    </row>
    <row r="6184" spans="7:8" x14ac:dyDescent="0.35">
      <c r="G6184" s="215">
        <v>6177</v>
      </c>
      <c r="H6184" s="16">
        <f t="shared" ca="1" si="104"/>
        <v>9.5315323635603716E-3</v>
      </c>
    </row>
    <row r="6185" spans="7:8" x14ac:dyDescent="0.35">
      <c r="G6185" s="215">
        <v>6178</v>
      </c>
      <c r="H6185" s="16">
        <f t="shared" ca="1" si="104"/>
        <v>3.8698742945608211E-2</v>
      </c>
    </row>
    <row r="6186" spans="7:8" x14ac:dyDescent="0.35">
      <c r="G6186" s="215">
        <v>6179</v>
      </c>
      <c r="H6186" s="16">
        <f t="shared" ca="1" si="104"/>
        <v>3.0801414314087956E-3</v>
      </c>
    </row>
    <row r="6187" spans="7:8" x14ac:dyDescent="0.35">
      <c r="G6187" s="215">
        <v>6180</v>
      </c>
      <c r="H6187" s="16">
        <f t="shared" ca="1" si="104"/>
        <v>0.10423983871227112</v>
      </c>
    </row>
    <row r="6188" spans="7:8" x14ac:dyDescent="0.35">
      <c r="G6188" s="215">
        <v>6181</v>
      </c>
      <c r="H6188" s="16">
        <f t="shared" ca="1" si="104"/>
        <v>5.8536195995313331E-2</v>
      </c>
    </row>
    <row r="6189" spans="7:8" x14ac:dyDescent="0.35">
      <c r="G6189" s="215">
        <v>6182</v>
      </c>
      <c r="H6189" s="16">
        <f t="shared" ca="1" si="104"/>
        <v>0.12491410833100614</v>
      </c>
    </row>
    <row r="6190" spans="7:8" x14ac:dyDescent="0.35">
      <c r="G6190" s="215">
        <v>6183</v>
      </c>
      <c r="H6190" s="16">
        <f t="shared" ca="1" si="104"/>
        <v>-4.6924093877620462E-2</v>
      </c>
    </row>
    <row r="6191" spans="7:8" x14ac:dyDescent="0.35">
      <c r="G6191" s="215">
        <v>6184</v>
      </c>
      <c r="H6191" s="16">
        <f t="shared" ca="1" si="104"/>
        <v>0.16509511604309227</v>
      </c>
    </row>
    <row r="6192" spans="7:8" x14ac:dyDescent="0.35">
      <c r="G6192" s="215">
        <v>6185</v>
      </c>
      <c r="H6192" s="16">
        <f t="shared" ca="1" si="104"/>
        <v>2.3993363482705653E-2</v>
      </c>
    </row>
    <row r="6193" spans="7:8" x14ac:dyDescent="0.35">
      <c r="G6193" s="215">
        <v>6186</v>
      </c>
      <c r="H6193" s="16">
        <f t="shared" ca="1" si="104"/>
        <v>-1.2148198617431421E-2</v>
      </c>
    </row>
    <row r="6194" spans="7:8" x14ac:dyDescent="0.35">
      <c r="G6194" s="215">
        <v>6187</v>
      </c>
      <c r="H6194" s="16">
        <f t="shared" ca="1" si="104"/>
        <v>-3.8018810085372542E-3</v>
      </c>
    </row>
    <row r="6195" spans="7:8" x14ac:dyDescent="0.35">
      <c r="G6195" s="215">
        <v>6188</v>
      </c>
      <c r="H6195" s="16">
        <f t="shared" ca="1" si="104"/>
        <v>8.4107640404132329E-3</v>
      </c>
    </row>
    <row r="6196" spans="7:8" x14ac:dyDescent="0.35">
      <c r="G6196" s="215">
        <v>6189</v>
      </c>
      <c r="H6196" s="16">
        <f t="shared" ca="1" si="104"/>
        <v>0.10294583430952822</v>
      </c>
    </row>
    <row r="6197" spans="7:8" x14ac:dyDescent="0.35">
      <c r="G6197" s="215">
        <v>6190</v>
      </c>
      <c r="H6197" s="16">
        <f t="shared" ca="1" si="104"/>
        <v>-3.2360008760269593E-2</v>
      </c>
    </row>
    <row r="6198" spans="7:8" x14ac:dyDescent="0.35">
      <c r="G6198" s="215">
        <v>6191</v>
      </c>
      <c r="H6198" s="16">
        <f t="shared" ca="1" si="104"/>
        <v>1.5413396281192508E-2</v>
      </c>
    </row>
    <row r="6199" spans="7:8" x14ac:dyDescent="0.35">
      <c r="G6199" s="215">
        <v>6192</v>
      </c>
      <c r="H6199" s="16">
        <f t="shared" ca="1" si="104"/>
        <v>0.11300111473346908</v>
      </c>
    </row>
    <row r="6200" spans="7:8" x14ac:dyDescent="0.35">
      <c r="G6200" s="215">
        <v>6193</v>
      </c>
      <c r="H6200" s="16">
        <f t="shared" ca="1" si="104"/>
        <v>-5.6296369776401345E-2</v>
      </c>
    </row>
    <row r="6201" spans="7:8" x14ac:dyDescent="0.35">
      <c r="G6201" s="215">
        <v>6194</v>
      </c>
      <c r="H6201" s="16">
        <f t="shared" ca="1" si="104"/>
        <v>-8.2671517836669983E-2</v>
      </c>
    </row>
    <row r="6202" spans="7:8" x14ac:dyDescent="0.35">
      <c r="G6202" s="215">
        <v>6195</v>
      </c>
      <c r="H6202" s="16">
        <f t="shared" ca="1" si="104"/>
        <v>0.10276980202056867</v>
      </c>
    </row>
    <row r="6203" spans="7:8" x14ac:dyDescent="0.35">
      <c r="G6203" s="215">
        <v>6196</v>
      </c>
      <c r="H6203" s="16">
        <f t="shared" ca="1" si="104"/>
        <v>7.5830466971954447E-2</v>
      </c>
    </row>
    <row r="6204" spans="7:8" x14ac:dyDescent="0.35">
      <c r="G6204" s="215">
        <v>6197</v>
      </c>
      <c r="H6204" s="16">
        <f t="shared" ca="1" si="104"/>
        <v>4.9676678198986829E-2</v>
      </c>
    </row>
    <row r="6205" spans="7:8" x14ac:dyDescent="0.35">
      <c r="G6205" s="215">
        <v>6198</v>
      </c>
      <c r="H6205" s="16">
        <f t="shared" ca="1" si="104"/>
        <v>5.1571087331806695E-2</v>
      </c>
    </row>
    <row r="6206" spans="7:8" x14ac:dyDescent="0.35">
      <c r="G6206" s="215">
        <v>6199</v>
      </c>
      <c r="H6206" s="16">
        <f t="shared" ca="1" si="104"/>
        <v>-3.5376509828178471E-2</v>
      </c>
    </row>
    <row r="6207" spans="7:8" x14ac:dyDescent="0.35">
      <c r="G6207" s="215">
        <v>6200</v>
      </c>
      <c r="H6207" s="16">
        <f t="shared" ca="1" si="104"/>
        <v>0.11791449180777183</v>
      </c>
    </row>
    <row r="6208" spans="7:8" x14ac:dyDescent="0.35">
      <c r="G6208" s="215">
        <v>6201</v>
      </c>
      <c r="H6208" s="16">
        <f t="shared" ca="1" si="104"/>
        <v>-7.4508530156593908E-3</v>
      </c>
    </row>
    <row r="6209" spans="7:8" x14ac:dyDescent="0.35">
      <c r="G6209" s="215">
        <v>6202</v>
      </c>
      <c r="H6209" s="16">
        <f t="shared" ca="1" si="104"/>
        <v>4.3708053506933603E-2</v>
      </c>
    </row>
    <row r="6210" spans="7:8" x14ac:dyDescent="0.35">
      <c r="G6210" s="215">
        <v>6203</v>
      </c>
      <c r="H6210" s="16">
        <f t="shared" ca="1" si="104"/>
        <v>3.7917315573224919E-2</v>
      </c>
    </row>
    <row r="6211" spans="7:8" x14ac:dyDescent="0.35">
      <c r="G6211" s="215">
        <v>6204</v>
      </c>
      <c r="H6211" s="16">
        <f t="shared" ca="1" si="104"/>
        <v>-8.8030097259398352E-2</v>
      </c>
    </row>
    <row r="6212" spans="7:8" x14ac:dyDescent="0.35">
      <c r="G6212" s="215">
        <v>6205</v>
      </c>
      <c r="H6212" s="16">
        <f t="shared" ca="1" si="104"/>
        <v>-9.6741061606745435E-2</v>
      </c>
    </row>
    <row r="6213" spans="7:8" x14ac:dyDescent="0.35">
      <c r="G6213" s="215">
        <v>6206</v>
      </c>
      <c r="H6213" s="16">
        <f t="shared" ca="1" si="104"/>
        <v>4.7374025455073507E-2</v>
      </c>
    </row>
    <row r="6214" spans="7:8" x14ac:dyDescent="0.35">
      <c r="G6214" s="215">
        <v>6207</v>
      </c>
      <c r="H6214" s="16">
        <f t="shared" ca="1" si="104"/>
        <v>3.5347707321163643E-2</v>
      </c>
    </row>
    <row r="6215" spans="7:8" x14ac:dyDescent="0.35">
      <c r="G6215" s="215">
        <v>6208</v>
      </c>
      <c r="H6215" s="16">
        <f t="shared" ca="1" si="104"/>
        <v>-4.0560616364287871E-2</v>
      </c>
    </row>
    <row r="6216" spans="7:8" x14ac:dyDescent="0.35">
      <c r="G6216" s="215">
        <v>6209</v>
      </c>
      <c r="H6216" s="16">
        <f t="shared" ref="H6216:H6279" ca="1" si="105">_xlfn.NORM.INV(RAND(),M$10,M$11)</f>
        <v>-3.9221080972174985E-2</v>
      </c>
    </row>
    <row r="6217" spans="7:8" x14ac:dyDescent="0.35">
      <c r="G6217" s="215">
        <v>6210</v>
      </c>
      <c r="H6217" s="16">
        <f t="shared" ca="1" si="105"/>
        <v>1.3244742454163783E-2</v>
      </c>
    </row>
    <row r="6218" spans="7:8" x14ac:dyDescent="0.35">
      <c r="G6218" s="215">
        <v>6211</v>
      </c>
      <c r="H6218" s="16">
        <f t="shared" ca="1" si="105"/>
        <v>-0.11513919338669226</v>
      </c>
    </row>
    <row r="6219" spans="7:8" x14ac:dyDescent="0.35">
      <c r="G6219" s="215">
        <v>6212</v>
      </c>
      <c r="H6219" s="16">
        <f t="shared" ca="1" si="105"/>
        <v>6.3408704393447266E-3</v>
      </c>
    </row>
    <row r="6220" spans="7:8" x14ac:dyDescent="0.35">
      <c r="G6220" s="215">
        <v>6213</v>
      </c>
      <c r="H6220" s="16">
        <f t="shared" ca="1" si="105"/>
        <v>3.0575815129349624E-2</v>
      </c>
    </row>
    <row r="6221" spans="7:8" x14ac:dyDescent="0.35">
      <c r="G6221" s="215">
        <v>6214</v>
      </c>
      <c r="H6221" s="16">
        <f t="shared" ca="1" si="105"/>
        <v>-4.8392168480241721E-3</v>
      </c>
    </row>
    <row r="6222" spans="7:8" x14ac:dyDescent="0.35">
      <c r="G6222" s="215">
        <v>6215</v>
      </c>
      <c r="H6222" s="16">
        <f t="shared" ca="1" si="105"/>
        <v>5.4984219328571102E-2</v>
      </c>
    </row>
    <row r="6223" spans="7:8" x14ac:dyDescent="0.35">
      <c r="G6223" s="215">
        <v>6216</v>
      </c>
      <c r="H6223" s="16">
        <f t="shared" ca="1" si="105"/>
        <v>0.12475895980559248</v>
      </c>
    </row>
    <row r="6224" spans="7:8" x14ac:dyDescent="0.35">
      <c r="G6224" s="215">
        <v>6217</v>
      </c>
      <c r="H6224" s="16">
        <f t="shared" ca="1" si="105"/>
        <v>6.7682401998746004E-3</v>
      </c>
    </row>
    <row r="6225" spans="7:8" x14ac:dyDescent="0.35">
      <c r="G6225" s="215">
        <v>6218</v>
      </c>
      <c r="H6225" s="16">
        <f t="shared" ca="1" si="105"/>
        <v>1.1751239479634162E-3</v>
      </c>
    </row>
    <row r="6226" spans="7:8" x14ac:dyDescent="0.35">
      <c r="G6226" s="215">
        <v>6219</v>
      </c>
      <c r="H6226" s="16">
        <f t="shared" ca="1" si="105"/>
        <v>-3.8968807248961762E-4</v>
      </c>
    </row>
    <row r="6227" spans="7:8" x14ac:dyDescent="0.35">
      <c r="G6227" s="215">
        <v>6220</v>
      </c>
      <c r="H6227" s="16">
        <f t="shared" ca="1" si="105"/>
        <v>6.3544873319027806E-2</v>
      </c>
    </row>
    <row r="6228" spans="7:8" x14ac:dyDescent="0.35">
      <c r="G6228" s="215">
        <v>6221</v>
      </c>
      <c r="H6228" s="16">
        <f t="shared" ca="1" si="105"/>
        <v>-6.1891424904027187E-2</v>
      </c>
    </row>
    <row r="6229" spans="7:8" x14ac:dyDescent="0.35">
      <c r="G6229" s="215">
        <v>6222</v>
      </c>
      <c r="H6229" s="16">
        <f t="shared" ca="1" si="105"/>
        <v>7.3909181438625904E-2</v>
      </c>
    </row>
    <row r="6230" spans="7:8" x14ac:dyDescent="0.35">
      <c r="G6230" s="215">
        <v>6223</v>
      </c>
      <c r="H6230" s="16">
        <f t="shared" ca="1" si="105"/>
        <v>4.9303193714975838E-2</v>
      </c>
    </row>
    <row r="6231" spans="7:8" x14ac:dyDescent="0.35">
      <c r="G6231" s="215">
        <v>6224</v>
      </c>
      <c r="H6231" s="16">
        <f t="shared" ca="1" si="105"/>
        <v>-1.8690086178241826E-2</v>
      </c>
    </row>
    <row r="6232" spans="7:8" x14ac:dyDescent="0.35">
      <c r="G6232" s="215">
        <v>6225</v>
      </c>
      <c r="H6232" s="16">
        <f t="shared" ca="1" si="105"/>
        <v>5.2753709051240102E-3</v>
      </c>
    </row>
    <row r="6233" spans="7:8" x14ac:dyDescent="0.35">
      <c r="G6233" s="215">
        <v>6226</v>
      </c>
      <c r="H6233" s="16">
        <f t="shared" ca="1" si="105"/>
        <v>0.14783599562425367</v>
      </c>
    </row>
    <row r="6234" spans="7:8" x14ac:dyDescent="0.35">
      <c r="G6234" s="215">
        <v>6227</v>
      </c>
      <c r="H6234" s="16">
        <f t="shared" ca="1" si="105"/>
        <v>0.10183155830711142</v>
      </c>
    </row>
    <row r="6235" spans="7:8" x14ac:dyDescent="0.35">
      <c r="G6235" s="215">
        <v>6228</v>
      </c>
      <c r="H6235" s="16">
        <f t="shared" ca="1" si="105"/>
        <v>-8.9026653750287649E-2</v>
      </c>
    </row>
    <row r="6236" spans="7:8" x14ac:dyDescent="0.35">
      <c r="G6236" s="215">
        <v>6229</v>
      </c>
      <c r="H6236" s="16">
        <f t="shared" ca="1" si="105"/>
        <v>-2.9743751842506338E-2</v>
      </c>
    </row>
    <row r="6237" spans="7:8" x14ac:dyDescent="0.35">
      <c r="G6237" s="215">
        <v>6230</v>
      </c>
      <c r="H6237" s="16">
        <f t="shared" ca="1" si="105"/>
        <v>3.7323596031729057E-2</v>
      </c>
    </row>
    <row r="6238" spans="7:8" x14ac:dyDescent="0.35">
      <c r="G6238" s="215">
        <v>6231</v>
      </c>
      <c r="H6238" s="16">
        <f t="shared" ca="1" si="105"/>
        <v>-6.4015648190656735E-2</v>
      </c>
    </row>
    <row r="6239" spans="7:8" x14ac:dyDescent="0.35">
      <c r="G6239" s="215">
        <v>6232</v>
      </c>
      <c r="H6239" s="16">
        <f t="shared" ca="1" si="105"/>
        <v>1.5851768163839038E-2</v>
      </c>
    </row>
    <row r="6240" spans="7:8" x14ac:dyDescent="0.35">
      <c r="G6240" s="215">
        <v>6233</v>
      </c>
      <c r="H6240" s="16">
        <f t="shared" ca="1" si="105"/>
        <v>-0.10326280382732669</v>
      </c>
    </row>
    <row r="6241" spans="7:8" x14ac:dyDescent="0.35">
      <c r="G6241" s="215">
        <v>6234</v>
      </c>
      <c r="H6241" s="16">
        <f t="shared" ca="1" si="105"/>
        <v>4.4434867012223114E-2</v>
      </c>
    </row>
    <row r="6242" spans="7:8" x14ac:dyDescent="0.35">
      <c r="G6242" s="215">
        <v>6235</v>
      </c>
      <c r="H6242" s="16">
        <f t="shared" ca="1" si="105"/>
        <v>-7.6787638824717452E-2</v>
      </c>
    </row>
    <row r="6243" spans="7:8" x14ac:dyDescent="0.35">
      <c r="G6243" s="215">
        <v>6236</v>
      </c>
      <c r="H6243" s="16">
        <f t="shared" ca="1" si="105"/>
        <v>9.544400902390289E-2</v>
      </c>
    </row>
    <row r="6244" spans="7:8" x14ac:dyDescent="0.35">
      <c r="G6244" s="215">
        <v>6237</v>
      </c>
      <c r="H6244" s="16">
        <f t="shared" ca="1" si="105"/>
        <v>8.7213351835200639E-2</v>
      </c>
    </row>
    <row r="6245" spans="7:8" x14ac:dyDescent="0.35">
      <c r="G6245" s="215">
        <v>6238</v>
      </c>
      <c r="H6245" s="16">
        <f t="shared" ca="1" si="105"/>
        <v>7.0228772750437735E-2</v>
      </c>
    </row>
    <row r="6246" spans="7:8" x14ac:dyDescent="0.35">
      <c r="G6246" s="215">
        <v>6239</v>
      </c>
      <c r="H6246" s="16">
        <f t="shared" ca="1" si="105"/>
        <v>-0.10628575062770398</v>
      </c>
    </row>
    <row r="6247" spans="7:8" x14ac:dyDescent="0.35">
      <c r="G6247" s="215">
        <v>6240</v>
      </c>
      <c r="H6247" s="16">
        <f t="shared" ca="1" si="105"/>
        <v>4.8553155716907062E-2</v>
      </c>
    </row>
    <row r="6248" spans="7:8" x14ac:dyDescent="0.35">
      <c r="G6248" s="215">
        <v>6241</v>
      </c>
      <c r="H6248" s="16">
        <f t="shared" ca="1" si="105"/>
        <v>-0.19544505307346607</v>
      </c>
    </row>
    <row r="6249" spans="7:8" x14ac:dyDescent="0.35">
      <c r="G6249" s="215">
        <v>6242</v>
      </c>
      <c r="H6249" s="16">
        <f t="shared" ca="1" si="105"/>
        <v>9.2760331001216015E-2</v>
      </c>
    </row>
    <row r="6250" spans="7:8" x14ac:dyDescent="0.35">
      <c r="G6250" s="215">
        <v>6243</v>
      </c>
      <c r="H6250" s="16">
        <f t="shared" ca="1" si="105"/>
        <v>-1.038687617608175E-2</v>
      </c>
    </row>
    <row r="6251" spans="7:8" x14ac:dyDescent="0.35">
      <c r="G6251" s="215">
        <v>6244</v>
      </c>
      <c r="H6251" s="16">
        <f t="shared" ca="1" si="105"/>
        <v>-2.7511521185089673E-2</v>
      </c>
    </row>
    <row r="6252" spans="7:8" x14ac:dyDescent="0.35">
      <c r="G6252" s="215">
        <v>6245</v>
      </c>
      <c r="H6252" s="16">
        <f t="shared" ca="1" si="105"/>
        <v>1.0131618804611118E-2</v>
      </c>
    </row>
    <row r="6253" spans="7:8" x14ac:dyDescent="0.35">
      <c r="G6253" s="215">
        <v>6246</v>
      </c>
      <c r="H6253" s="16">
        <f t="shared" ca="1" si="105"/>
        <v>-6.9578189126982652E-4</v>
      </c>
    </row>
    <row r="6254" spans="7:8" x14ac:dyDescent="0.35">
      <c r="G6254" s="215">
        <v>6247</v>
      </c>
      <c r="H6254" s="16">
        <f t="shared" ca="1" si="105"/>
        <v>1.6903561965979537E-2</v>
      </c>
    </row>
    <row r="6255" spans="7:8" x14ac:dyDescent="0.35">
      <c r="G6255" s="215">
        <v>6248</v>
      </c>
      <c r="H6255" s="16">
        <f t="shared" ca="1" si="105"/>
        <v>7.3254192157314518E-2</v>
      </c>
    </row>
    <row r="6256" spans="7:8" x14ac:dyDescent="0.35">
      <c r="G6256" s="215">
        <v>6249</v>
      </c>
      <c r="H6256" s="16">
        <f t="shared" ca="1" si="105"/>
        <v>6.0995120725337318E-2</v>
      </c>
    </row>
    <row r="6257" spans="7:8" x14ac:dyDescent="0.35">
      <c r="G6257" s="215">
        <v>6250</v>
      </c>
      <c r="H6257" s="16">
        <f t="shared" ca="1" si="105"/>
        <v>2.1947810984791295E-2</v>
      </c>
    </row>
    <row r="6258" spans="7:8" x14ac:dyDescent="0.35">
      <c r="G6258" s="215">
        <v>6251</v>
      </c>
      <c r="H6258" s="16">
        <f t="shared" ca="1" si="105"/>
        <v>-1.6060245789434588E-2</v>
      </c>
    </row>
    <row r="6259" spans="7:8" x14ac:dyDescent="0.35">
      <c r="G6259" s="215">
        <v>6252</v>
      </c>
      <c r="H6259" s="16">
        <f t="shared" ca="1" si="105"/>
        <v>2.4199844214758508E-2</v>
      </c>
    </row>
    <row r="6260" spans="7:8" x14ac:dyDescent="0.35">
      <c r="G6260" s="215">
        <v>6253</v>
      </c>
      <c r="H6260" s="16">
        <f t="shared" ca="1" si="105"/>
        <v>9.1720966715227489E-2</v>
      </c>
    </row>
    <row r="6261" spans="7:8" x14ac:dyDescent="0.35">
      <c r="G6261" s="215">
        <v>6254</v>
      </c>
      <c r="H6261" s="16">
        <f t="shared" ca="1" si="105"/>
        <v>0.10746313947937272</v>
      </c>
    </row>
    <row r="6262" spans="7:8" x14ac:dyDescent="0.35">
      <c r="G6262" s="215">
        <v>6255</v>
      </c>
      <c r="H6262" s="16">
        <f t="shared" ca="1" si="105"/>
        <v>4.6224922629497497E-2</v>
      </c>
    </row>
    <row r="6263" spans="7:8" x14ac:dyDescent="0.35">
      <c r="G6263" s="215">
        <v>6256</v>
      </c>
      <c r="H6263" s="16">
        <f t="shared" ca="1" si="105"/>
        <v>1.1393499839207104E-2</v>
      </c>
    </row>
    <row r="6264" spans="7:8" x14ac:dyDescent="0.35">
      <c r="G6264" s="215">
        <v>6257</v>
      </c>
      <c r="H6264" s="16">
        <f t="shared" ca="1" si="105"/>
        <v>0.10134487348096173</v>
      </c>
    </row>
    <row r="6265" spans="7:8" x14ac:dyDescent="0.35">
      <c r="G6265" s="215">
        <v>6258</v>
      </c>
      <c r="H6265" s="16">
        <f t="shared" ca="1" si="105"/>
        <v>-1.4851643261884748E-2</v>
      </c>
    </row>
    <row r="6266" spans="7:8" x14ac:dyDescent="0.35">
      <c r="G6266" s="215">
        <v>6259</v>
      </c>
      <c r="H6266" s="16">
        <f t="shared" ca="1" si="105"/>
        <v>2.6059523613102438E-2</v>
      </c>
    </row>
    <row r="6267" spans="7:8" x14ac:dyDescent="0.35">
      <c r="G6267" s="215">
        <v>6260</v>
      </c>
      <c r="H6267" s="16">
        <f t="shared" ca="1" si="105"/>
        <v>-0.23411173278312578</v>
      </c>
    </row>
    <row r="6268" spans="7:8" x14ac:dyDescent="0.35">
      <c r="G6268" s="215">
        <v>6261</v>
      </c>
      <c r="H6268" s="16">
        <f t="shared" ca="1" si="105"/>
        <v>0.22792080075759849</v>
      </c>
    </row>
    <row r="6269" spans="7:8" x14ac:dyDescent="0.35">
      <c r="G6269" s="215">
        <v>6262</v>
      </c>
      <c r="H6269" s="16">
        <f t="shared" ca="1" si="105"/>
        <v>-2.7562266785394345E-2</v>
      </c>
    </row>
    <row r="6270" spans="7:8" x14ac:dyDescent="0.35">
      <c r="G6270" s="215">
        <v>6263</v>
      </c>
      <c r="H6270" s="16">
        <f t="shared" ca="1" si="105"/>
        <v>-4.9782576173508786E-3</v>
      </c>
    </row>
    <row r="6271" spans="7:8" x14ac:dyDescent="0.35">
      <c r="G6271" s="215">
        <v>6264</v>
      </c>
      <c r="H6271" s="16">
        <f t="shared" ca="1" si="105"/>
        <v>3.4020070281853651E-2</v>
      </c>
    </row>
    <row r="6272" spans="7:8" x14ac:dyDescent="0.35">
      <c r="G6272" s="215">
        <v>6265</v>
      </c>
      <c r="H6272" s="16">
        <f t="shared" ca="1" si="105"/>
        <v>4.1525068215199894E-3</v>
      </c>
    </row>
    <row r="6273" spans="7:8" x14ac:dyDescent="0.35">
      <c r="G6273" s="215">
        <v>6266</v>
      </c>
      <c r="H6273" s="16">
        <f t="shared" ca="1" si="105"/>
        <v>2.1486445054079827E-2</v>
      </c>
    </row>
    <row r="6274" spans="7:8" x14ac:dyDescent="0.35">
      <c r="G6274" s="215">
        <v>6267</v>
      </c>
      <c r="H6274" s="16">
        <f t="shared" ca="1" si="105"/>
        <v>1.1953493370041899E-2</v>
      </c>
    </row>
    <row r="6275" spans="7:8" x14ac:dyDescent="0.35">
      <c r="G6275" s="215">
        <v>6268</v>
      </c>
      <c r="H6275" s="16">
        <f t="shared" ca="1" si="105"/>
        <v>-2.2340870257947437E-2</v>
      </c>
    </row>
    <row r="6276" spans="7:8" x14ac:dyDescent="0.35">
      <c r="G6276" s="215">
        <v>6269</v>
      </c>
      <c r="H6276" s="16">
        <f t="shared" ca="1" si="105"/>
        <v>4.3732913693601383E-2</v>
      </c>
    </row>
    <row r="6277" spans="7:8" x14ac:dyDescent="0.35">
      <c r="G6277" s="215">
        <v>6270</v>
      </c>
      <c r="H6277" s="16">
        <f t="shared" ca="1" si="105"/>
        <v>-3.7752166842716262E-2</v>
      </c>
    </row>
    <row r="6278" spans="7:8" x14ac:dyDescent="0.35">
      <c r="G6278" s="215">
        <v>6271</v>
      </c>
      <c r="H6278" s="16">
        <f t="shared" ca="1" si="105"/>
        <v>0.15168132334776271</v>
      </c>
    </row>
    <row r="6279" spans="7:8" x14ac:dyDescent="0.35">
      <c r="G6279" s="215">
        <v>6272</v>
      </c>
      <c r="H6279" s="16">
        <f t="shared" ca="1" si="105"/>
        <v>4.9521181492682628E-2</v>
      </c>
    </row>
    <row r="6280" spans="7:8" x14ac:dyDescent="0.35">
      <c r="G6280" s="215">
        <v>6273</v>
      </c>
      <c r="H6280" s="16">
        <f t="shared" ref="H6280:H6343" ca="1" si="106">_xlfn.NORM.INV(RAND(),M$10,M$11)</f>
        <v>3.7534165846796128E-3</v>
      </c>
    </row>
    <row r="6281" spans="7:8" x14ac:dyDescent="0.35">
      <c r="G6281" s="215">
        <v>6274</v>
      </c>
      <c r="H6281" s="16">
        <f t="shared" ca="1" si="106"/>
        <v>3.0237968667100268E-2</v>
      </c>
    </row>
    <row r="6282" spans="7:8" x14ac:dyDescent="0.35">
      <c r="G6282" s="215">
        <v>6275</v>
      </c>
      <c r="H6282" s="16">
        <f t="shared" ca="1" si="106"/>
        <v>-3.5125037978057369E-2</v>
      </c>
    </row>
    <row r="6283" spans="7:8" x14ac:dyDescent="0.35">
      <c r="G6283" s="215">
        <v>6276</v>
      </c>
      <c r="H6283" s="16">
        <f t="shared" ca="1" si="106"/>
        <v>1.4830993493439927E-2</v>
      </c>
    </row>
    <row r="6284" spans="7:8" x14ac:dyDescent="0.35">
      <c r="G6284" s="215">
        <v>6277</v>
      </c>
      <c r="H6284" s="16">
        <f t="shared" ca="1" si="106"/>
        <v>-7.8181622131565362E-2</v>
      </c>
    </row>
    <row r="6285" spans="7:8" x14ac:dyDescent="0.35">
      <c r="G6285" s="215">
        <v>6278</v>
      </c>
      <c r="H6285" s="16">
        <f t="shared" ca="1" si="106"/>
        <v>6.1205375059781089E-2</v>
      </c>
    </row>
    <row r="6286" spans="7:8" x14ac:dyDescent="0.35">
      <c r="G6286" s="215">
        <v>6279</v>
      </c>
      <c r="H6286" s="16">
        <f t="shared" ca="1" si="106"/>
        <v>-7.2006454450486188E-2</v>
      </c>
    </row>
    <row r="6287" spans="7:8" x14ac:dyDescent="0.35">
      <c r="G6287" s="215">
        <v>6280</v>
      </c>
      <c r="H6287" s="16">
        <f t="shared" ca="1" si="106"/>
        <v>-3.6140422723404134E-2</v>
      </c>
    </row>
    <row r="6288" spans="7:8" x14ac:dyDescent="0.35">
      <c r="G6288" s="215">
        <v>6281</v>
      </c>
      <c r="H6288" s="16">
        <f t="shared" ca="1" si="106"/>
        <v>4.8441015090086761E-2</v>
      </c>
    </row>
    <row r="6289" spans="7:8" x14ac:dyDescent="0.35">
      <c r="G6289" s="215">
        <v>6282</v>
      </c>
      <c r="H6289" s="16">
        <f t="shared" ca="1" si="106"/>
        <v>3.4540820896694829E-2</v>
      </c>
    </row>
    <row r="6290" spans="7:8" x14ac:dyDescent="0.35">
      <c r="G6290" s="215">
        <v>6283</v>
      </c>
      <c r="H6290" s="16">
        <f t="shared" ca="1" si="106"/>
        <v>3.898972326404921E-3</v>
      </c>
    </row>
    <row r="6291" spans="7:8" x14ac:dyDescent="0.35">
      <c r="G6291" s="215">
        <v>6284</v>
      </c>
      <c r="H6291" s="16">
        <f t="shared" ca="1" si="106"/>
        <v>-3.8200259163354872E-2</v>
      </c>
    </row>
    <row r="6292" spans="7:8" x14ac:dyDescent="0.35">
      <c r="G6292" s="215">
        <v>6285</v>
      </c>
      <c r="H6292" s="16">
        <f t="shared" ca="1" si="106"/>
        <v>1.7915762647822367E-2</v>
      </c>
    </row>
    <row r="6293" spans="7:8" x14ac:dyDescent="0.35">
      <c r="G6293" s="215">
        <v>6286</v>
      </c>
      <c r="H6293" s="16">
        <f t="shared" ca="1" si="106"/>
        <v>-7.3650870306946233E-3</v>
      </c>
    </row>
    <row r="6294" spans="7:8" x14ac:dyDescent="0.35">
      <c r="G6294" s="215">
        <v>6287</v>
      </c>
      <c r="H6294" s="16">
        <f t="shared" ca="1" si="106"/>
        <v>-7.5018864770151253E-2</v>
      </c>
    </row>
    <row r="6295" spans="7:8" x14ac:dyDescent="0.35">
      <c r="G6295" s="215">
        <v>6288</v>
      </c>
      <c r="H6295" s="16">
        <f t="shared" ca="1" si="106"/>
        <v>3.0853181814313707E-2</v>
      </c>
    </row>
    <row r="6296" spans="7:8" x14ac:dyDescent="0.35">
      <c r="G6296" s="215">
        <v>6289</v>
      </c>
      <c r="H6296" s="16">
        <f t="shared" ca="1" si="106"/>
        <v>4.4901101387631925E-2</v>
      </c>
    </row>
    <row r="6297" spans="7:8" x14ac:dyDescent="0.35">
      <c r="G6297" s="215">
        <v>6290</v>
      </c>
      <c r="H6297" s="16">
        <f t="shared" ca="1" si="106"/>
        <v>5.2864569700746711E-2</v>
      </c>
    </row>
    <row r="6298" spans="7:8" x14ac:dyDescent="0.35">
      <c r="G6298" s="215">
        <v>6291</v>
      </c>
      <c r="H6298" s="16">
        <f t="shared" ca="1" si="106"/>
        <v>-2.8457675403952592E-2</v>
      </c>
    </row>
    <row r="6299" spans="7:8" x14ac:dyDescent="0.35">
      <c r="G6299" s="215">
        <v>6292</v>
      </c>
      <c r="H6299" s="16">
        <f t="shared" ca="1" si="106"/>
        <v>5.5629651129433466E-2</v>
      </c>
    </row>
    <row r="6300" spans="7:8" x14ac:dyDescent="0.35">
      <c r="G6300" s="215">
        <v>6293</v>
      </c>
      <c r="H6300" s="16">
        <f t="shared" ca="1" si="106"/>
        <v>-7.1460544260976741E-2</v>
      </c>
    </row>
    <row r="6301" spans="7:8" x14ac:dyDescent="0.35">
      <c r="G6301" s="215">
        <v>6294</v>
      </c>
      <c r="H6301" s="16">
        <f t="shared" ca="1" si="106"/>
        <v>-4.1346305182804202E-2</v>
      </c>
    </row>
    <row r="6302" spans="7:8" x14ac:dyDescent="0.35">
      <c r="G6302" s="215">
        <v>6295</v>
      </c>
      <c r="H6302" s="16">
        <f t="shared" ca="1" si="106"/>
        <v>4.0423410880278419E-2</v>
      </c>
    </row>
    <row r="6303" spans="7:8" x14ac:dyDescent="0.35">
      <c r="G6303" s="215">
        <v>6296</v>
      </c>
      <c r="H6303" s="16">
        <f t="shared" ca="1" si="106"/>
        <v>3.9455464294486098E-3</v>
      </c>
    </row>
    <row r="6304" spans="7:8" x14ac:dyDescent="0.35">
      <c r="G6304" s="215">
        <v>6297</v>
      </c>
      <c r="H6304" s="16">
        <f t="shared" ca="1" si="106"/>
        <v>9.402486691064621E-2</v>
      </c>
    </row>
    <row r="6305" spans="7:8" x14ac:dyDescent="0.35">
      <c r="G6305" s="215">
        <v>6298</v>
      </c>
      <c r="H6305" s="16">
        <f t="shared" ca="1" si="106"/>
        <v>7.8857257732048339E-2</v>
      </c>
    </row>
    <row r="6306" spans="7:8" x14ac:dyDescent="0.35">
      <c r="G6306" s="215">
        <v>6299</v>
      </c>
      <c r="H6306" s="16">
        <f t="shared" ca="1" si="106"/>
        <v>-2.8235439989302603E-2</v>
      </c>
    </row>
    <row r="6307" spans="7:8" x14ac:dyDescent="0.35">
      <c r="G6307" s="215">
        <v>6300</v>
      </c>
      <c r="H6307" s="16">
        <f t="shared" ca="1" si="106"/>
        <v>1.9574345957966352E-3</v>
      </c>
    </row>
    <row r="6308" spans="7:8" x14ac:dyDescent="0.35">
      <c r="G6308" s="215">
        <v>6301</v>
      </c>
      <c r="H6308" s="16">
        <f t="shared" ca="1" si="106"/>
        <v>5.5185669727456671E-2</v>
      </c>
    </row>
    <row r="6309" spans="7:8" x14ac:dyDescent="0.35">
      <c r="G6309" s="215">
        <v>6302</v>
      </c>
      <c r="H6309" s="16">
        <f t="shared" ca="1" si="106"/>
        <v>-8.385865282612967E-2</v>
      </c>
    </row>
    <row r="6310" spans="7:8" x14ac:dyDescent="0.35">
      <c r="G6310" s="215">
        <v>6303</v>
      </c>
      <c r="H6310" s="16">
        <f t="shared" ca="1" si="106"/>
        <v>1.9297731770810674E-2</v>
      </c>
    </row>
    <row r="6311" spans="7:8" x14ac:dyDescent="0.35">
      <c r="G6311" s="215">
        <v>6304</v>
      </c>
      <c r="H6311" s="16">
        <f t="shared" ca="1" si="106"/>
        <v>4.2213399401142812E-2</v>
      </c>
    </row>
    <row r="6312" spans="7:8" x14ac:dyDescent="0.35">
      <c r="G6312" s="215">
        <v>6305</v>
      </c>
      <c r="H6312" s="16">
        <f t="shared" ca="1" si="106"/>
        <v>4.6712247079935112E-2</v>
      </c>
    </row>
    <row r="6313" spans="7:8" x14ac:dyDescent="0.35">
      <c r="G6313" s="215">
        <v>6306</v>
      </c>
      <c r="H6313" s="16">
        <f t="shared" ca="1" si="106"/>
        <v>-4.2751515960921145E-3</v>
      </c>
    </row>
    <row r="6314" spans="7:8" x14ac:dyDescent="0.35">
      <c r="G6314" s="215">
        <v>6307</v>
      </c>
      <c r="H6314" s="16">
        <f t="shared" ca="1" si="106"/>
        <v>0.13661280200453707</v>
      </c>
    </row>
    <row r="6315" spans="7:8" x14ac:dyDescent="0.35">
      <c r="G6315" s="215">
        <v>6308</v>
      </c>
      <c r="H6315" s="16">
        <f t="shared" ca="1" si="106"/>
        <v>-1.3859157504990532E-3</v>
      </c>
    </row>
    <row r="6316" spans="7:8" x14ac:dyDescent="0.35">
      <c r="G6316" s="215">
        <v>6309</v>
      </c>
      <c r="H6316" s="16">
        <f t="shared" ca="1" si="106"/>
        <v>-1.5217244862320709E-2</v>
      </c>
    </row>
    <row r="6317" spans="7:8" x14ac:dyDescent="0.35">
      <c r="G6317" s="215">
        <v>6310</v>
      </c>
      <c r="H6317" s="16">
        <f t="shared" ca="1" si="106"/>
        <v>2.9530254878278078E-2</v>
      </c>
    </row>
    <row r="6318" spans="7:8" x14ac:dyDescent="0.35">
      <c r="G6318" s="215">
        <v>6311</v>
      </c>
      <c r="H6318" s="16">
        <f t="shared" ca="1" si="106"/>
        <v>-4.2579638917502605E-2</v>
      </c>
    </row>
    <row r="6319" spans="7:8" x14ac:dyDescent="0.35">
      <c r="G6319" s="215">
        <v>6312</v>
      </c>
      <c r="H6319" s="16">
        <f t="shared" ca="1" si="106"/>
        <v>3.2045552189829629E-2</v>
      </c>
    </row>
    <row r="6320" spans="7:8" x14ac:dyDescent="0.35">
      <c r="G6320" s="215">
        <v>6313</v>
      </c>
      <c r="H6320" s="16">
        <f t="shared" ca="1" si="106"/>
        <v>-9.3686926186735048E-2</v>
      </c>
    </row>
    <row r="6321" spans="7:8" x14ac:dyDescent="0.35">
      <c r="G6321" s="215">
        <v>6314</v>
      </c>
      <c r="H6321" s="16">
        <f t="shared" ca="1" si="106"/>
        <v>4.8464514525388733E-2</v>
      </c>
    </row>
    <row r="6322" spans="7:8" x14ac:dyDescent="0.35">
      <c r="G6322" s="215">
        <v>6315</v>
      </c>
      <c r="H6322" s="16">
        <f t="shared" ca="1" si="106"/>
        <v>-3.2918629083431239E-2</v>
      </c>
    </row>
    <row r="6323" spans="7:8" x14ac:dyDescent="0.35">
      <c r="G6323" s="215">
        <v>6316</v>
      </c>
      <c r="H6323" s="16">
        <f t="shared" ca="1" si="106"/>
        <v>5.1969026478308256E-2</v>
      </c>
    </row>
    <row r="6324" spans="7:8" x14ac:dyDescent="0.35">
      <c r="G6324" s="215">
        <v>6317</v>
      </c>
      <c r="H6324" s="16">
        <f t="shared" ca="1" si="106"/>
        <v>-2.5211014708937416E-2</v>
      </c>
    </row>
    <row r="6325" spans="7:8" x14ac:dyDescent="0.35">
      <c r="G6325" s="215">
        <v>6318</v>
      </c>
      <c r="H6325" s="16">
        <f t="shared" ca="1" si="106"/>
        <v>-0.11954856416616189</v>
      </c>
    </row>
    <row r="6326" spans="7:8" x14ac:dyDescent="0.35">
      <c r="G6326" s="215">
        <v>6319</v>
      </c>
      <c r="H6326" s="16">
        <f t="shared" ca="1" si="106"/>
        <v>8.5463579891405489E-2</v>
      </c>
    </row>
    <row r="6327" spans="7:8" x14ac:dyDescent="0.35">
      <c r="G6327" s="215">
        <v>6320</v>
      </c>
      <c r="H6327" s="16">
        <f t="shared" ca="1" si="106"/>
        <v>-8.1740843045878822E-2</v>
      </c>
    </row>
    <row r="6328" spans="7:8" x14ac:dyDescent="0.35">
      <c r="G6328" s="215">
        <v>6321</v>
      </c>
      <c r="H6328" s="16">
        <f t="shared" ca="1" si="106"/>
        <v>3.0254323182472644E-2</v>
      </c>
    </row>
    <row r="6329" spans="7:8" x14ac:dyDescent="0.35">
      <c r="G6329" s="215">
        <v>6322</v>
      </c>
      <c r="H6329" s="16">
        <f t="shared" ca="1" si="106"/>
        <v>5.1554704998124118E-2</v>
      </c>
    </row>
    <row r="6330" spans="7:8" x14ac:dyDescent="0.35">
      <c r="G6330" s="215">
        <v>6323</v>
      </c>
      <c r="H6330" s="16">
        <f t="shared" ca="1" si="106"/>
        <v>-1.0173201592167471E-2</v>
      </c>
    </row>
    <row r="6331" spans="7:8" x14ac:dyDescent="0.35">
      <c r="G6331" s="215">
        <v>6324</v>
      </c>
      <c r="H6331" s="16">
        <f t="shared" ca="1" si="106"/>
        <v>8.452965953458666E-3</v>
      </c>
    </row>
    <row r="6332" spans="7:8" x14ac:dyDescent="0.35">
      <c r="G6332" s="215">
        <v>6325</v>
      </c>
      <c r="H6332" s="16">
        <f t="shared" ca="1" si="106"/>
        <v>-6.1562841026850848E-2</v>
      </c>
    </row>
    <row r="6333" spans="7:8" x14ac:dyDescent="0.35">
      <c r="G6333" s="215">
        <v>6326</v>
      </c>
      <c r="H6333" s="16">
        <f t="shared" ca="1" si="106"/>
        <v>3.8933876512289037E-2</v>
      </c>
    </row>
    <row r="6334" spans="7:8" x14ac:dyDescent="0.35">
      <c r="G6334" s="215">
        <v>6327</v>
      </c>
      <c r="H6334" s="16">
        <f t="shared" ca="1" si="106"/>
        <v>-1.1696067763910294E-2</v>
      </c>
    </row>
    <row r="6335" spans="7:8" x14ac:dyDescent="0.35">
      <c r="G6335" s="215">
        <v>6328</v>
      </c>
      <c r="H6335" s="16">
        <f t="shared" ca="1" si="106"/>
        <v>3.9100145189164368E-2</v>
      </c>
    </row>
    <row r="6336" spans="7:8" x14ac:dyDescent="0.35">
      <c r="G6336" s="215">
        <v>6329</v>
      </c>
      <c r="H6336" s="16">
        <f t="shared" ca="1" si="106"/>
        <v>0.12234524499866146</v>
      </c>
    </row>
    <row r="6337" spans="7:8" x14ac:dyDescent="0.35">
      <c r="G6337" s="215">
        <v>6330</v>
      </c>
      <c r="H6337" s="16">
        <f t="shared" ca="1" si="106"/>
        <v>-1.9409744647707197E-2</v>
      </c>
    </row>
    <row r="6338" spans="7:8" x14ac:dyDescent="0.35">
      <c r="G6338" s="215">
        <v>6331</v>
      </c>
      <c r="H6338" s="16">
        <f t="shared" ca="1" si="106"/>
        <v>-5.0499705435662304E-2</v>
      </c>
    </row>
    <row r="6339" spans="7:8" x14ac:dyDescent="0.35">
      <c r="G6339" s="215">
        <v>6332</v>
      </c>
      <c r="H6339" s="16">
        <f t="shared" ca="1" si="106"/>
        <v>-3.4855538361519806E-2</v>
      </c>
    </row>
    <row r="6340" spans="7:8" x14ac:dyDescent="0.35">
      <c r="G6340" s="215">
        <v>6333</v>
      </c>
      <c r="H6340" s="16">
        <f t="shared" ca="1" si="106"/>
        <v>9.8787747872909976E-2</v>
      </c>
    </row>
    <row r="6341" spans="7:8" x14ac:dyDescent="0.35">
      <c r="G6341" s="215">
        <v>6334</v>
      </c>
      <c r="H6341" s="16">
        <f t="shared" ca="1" si="106"/>
        <v>4.0554499297387345E-2</v>
      </c>
    </row>
    <row r="6342" spans="7:8" x14ac:dyDescent="0.35">
      <c r="G6342" s="215">
        <v>6335</v>
      </c>
      <c r="H6342" s="16">
        <f t="shared" ca="1" si="106"/>
        <v>6.7649298773534122E-2</v>
      </c>
    </row>
    <row r="6343" spans="7:8" x14ac:dyDescent="0.35">
      <c r="G6343" s="215">
        <v>6336</v>
      </c>
      <c r="H6343" s="16">
        <f t="shared" ca="1" si="106"/>
        <v>7.8520431453832265E-2</v>
      </c>
    </row>
    <row r="6344" spans="7:8" x14ac:dyDescent="0.35">
      <c r="G6344" s="215">
        <v>6337</v>
      </c>
      <c r="H6344" s="16">
        <f t="shared" ref="H6344:H6407" ca="1" si="107">_xlfn.NORM.INV(RAND(),M$10,M$11)</f>
        <v>1.9870875724993506E-2</v>
      </c>
    </row>
    <row r="6345" spans="7:8" x14ac:dyDescent="0.35">
      <c r="G6345" s="215">
        <v>6338</v>
      </c>
      <c r="H6345" s="16">
        <f t="shared" ca="1" si="107"/>
        <v>4.6139736744368366E-4</v>
      </c>
    </row>
    <row r="6346" spans="7:8" x14ac:dyDescent="0.35">
      <c r="G6346" s="215">
        <v>6339</v>
      </c>
      <c r="H6346" s="16">
        <f t="shared" ca="1" si="107"/>
        <v>-8.2367581019292813E-2</v>
      </c>
    </row>
    <row r="6347" spans="7:8" x14ac:dyDescent="0.35">
      <c r="G6347" s="215">
        <v>6340</v>
      </c>
      <c r="H6347" s="16">
        <f t="shared" ca="1" si="107"/>
        <v>-5.7024453923536306E-2</v>
      </c>
    </row>
    <row r="6348" spans="7:8" x14ac:dyDescent="0.35">
      <c r="G6348" s="215">
        <v>6341</v>
      </c>
      <c r="H6348" s="16">
        <f t="shared" ca="1" si="107"/>
        <v>-2.3974282278668647E-2</v>
      </c>
    </row>
    <row r="6349" spans="7:8" x14ac:dyDescent="0.35">
      <c r="G6349" s="215">
        <v>6342</v>
      </c>
      <c r="H6349" s="16">
        <f t="shared" ca="1" si="107"/>
        <v>-6.9138043299838886E-2</v>
      </c>
    </row>
    <row r="6350" spans="7:8" x14ac:dyDescent="0.35">
      <c r="G6350" s="215">
        <v>6343</v>
      </c>
      <c r="H6350" s="16">
        <f t="shared" ca="1" si="107"/>
        <v>-4.9683906326658846E-3</v>
      </c>
    </row>
    <row r="6351" spans="7:8" x14ac:dyDescent="0.35">
      <c r="G6351" s="215">
        <v>6344</v>
      </c>
      <c r="H6351" s="16">
        <f t="shared" ca="1" si="107"/>
        <v>9.765730039483321E-2</v>
      </c>
    </row>
    <row r="6352" spans="7:8" x14ac:dyDescent="0.35">
      <c r="G6352" s="215">
        <v>6345</v>
      </c>
      <c r="H6352" s="16">
        <f t="shared" ca="1" si="107"/>
        <v>6.0653256199618116E-2</v>
      </c>
    </row>
    <row r="6353" spans="7:8" x14ac:dyDescent="0.35">
      <c r="G6353" s="215">
        <v>6346</v>
      </c>
      <c r="H6353" s="16">
        <f t="shared" ca="1" si="107"/>
        <v>-5.4933015482683034E-2</v>
      </c>
    </row>
    <row r="6354" spans="7:8" x14ac:dyDescent="0.35">
      <c r="G6354" s="215">
        <v>6347</v>
      </c>
      <c r="H6354" s="16">
        <f t="shared" ca="1" si="107"/>
        <v>7.7858832124365521E-2</v>
      </c>
    </row>
    <row r="6355" spans="7:8" x14ac:dyDescent="0.35">
      <c r="G6355" s="215">
        <v>6348</v>
      </c>
      <c r="H6355" s="16">
        <f t="shared" ca="1" si="107"/>
        <v>-0.12505189355101673</v>
      </c>
    </row>
    <row r="6356" spans="7:8" x14ac:dyDescent="0.35">
      <c r="G6356" s="215">
        <v>6349</v>
      </c>
      <c r="H6356" s="16">
        <f t="shared" ca="1" si="107"/>
        <v>1.0357061258183442E-2</v>
      </c>
    </row>
    <row r="6357" spans="7:8" x14ac:dyDescent="0.35">
      <c r="G6357" s="215">
        <v>6350</v>
      </c>
      <c r="H6357" s="16">
        <f t="shared" ca="1" si="107"/>
        <v>7.5567491129710063E-2</v>
      </c>
    </row>
    <row r="6358" spans="7:8" x14ac:dyDescent="0.35">
      <c r="G6358" s="215">
        <v>6351</v>
      </c>
      <c r="H6358" s="16">
        <f t="shared" ca="1" si="107"/>
        <v>0.15716419571478252</v>
      </c>
    </row>
    <row r="6359" spans="7:8" x14ac:dyDescent="0.35">
      <c r="G6359" s="215">
        <v>6352</v>
      </c>
      <c r="H6359" s="16">
        <f t="shared" ca="1" si="107"/>
        <v>-6.9890040988797586E-3</v>
      </c>
    </row>
    <row r="6360" spans="7:8" x14ac:dyDescent="0.35">
      <c r="G6360" s="215">
        <v>6353</v>
      </c>
      <c r="H6360" s="16">
        <f t="shared" ca="1" si="107"/>
        <v>7.0830422296224937E-2</v>
      </c>
    </row>
    <row r="6361" spans="7:8" x14ac:dyDescent="0.35">
      <c r="G6361" s="215">
        <v>6354</v>
      </c>
      <c r="H6361" s="16">
        <f t="shared" ca="1" si="107"/>
        <v>1.7839254971885356E-2</v>
      </c>
    </row>
    <row r="6362" spans="7:8" x14ac:dyDescent="0.35">
      <c r="G6362" s="215">
        <v>6355</v>
      </c>
      <c r="H6362" s="16">
        <f t="shared" ca="1" si="107"/>
        <v>0.1018407600033711</v>
      </c>
    </row>
    <row r="6363" spans="7:8" x14ac:dyDescent="0.35">
      <c r="G6363" s="215">
        <v>6356</v>
      </c>
      <c r="H6363" s="16">
        <f t="shared" ca="1" si="107"/>
        <v>-5.8697180627822684E-2</v>
      </c>
    </row>
    <row r="6364" spans="7:8" x14ac:dyDescent="0.35">
      <c r="G6364" s="215">
        <v>6357</v>
      </c>
      <c r="H6364" s="16">
        <f t="shared" ca="1" si="107"/>
        <v>9.14941804878137E-2</v>
      </c>
    </row>
    <row r="6365" spans="7:8" x14ac:dyDescent="0.35">
      <c r="G6365" s="215">
        <v>6358</v>
      </c>
      <c r="H6365" s="16">
        <f t="shared" ca="1" si="107"/>
        <v>0.17595024956780675</v>
      </c>
    </row>
    <row r="6366" spans="7:8" x14ac:dyDescent="0.35">
      <c r="G6366" s="215">
        <v>6359</v>
      </c>
      <c r="H6366" s="16">
        <f t="shared" ca="1" si="107"/>
        <v>-6.0780526189065723E-2</v>
      </c>
    </row>
    <row r="6367" spans="7:8" x14ac:dyDescent="0.35">
      <c r="G6367" s="215">
        <v>6360</v>
      </c>
      <c r="H6367" s="16">
        <f t="shared" ca="1" si="107"/>
        <v>-0.13458387609204908</v>
      </c>
    </row>
    <row r="6368" spans="7:8" x14ac:dyDescent="0.35">
      <c r="G6368" s="215">
        <v>6361</v>
      </c>
      <c r="H6368" s="16">
        <f t="shared" ca="1" si="107"/>
        <v>-3.5368288627953368E-2</v>
      </c>
    </row>
    <row r="6369" spans="7:8" x14ac:dyDescent="0.35">
      <c r="G6369" s="215">
        <v>6362</v>
      </c>
      <c r="H6369" s="16">
        <f t="shared" ca="1" si="107"/>
        <v>0.10573540395576905</v>
      </c>
    </row>
    <row r="6370" spans="7:8" x14ac:dyDescent="0.35">
      <c r="G6370" s="215">
        <v>6363</v>
      </c>
      <c r="H6370" s="16">
        <f t="shared" ca="1" si="107"/>
        <v>-0.21007301520524796</v>
      </c>
    </row>
    <row r="6371" spans="7:8" x14ac:dyDescent="0.35">
      <c r="G6371" s="215">
        <v>6364</v>
      </c>
      <c r="H6371" s="16">
        <f t="shared" ca="1" si="107"/>
        <v>4.2435205009132611E-3</v>
      </c>
    </row>
    <row r="6372" spans="7:8" x14ac:dyDescent="0.35">
      <c r="G6372" s="215">
        <v>6365</v>
      </c>
      <c r="H6372" s="16">
        <f t="shared" ca="1" si="107"/>
        <v>0.11740667888837321</v>
      </c>
    </row>
    <row r="6373" spans="7:8" x14ac:dyDescent="0.35">
      <c r="G6373" s="215">
        <v>6366</v>
      </c>
      <c r="H6373" s="16">
        <f t="shared" ca="1" si="107"/>
        <v>-9.1718027794817941E-2</v>
      </c>
    </row>
    <row r="6374" spans="7:8" x14ac:dyDescent="0.35">
      <c r="G6374" s="215">
        <v>6367</v>
      </c>
      <c r="H6374" s="16">
        <f t="shared" ca="1" si="107"/>
        <v>5.536644821713145E-2</v>
      </c>
    </row>
    <row r="6375" spans="7:8" x14ac:dyDescent="0.35">
      <c r="G6375" s="215">
        <v>6368</v>
      </c>
      <c r="H6375" s="16">
        <f t="shared" ca="1" si="107"/>
        <v>-7.9421267318160196E-2</v>
      </c>
    </row>
    <row r="6376" spans="7:8" x14ac:dyDescent="0.35">
      <c r="G6376" s="215">
        <v>6369</v>
      </c>
      <c r="H6376" s="16">
        <f t="shared" ca="1" si="107"/>
        <v>3.862165899034551E-2</v>
      </c>
    </row>
    <row r="6377" spans="7:8" x14ac:dyDescent="0.35">
      <c r="G6377" s="215">
        <v>6370</v>
      </c>
      <c r="H6377" s="16">
        <f t="shared" ca="1" si="107"/>
        <v>7.3694896939547713E-2</v>
      </c>
    </row>
    <row r="6378" spans="7:8" x14ac:dyDescent="0.35">
      <c r="G6378" s="215">
        <v>6371</v>
      </c>
      <c r="H6378" s="16">
        <f t="shared" ca="1" si="107"/>
        <v>4.2020604006108464E-2</v>
      </c>
    </row>
    <row r="6379" spans="7:8" x14ac:dyDescent="0.35">
      <c r="G6379" s="215">
        <v>6372</v>
      </c>
      <c r="H6379" s="16">
        <f t="shared" ca="1" si="107"/>
        <v>-0.10096838294850652</v>
      </c>
    </row>
    <row r="6380" spans="7:8" x14ac:dyDescent="0.35">
      <c r="G6380" s="215">
        <v>6373</v>
      </c>
      <c r="H6380" s="16">
        <f t="shared" ca="1" si="107"/>
        <v>7.9243947449624513E-2</v>
      </c>
    </row>
    <row r="6381" spans="7:8" x14ac:dyDescent="0.35">
      <c r="G6381" s="215">
        <v>6374</v>
      </c>
      <c r="H6381" s="16">
        <f t="shared" ca="1" si="107"/>
        <v>8.7066356896166958E-2</v>
      </c>
    </row>
    <row r="6382" spans="7:8" x14ac:dyDescent="0.35">
      <c r="G6382" s="215">
        <v>6375</v>
      </c>
      <c r="H6382" s="16">
        <f t="shared" ca="1" si="107"/>
        <v>4.7600928514862041E-3</v>
      </c>
    </row>
    <row r="6383" spans="7:8" x14ac:dyDescent="0.35">
      <c r="G6383" s="215">
        <v>6376</v>
      </c>
      <c r="H6383" s="16">
        <f t="shared" ca="1" si="107"/>
        <v>-1.4531298921158179E-2</v>
      </c>
    </row>
    <row r="6384" spans="7:8" x14ac:dyDescent="0.35">
      <c r="G6384" s="215">
        <v>6377</v>
      </c>
      <c r="H6384" s="16">
        <f t="shared" ca="1" si="107"/>
        <v>-7.1755335913859922E-2</v>
      </c>
    </row>
    <row r="6385" spans="7:8" x14ac:dyDescent="0.35">
      <c r="G6385" s="215">
        <v>6378</v>
      </c>
      <c r="H6385" s="16">
        <f t="shared" ca="1" si="107"/>
        <v>-6.3757698156782686E-2</v>
      </c>
    </row>
    <row r="6386" spans="7:8" x14ac:dyDescent="0.35">
      <c r="G6386" s="215">
        <v>6379</v>
      </c>
      <c r="H6386" s="16">
        <f t="shared" ca="1" si="107"/>
        <v>2.5717338476918223E-2</v>
      </c>
    </row>
    <row r="6387" spans="7:8" x14ac:dyDescent="0.35">
      <c r="G6387" s="215">
        <v>6380</v>
      </c>
      <c r="H6387" s="16">
        <f t="shared" ca="1" si="107"/>
        <v>6.2264996693388128E-2</v>
      </c>
    </row>
    <row r="6388" spans="7:8" x14ac:dyDescent="0.35">
      <c r="G6388" s="215">
        <v>6381</v>
      </c>
      <c r="H6388" s="16">
        <f t="shared" ca="1" si="107"/>
        <v>4.7602740653164999E-2</v>
      </c>
    </row>
    <row r="6389" spans="7:8" x14ac:dyDescent="0.35">
      <c r="G6389" s="215">
        <v>6382</v>
      </c>
      <c r="H6389" s="16">
        <f t="shared" ca="1" si="107"/>
        <v>-2.261289984610881E-2</v>
      </c>
    </row>
    <row r="6390" spans="7:8" x14ac:dyDescent="0.35">
      <c r="G6390" s="215">
        <v>6383</v>
      </c>
      <c r="H6390" s="16">
        <f t="shared" ca="1" si="107"/>
        <v>3.7940503396226039E-2</v>
      </c>
    </row>
    <row r="6391" spans="7:8" x14ac:dyDescent="0.35">
      <c r="G6391" s="215">
        <v>6384</v>
      </c>
      <c r="H6391" s="16">
        <f t="shared" ca="1" si="107"/>
        <v>-5.2107251375722127E-2</v>
      </c>
    </row>
    <row r="6392" spans="7:8" x14ac:dyDescent="0.35">
      <c r="G6392" s="215">
        <v>6385</v>
      </c>
      <c r="H6392" s="16">
        <f t="shared" ca="1" si="107"/>
        <v>5.084957654527536E-2</v>
      </c>
    </row>
    <row r="6393" spans="7:8" x14ac:dyDescent="0.35">
      <c r="G6393" s="215">
        <v>6386</v>
      </c>
      <c r="H6393" s="16">
        <f t="shared" ca="1" si="107"/>
        <v>7.6586900482574563E-2</v>
      </c>
    </row>
    <row r="6394" spans="7:8" x14ac:dyDescent="0.35">
      <c r="G6394" s="215">
        <v>6387</v>
      </c>
      <c r="H6394" s="16">
        <f t="shared" ca="1" si="107"/>
        <v>-7.2812853983606471E-2</v>
      </c>
    </row>
    <row r="6395" spans="7:8" x14ac:dyDescent="0.35">
      <c r="G6395" s="215">
        <v>6388</v>
      </c>
      <c r="H6395" s="16">
        <f t="shared" ca="1" si="107"/>
        <v>-0.11121948633830391</v>
      </c>
    </row>
    <row r="6396" spans="7:8" x14ac:dyDescent="0.35">
      <c r="G6396" s="215">
        <v>6389</v>
      </c>
      <c r="H6396" s="16">
        <f t="shared" ca="1" si="107"/>
        <v>6.6473198159559804E-3</v>
      </c>
    </row>
    <row r="6397" spans="7:8" x14ac:dyDescent="0.35">
      <c r="G6397" s="215">
        <v>6390</v>
      </c>
      <c r="H6397" s="16">
        <f t="shared" ca="1" si="107"/>
        <v>-4.0903571239420913E-2</v>
      </c>
    </row>
    <row r="6398" spans="7:8" x14ac:dyDescent="0.35">
      <c r="G6398" s="215">
        <v>6391</v>
      </c>
      <c r="H6398" s="16">
        <f t="shared" ca="1" si="107"/>
        <v>-2.9812750495014015E-3</v>
      </c>
    </row>
    <row r="6399" spans="7:8" x14ac:dyDescent="0.35">
      <c r="G6399" s="215">
        <v>6392</v>
      </c>
      <c r="H6399" s="16">
        <f t="shared" ca="1" si="107"/>
        <v>1.9536143296145846E-2</v>
      </c>
    </row>
    <row r="6400" spans="7:8" x14ac:dyDescent="0.35">
      <c r="G6400" s="215">
        <v>6393</v>
      </c>
      <c r="H6400" s="16">
        <f t="shared" ca="1" si="107"/>
        <v>-5.6675725908287136E-2</v>
      </c>
    </row>
    <row r="6401" spans="7:8" x14ac:dyDescent="0.35">
      <c r="G6401" s="215">
        <v>6394</v>
      </c>
      <c r="H6401" s="16">
        <f t="shared" ca="1" si="107"/>
        <v>-5.9605900890373736E-2</v>
      </c>
    </row>
    <row r="6402" spans="7:8" x14ac:dyDescent="0.35">
      <c r="G6402" s="215">
        <v>6395</v>
      </c>
      <c r="H6402" s="16">
        <f t="shared" ca="1" si="107"/>
        <v>0.12554785405865734</v>
      </c>
    </row>
    <row r="6403" spans="7:8" x14ac:dyDescent="0.35">
      <c r="G6403" s="215">
        <v>6396</v>
      </c>
      <c r="H6403" s="16">
        <f t="shared" ca="1" si="107"/>
        <v>1.2496352380412173E-2</v>
      </c>
    </row>
    <row r="6404" spans="7:8" x14ac:dyDescent="0.35">
      <c r="G6404" s="215">
        <v>6397</v>
      </c>
      <c r="H6404" s="16">
        <f t="shared" ca="1" si="107"/>
        <v>-7.3099266876991156E-2</v>
      </c>
    </row>
    <row r="6405" spans="7:8" x14ac:dyDescent="0.35">
      <c r="G6405" s="215">
        <v>6398</v>
      </c>
      <c r="H6405" s="16">
        <f t="shared" ca="1" si="107"/>
        <v>-8.9488009817089029E-2</v>
      </c>
    </row>
    <row r="6406" spans="7:8" x14ac:dyDescent="0.35">
      <c r="G6406" s="215">
        <v>6399</v>
      </c>
      <c r="H6406" s="16">
        <f t="shared" ca="1" si="107"/>
        <v>-4.8399809702990917E-2</v>
      </c>
    </row>
    <row r="6407" spans="7:8" x14ac:dyDescent="0.35">
      <c r="G6407" s="215">
        <v>6400</v>
      </c>
      <c r="H6407" s="16">
        <f t="shared" ca="1" si="107"/>
        <v>1.0659325948825085E-2</v>
      </c>
    </row>
    <row r="6408" spans="7:8" x14ac:dyDescent="0.35">
      <c r="G6408" s="215">
        <v>6401</v>
      </c>
      <c r="H6408" s="16">
        <f t="shared" ref="H6408:H6471" ca="1" si="108">_xlfn.NORM.INV(RAND(),M$10,M$11)</f>
        <v>2.539123037656324E-2</v>
      </c>
    </row>
    <row r="6409" spans="7:8" x14ac:dyDescent="0.35">
      <c r="G6409" s="215">
        <v>6402</v>
      </c>
      <c r="H6409" s="16">
        <f t="shared" ca="1" si="108"/>
        <v>3.0484444036398172E-2</v>
      </c>
    </row>
    <row r="6410" spans="7:8" x14ac:dyDescent="0.35">
      <c r="G6410" s="215">
        <v>6403</v>
      </c>
      <c r="H6410" s="16">
        <f t="shared" ca="1" si="108"/>
        <v>-7.4369255339047646E-2</v>
      </c>
    </row>
    <row r="6411" spans="7:8" x14ac:dyDescent="0.35">
      <c r="G6411" s="215">
        <v>6404</v>
      </c>
      <c r="H6411" s="16">
        <f t="shared" ca="1" si="108"/>
        <v>8.6267697783298514E-2</v>
      </c>
    </row>
    <row r="6412" spans="7:8" x14ac:dyDescent="0.35">
      <c r="G6412" s="215">
        <v>6405</v>
      </c>
      <c r="H6412" s="16">
        <f t="shared" ca="1" si="108"/>
        <v>1.1792721164822367E-2</v>
      </c>
    </row>
    <row r="6413" spans="7:8" x14ac:dyDescent="0.35">
      <c r="G6413" s="215">
        <v>6406</v>
      </c>
      <c r="H6413" s="16">
        <f t="shared" ca="1" si="108"/>
        <v>-7.0821004065513671E-2</v>
      </c>
    </row>
    <row r="6414" spans="7:8" x14ac:dyDescent="0.35">
      <c r="G6414" s="215">
        <v>6407</v>
      </c>
      <c r="H6414" s="16">
        <f t="shared" ca="1" si="108"/>
        <v>-6.3782171536773749E-2</v>
      </c>
    </row>
    <row r="6415" spans="7:8" x14ac:dyDescent="0.35">
      <c r="G6415" s="215">
        <v>6408</v>
      </c>
      <c r="H6415" s="16">
        <f t="shared" ca="1" si="108"/>
        <v>4.6106797011146575E-2</v>
      </c>
    </row>
    <row r="6416" spans="7:8" x14ac:dyDescent="0.35">
      <c r="G6416" s="215">
        <v>6409</v>
      </c>
      <c r="H6416" s="16">
        <f t="shared" ca="1" si="108"/>
        <v>-7.7292626625796321E-2</v>
      </c>
    </row>
    <row r="6417" spans="7:8" x14ac:dyDescent="0.35">
      <c r="G6417" s="215">
        <v>6410</v>
      </c>
      <c r="H6417" s="16">
        <f t="shared" ca="1" si="108"/>
        <v>0.10070865199008017</v>
      </c>
    </row>
    <row r="6418" spans="7:8" x14ac:dyDescent="0.35">
      <c r="G6418" s="215">
        <v>6411</v>
      </c>
      <c r="H6418" s="16">
        <f t="shared" ca="1" si="108"/>
        <v>6.2869687862075502E-2</v>
      </c>
    </row>
    <row r="6419" spans="7:8" x14ac:dyDescent="0.35">
      <c r="G6419" s="215">
        <v>6412</v>
      </c>
      <c r="H6419" s="16">
        <f t="shared" ca="1" si="108"/>
        <v>-3.0680074800482817E-3</v>
      </c>
    </row>
    <row r="6420" spans="7:8" x14ac:dyDescent="0.35">
      <c r="G6420" s="215">
        <v>6413</v>
      </c>
      <c r="H6420" s="16">
        <f t="shared" ca="1" si="108"/>
        <v>-0.11153486572688287</v>
      </c>
    </row>
    <row r="6421" spans="7:8" x14ac:dyDescent="0.35">
      <c r="G6421" s="215">
        <v>6414</v>
      </c>
      <c r="H6421" s="16">
        <f t="shared" ca="1" si="108"/>
        <v>9.6215906992298622E-2</v>
      </c>
    </row>
    <row r="6422" spans="7:8" x14ac:dyDescent="0.35">
      <c r="G6422" s="215">
        <v>6415</v>
      </c>
      <c r="H6422" s="16">
        <f t="shared" ca="1" si="108"/>
        <v>5.9650348347921114E-2</v>
      </c>
    </row>
    <row r="6423" spans="7:8" x14ac:dyDescent="0.35">
      <c r="G6423" s="215">
        <v>6416</v>
      </c>
      <c r="H6423" s="16">
        <f t="shared" ca="1" si="108"/>
        <v>1.2953118504642641E-2</v>
      </c>
    </row>
    <row r="6424" spans="7:8" x14ac:dyDescent="0.35">
      <c r="G6424" s="215">
        <v>6417</v>
      </c>
      <c r="H6424" s="16">
        <f t="shared" ca="1" si="108"/>
        <v>0.10025784795123661</v>
      </c>
    </row>
    <row r="6425" spans="7:8" x14ac:dyDescent="0.35">
      <c r="G6425" s="215">
        <v>6418</v>
      </c>
      <c r="H6425" s="16">
        <f t="shared" ca="1" si="108"/>
        <v>-5.9212939300317999E-2</v>
      </c>
    </row>
    <row r="6426" spans="7:8" x14ac:dyDescent="0.35">
      <c r="G6426" s="215">
        <v>6419</v>
      </c>
      <c r="H6426" s="16">
        <f t="shared" ca="1" si="108"/>
        <v>7.9806537855936041E-2</v>
      </c>
    </row>
    <row r="6427" spans="7:8" x14ac:dyDescent="0.35">
      <c r="G6427" s="215">
        <v>6420</v>
      </c>
      <c r="H6427" s="16">
        <f t="shared" ca="1" si="108"/>
        <v>-3.2140973503537687E-2</v>
      </c>
    </row>
    <row r="6428" spans="7:8" x14ac:dyDescent="0.35">
      <c r="G6428" s="215">
        <v>6421</v>
      </c>
      <c r="H6428" s="16">
        <f t="shared" ca="1" si="108"/>
        <v>3.8666313426362481E-2</v>
      </c>
    </row>
    <row r="6429" spans="7:8" x14ac:dyDescent="0.35">
      <c r="G6429" s="215">
        <v>6422</v>
      </c>
      <c r="H6429" s="16">
        <f t="shared" ca="1" si="108"/>
        <v>0.16741546392551487</v>
      </c>
    </row>
    <row r="6430" spans="7:8" x14ac:dyDescent="0.35">
      <c r="G6430" s="215">
        <v>6423</v>
      </c>
      <c r="H6430" s="16">
        <f t="shared" ca="1" si="108"/>
        <v>-0.16261065987480441</v>
      </c>
    </row>
    <row r="6431" spans="7:8" x14ac:dyDescent="0.35">
      <c r="G6431" s="215">
        <v>6424</v>
      </c>
      <c r="H6431" s="16">
        <f t="shared" ca="1" si="108"/>
        <v>-1.8986299925871631E-2</v>
      </c>
    </row>
    <row r="6432" spans="7:8" x14ac:dyDescent="0.35">
      <c r="G6432" s="215">
        <v>6425</v>
      </c>
      <c r="H6432" s="16">
        <f t="shared" ca="1" si="108"/>
        <v>-8.5989457058910229E-3</v>
      </c>
    </row>
    <row r="6433" spans="7:8" x14ac:dyDescent="0.35">
      <c r="G6433" s="215">
        <v>6426</v>
      </c>
      <c r="H6433" s="16">
        <f t="shared" ca="1" si="108"/>
        <v>0.13055318670785934</v>
      </c>
    </row>
    <row r="6434" spans="7:8" x14ac:dyDescent="0.35">
      <c r="G6434" s="215">
        <v>6427</v>
      </c>
      <c r="H6434" s="16">
        <f t="shared" ca="1" si="108"/>
        <v>-7.0541882809051826E-2</v>
      </c>
    </row>
    <row r="6435" spans="7:8" x14ac:dyDescent="0.35">
      <c r="G6435" s="215">
        <v>6428</v>
      </c>
      <c r="H6435" s="16">
        <f t="shared" ca="1" si="108"/>
        <v>7.2206243138309298E-2</v>
      </c>
    </row>
    <row r="6436" spans="7:8" x14ac:dyDescent="0.35">
      <c r="G6436" s="215">
        <v>6429</v>
      </c>
      <c r="H6436" s="16">
        <f t="shared" ca="1" si="108"/>
        <v>-3.5301157606298664E-2</v>
      </c>
    </row>
    <row r="6437" spans="7:8" x14ac:dyDescent="0.35">
      <c r="G6437" s="215">
        <v>6430</v>
      </c>
      <c r="H6437" s="16">
        <f t="shared" ca="1" si="108"/>
        <v>-4.9934463846873417E-2</v>
      </c>
    </row>
    <row r="6438" spans="7:8" x14ac:dyDescent="0.35">
      <c r="G6438" s="215">
        <v>6431</v>
      </c>
      <c r="H6438" s="16">
        <f t="shared" ca="1" si="108"/>
        <v>-5.7129008101475504E-2</v>
      </c>
    </row>
    <row r="6439" spans="7:8" x14ac:dyDescent="0.35">
      <c r="G6439" s="215">
        <v>6432</v>
      </c>
      <c r="H6439" s="16">
        <f t="shared" ca="1" si="108"/>
        <v>-9.242247243776025E-2</v>
      </c>
    </row>
    <row r="6440" spans="7:8" x14ac:dyDescent="0.35">
      <c r="G6440" s="215">
        <v>6433</v>
      </c>
      <c r="H6440" s="16">
        <f t="shared" ca="1" si="108"/>
        <v>-9.0449344161261047E-2</v>
      </c>
    </row>
    <row r="6441" spans="7:8" x14ac:dyDescent="0.35">
      <c r="G6441" s="215">
        <v>6434</v>
      </c>
      <c r="H6441" s="16">
        <f t="shared" ca="1" si="108"/>
        <v>9.7695786773186216E-2</v>
      </c>
    </row>
    <row r="6442" spans="7:8" x14ac:dyDescent="0.35">
      <c r="G6442" s="215">
        <v>6435</v>
      </c>
      <c r="H6442" s="16">
        <f t="shared" ca="1" si="108"/>
        <v>-0.15907729187036196</v>
      </c>
    </row>
    <row r="6443" spans="7:8" x14ac:dyDescent="0.35">
      <c r="G6443" s="215">
        <v>6436</v>
      </c>
      <c r="H6443" s="16">
        <f t="shared" ca="1" si="108"/>
        <v>-8.2313145966493514E-3</v>
      </c>
    </row>
    <row r="6444" spans="7:8" x14ac:dyDescent="0.35">
      <c r="G6444" s="215">
        <v>6437</v>
      </c>
      <c r="H6444" s="16">
        <f t="shared" ca="1" si="108"/>
        <v>0.12583801856670315</v>
      </c>
    </row>
    <row r="6445" spans="7:8" x14ac:dyDescent="0.35">
      <c r="G6445" s="215">
        <v>6438</v>
      </c>
      <c r="H6445" s="16">
        <f t="shared" ca="1" si="108"/>
        <v>-3.7489357845439858E-2</v>
      </c>
    </row>
    <row r="6446" spans="7:8" x14ac:dyDescent="0.35">
      <c r="G6446" s="215">
        <v>6439</v>
      </c>
      <c r="H6446" s="16">
        <f t="shared" ca="1" si="108"/>
        <v>-7.297707893966289E-2</v>
      </c>
    </row>
    <row r="6447" spans="7:8" x14ac:dyDescent="0.35">
      <c r="G6447" s="215">
        <v>6440</v>
      </c>
      <c r="H6447" s="16">
        <f t="shared" ca="1" si="108"/>
        <v>-4.5231740833995893E-2</v>
      </c>
    </row>
    <row r="6448" spans="7:8" x14ac:dyDescent="0.35">
      <c r="G6448" s="215">
        <v>6441</v>
      </c>
      <c r="H6448" s="16">
        <f t="shared" ca="1" si="108"/>
        <v>-0.1175226180555719</v>
      </c>
    </row>
    <row r="6449" spans="7:8" x14ac:dyDescent="0.35">
      <c r="G6449" s="215">
        <v>6442</v>
      </c>
      <c r="H6449" s="16">
        <f t="shared" ca="1" si="108"/>
        <v>-3.31929948678963E-2</v>
      </c>
    </row>
    <row r="6450" spans="7:8" x14ac:dyDescent="0.35">
      <c r="G6450" s="215">
        <v>6443</v>
      </c>
      <c r="H6450" s="16">
        <f t="shared" ca="1" si="108"/>
        <v>-5.9074910884250986E-2</v>
      </c>
    </row>
    <row r="6451" spans="7:8" x14ac:dyDescent="0.35">
      <c r="G6451" s="215">
        <v>6444</v>
      </c>
      <c r="H6451" s="16">
        <f t="shared" ca="1" si="108"/>
        <v>5.1124350512287017E-2</v>
      </c>
    </row>
    <row r="6452" spans="7:8" x14ac:dyDescent="0.35">
      <c r="G6452" s="215">
        <v>6445</v>
      </c>
      <c r="H6452" s="16">
        <f t="shared" ca="1" si="108"/>
        <v>4.1281458020572311E-3</v>
      </c>
    </row>
    <row r="6453" spans="7:8" x14ac:dyDescent="0.35">
      <c r="G6453" s="215">
        <v>6446</v>
      </c>
      <c r="H6453" s="16">
        <f t="shared" ca="1" si="108"/>
        <v>-6.8876588176973591E-2</v>
      </c>
    </row>
    <row r="6454" spans="7:8" x14ac:dyDescent="0.35">
      <c r="G6454" s="215">
        <v>6447</v>
      </c>
      <c r="H6454" s="16">
        <f t="shared" ca="1" si="108"/>
        <v>4.9044689683720097E-2</v>
      </c>
    </row>
    <row r="6455" spans="7:8" x14ac:dyDescent="0.35">
      <c r="G6455" s="215">
        <v>6448</v>
      </c>
      <c r="H6455" s="16">
        <f t="shared" ca="1" si="108"/>
        <v>2.5182666030710128E-2</v>
      </c>
    </row>
    <row r="6456" spans="7:8" x14ac:dyDescent="0.35">
      <c r="G6456" s="215">
        <v>6449</v>
      </c>
      <c r="H6456" s="16">
        <f t="shared" ca="1" si="108"/>
        <v>2.8553269326214728E-2</v>
      </c>
    </row>
    <row r="6457" spans="7:8" x14ac:dyDescent="0.35">
      <c r="G6457" s="215">
        <v>6450</v>
      </c>
      <c r="H6457" s="16">
        <f t="shared" ca="1" si="108"/>
        <v>-0.14442806928024662</v>
      </c>
    </row>
    <row r="6458" spans="7:8" x14ac:dyDescent="0.35">
      <c r="G6458" s="215">
        <v>6451</v>
      </c>
      <c r="H6458" s="16">
        <f t="shared" ca="1" si="108"/>
        <v>-8.1845799748278422E-2</v>
      </c>
    </row>
    <row r="6459" spans="7:8" x14ac:dyDescent="0.35">
      <c r="G6459" s="215">
        <v>6452</v>
      </c>
      <c r="H6459" s="16">
        <f t="shared" ca="1" si="108"/>
        <v>2.4069445750091963E-2</v>
      </c>
    </row>
    <row r="6460" spans="7:8" x14ac:dyDescent="0.35">
      <c r="G6460" s="215">
        <v>6453</v>
      </c>
      <c r="H6460" s="16">
        <f t="shared" ca="1" si="108"/>
        <v>5.9531255852524834E-2</v>
      </c>
    </row>
    <row r="6461" spans="7:8" x14ac:dyDescent="0.35">
      <c r="G6461" s="215">
        <v>6454</v>
      </c>
      <c r="H6461" s="16">
        <f t="shared" ca="1" si="108"/>
        <v>-3.437763438356195E-2</v>
      </c>
    </row>
    <row r="6462" spans="7:8" x14ac:dyDescent="0.35">
      <c r="G6462" s="215">
        <v>6455</v>
      </c>
      <c r="H6462" s="16">
        <f t="shared" ca="1" si="108"/>
        <v>9.5755770051967518E-2</v>
      </c>
    </row>
    <row r="6463" spans="7:8" x14ac:dyDescent="0.35">
      <c r="G6463" s="215">
        <v>6456</v>
      </c>
      <c r="H6463" s="16">
        <f t="shared" ca="1" si="108"/>
        <v>0.17794759477031263</v>
      </c>
    </row>
    <row r="6464" spans="7:8" x14ac:dyDescent="0.35">
      <c r="G6464" s="215">
        <v>6457</v>
      </c>
      <c r="H6464" s="16">
        <f t="shared" ca="1" si="108"/>
        <v>4.8931177192681211E-2</v>
      </c>
    </row>
    <row r="6465" spans="7:8" x14ac:dyDescent="0.35">
      <c r="G6465" s="215">
        <v>6458</v>
      </c>
      <c r="H6465" s="16">
        <f t="shared" ca="1" si="108"/>
        <v>3.6081003002977882E-2</v>
      </c>
    </row>
    <row r="6466" spans="7:8" x14ac:dyDescent="0.35">
      <c r="G6466" s="215">
        <v>6459</v>
      </c>
      <c r="H6466" s="16">
        <f t="shared" ca="1" si="108"/>
        <v>3.1623297560339825E-2</v>
      </c>
    </row>
    <row r="6467" spans="7:8" x14ac:dyDescent="0.35">
      <c r="G6467" s="215">
        <v>6460</v>
      </c>
      <c r="H6467" s="16">
        <f t="shared" ca="1" si="108"/>
        <v>5.1230454845845916E-2</v>
      </c>
    </row>
    <row r="6468" spans="7:8" x14ac:dyDescent="0.35">
      <c r="G6468" s="215">
        <v>6461</v>
      </c>
      <c r="H6468" s="16">
        <f t="shared" ca="1" si="108"/>
        <v>8.319145351113548E-2</v>
      </c>
    </row>
    <row r="6469" spans="7:8" x14ac:dyDescent="0.35">
      <c r="G6469" s="215">
        <v>6462</v>
      </c>
      <c r="H6469" s="16">
        <f t="shared" ca="1" si="108"/>
        <v>-2.7304618533468238E-4</v>
      </c>
    </row>
    <row r="6470" spans="7:8" x14ac:dyDescent="0.35">
      <c r="G6470" s="215">
        <v>6463</v>
      </c>
      <c r="H6470" s="16">
        <f t="shared" ca="1" si="108"/>
        <v>-0.12270794270382906</v>
      </c>
    </row>
    <row r="6471" spans="7:8" x14ac:dyDescent="0.35">
      <c r="G6471" s="215">
        <v>6464</v>
      </c>
      <c r="H6471" s="16">
        <f t="shared" ca="1" si="108"/>
        <v>0.1335940686145162</v>
      </c>
    </row>
    <row r="6472" spans="7:8" x14ac:dyDescent="0.35">
      <c r="G6472" s="215">
        <v>6465</v>
      </c>
      <c r="H6472" s="16">
        <f t="shared" ref="H6472:H6535" ca="1" si="109">_xlfn.NORM.INV(RAND(),M$10,M$11)</f>
        <v>4.465615472172145E-2</v>
      </c>
    </row>
    <row r="6473" spans="7:8" x14ac:dyDescent="0.35">
      <c r="G6473" s="215">
        <v>6466</v>
      </c>
      <c r="H6473" s="16">
        <f t="shared" ca="1" si="109"/>
        <v>1.5862101076459655E-2</v>
      </c>
    </row>
    <row r="6474" spans="7:8" x14ac:dyDescent="0.35">
      <c r="G6474" s="215">
        <v>6467</v>
      </c>
      <c r="H6474" s="16">
        <f t="shared" ca="1" si="109"/>
        <v>8.0540394963730833E-2</v>
      </c>
    </row>
    <row r="6475" spans="7:8" x14ac:dyDescent="0.35">
      <c r="G6475" s="215">
        <v>6468</v>
      </c>
      <c r="H6475" s="16">
        <f t="shared" ca="1" si="109"/>
        <v>4.2636511698145654E-2</v>
      </c>
    </row>
    <row r="6476" spans="7:8" x14ac:dyDescent="0.35">
      <c r="G6476" s="215">
        <v>6469</v>
      </c>
      <c r="H6476" s="16">
        <f t="shared" ca="1" si="109"/>
        <v>6.1121917939953696E-2</v>
      </c>
    </row>
    <row r="6477" spans="7:8" x14ac:dyDescent="0.35">
      <c r="G6477" s="215">
        <v>6470</v>
      </c>
      <c r="H6477" s="16">
        <f t="shared" ca="1" si="109"/>
        <v>-0.12651148430941705</v>
      </c>
    </row>
    <row r="6478" spans="7:8" x14ac:dyDescent="0.35">
      <c r="G6478" s="215">
        <v>6471</v>
      </c>
      <c r="H6478" s="16">
        <f t="shared" ca="1" si="109"/>
        <v>9.974196260383697E-2</v>
      </c>
    </row>
    <row r="6479" spans="7:8" x14ac:dyDescent="0.35">
      <c r="G6479" s="215">
        <v>6472</v>
      </c>
      <c r="H6479" s="16">
        <f t="shared" ca="1" si="109"/>
        <v>-3.3437649941709946E-2</v>
      </c>
    </row>
    <row r="6480" spans="7:8" x14ac:dyDescent="0.35">
      <c r="G6480" s="215">
        <v>6473</v>
      </c>
      <c r="H6480" s="16">
        <f t="shared" ca="1" si="109"/>
        <v>-7.7452056251328533E-3</v>
      </c>
    </row>
    <row r="6481" spans="7:8" x14ac:dyDescent="0.35">
      <c r="G6481" s="215">
        <v>6474</v>
      </c>
      <c r="H6481" s="16">
        <f t="shared" ca="1" si="109"/>
        <v>5.4085867297285109E-2</v>
      </c>
    </row>
    <row r="6482" spans="7:8" x14ac:dyDescent="0.35">
      <c r="G6482" s="215">
        <v>6475</v>
      </c>
      <c r="H6482" s="16">
        <f t="shared" ca="1" si="109"/>
        <v>7.4647238914407762E-2</v>
      </c>
    </row>
    <row r="6483" spans="7:8" x14ac:dyDescent="0.35">
      <c r="G6483" s="215">
        <v>6476</v>
      </c>
      <c r="H6483" s="16">
        <f t="shared" ca="1" si="109"/>
        <v>-0.12120353527854083</v>
      </c>
    </row>
    <row r="6484" spans="7:8" x14ac:dyDescent="0.35">
      <c r="G6484" s="215">
        <v>6477</v>
      </c>
      <c r="H6484" s="16">
        <f t="shared" ca="1" si="109"/>
        <v>0.14705406794410689</v>
      </c>
    </row>
    <row r="6485" spans="7:8" x14ac:dyDescent="0.35">
      <c r="G6485" s="215">
        <v>6478</v>
      </c>
      <c r="H6485" s="16">
        <f t="shared" ca="1" si="109"/>
        <v>-2.4762575965789329E-2</v>
      </c>
    </row>
    <row r="6486" spans="7:8" x14ac:dyDescent="0.35">
      <c r="G6486" s="215">
        <v>6479</v>
      </c>
      <c r="H6486" s="16">
        <f t="shared" ca="1" si="109"/>
        <v>0.18149408507482898</v>
      </c>
    </row>
    <row r="6487" spans="7:8" x14ac:dyDescent="0.35">
      <c r="G6487" s="215">
        <v>6480</v>
      </c>
      <c r="H6487" s="16">
        <f t="shared" ca="1" si="109"/>
        <v>2.2075512063712104E-2</v>
      </c>
    </row>
    <row r="6488" spans="7:8" x14ac:dyDescent="0.35">
      <c r="G6488" s="215">
        <v>6481</v>
      </c>
      <c r="H6488" s="16">
        <f t="shared" ca="1" si="109"/>
        <v>-6.2288955273066424E-2</v>
      </c>
    </row>
    <row r="6489" spans="7:8" x14ac:dyDescent="0.35">
      <c r="G6489" s="215">
        <v>6482</v>
      </c>
      <c r="H6489" s="16">
        <f t="shared" ca="1" si="109"/>
        <v>-4.3827957545420175E-3</v>
      </c>
    </row>
    <row r="6490" spans="7:8" x14ac:dyDescent="0.35">
      <c r="G6490" s="215">
        <v>6483</v>
      </c>
      <c r="H6490" s="16">
        <f t="shared" ca="1" si="109"/>
        <v>-3.08344085262886E-2</v>
      </c>
    </row>
    <row r="6491" spans="7:8" x14ac:dyDescent="0.35">
      <c r="G6491" s="215">
        <v>6484</v>
      </c>
      <c r="H6491" s="16">
        <f t="shared" ca="1" si="109"/>
        <v>-0.11711830143062368</v>
      </c>
    </row>
    <row r="6492" spans="7:8" x14ac:dyDescent="0.35">
      <c r="G6492" s="215">
        <v>6485</v>
      </c>
      <c r="H6492" s="16">
        <f t="shared" ca="1" si="109"/>
        <v>5.1469558935589499E-3</v>
      </c>
    </row>
    <row r="6493" spans="7:8" x14ac:dyDescent="0.35">
      <c r="G6493" s="215">
        <v>6486</v>
      </c>
      <c r="H6493" s="16">
        <f t="shared" ca="1" si="109"/>
        <v>1.2768665966075931E-2</v>
      </c>
    </row>
    <row r="6494" spans="7:8" x14ac:dyDescent="0.35">
      <c r="G6494" s="215">
        <v>6487</v>
      </c>
      <c r="H6494" s="16">
        <f t="shared" ca="1" si="109"/>
        <v>7.43416188736329E-2</v>
      </c>
    </row>
    <row r="6495" spans="7:8" x14ac:dyDescent="0.35">
      <c r="G6495" s="215">
        <v>6488</v>
      </c>
      <c r="H6495" s="16">
        <f t="shared" ca="1" si="109"/>
        <v>1.1746558194621193E-2</v>
      </c>
    </row>
    <row r="6496" spans="7:8" x14ac:dyDescent="0.35">
      <c r="G6496" s="215">
        <v>6489</v>
      </c>
      <c r="H6496" s="16">
        <f t="shared" ca="1" si="109"/>
        <v>9.0831874227747106E-2</v>
      </c>
    </row>
    <row r="6497" spans="7:8" x14ac:dyDescent="0.35">
      <c r="G6497" s="215">
        <v>6490</v>
      </c>
      <c r="H6497" s="16">
        <f t="shared" ca="1" si="109"/>
        <v>-7.8799668726400804E-2</v>
      </c>
    </row>
    <row r="6498" spans="7:8" x14ac:dyDescent="0.35">
      <c r="G6498" s="215">
        <v>6491</v>
      </c>
      <c r="H6498" s="16">
        <f t="shared" ca="1" si="109"/>
        <v>2.2367122007541103E-2</v>
      </c>
    </row>
    <row r="6499" spans="7:8" x14ac:dyDescent="0.35">
      <c r="G6499" s="215">
        <v>6492</v>
      </c>
      <c r="H6499" s="16">
        <f t="shared" ca="1" si="109"/>
        <v>-8.6311969709842049E-2</v>
      </c>
    </row>
    <row r="6500" spans="7:8" x14ac:dyDescent="0.35">
      <c r="G6500" s="215">
        <v>6493</v>
      </c>
      <c r="H6500" s="16">
        <f t="shared" ca="1" si="109"/>
        <v>0.12780090033383815</v>
      </c>
    </row>
    <row r="6501" spans="7:8" x14ac:dyDescent="0.35">
      <c r="G6501" s="215">
        <v>6494</v>
      </c>
      <c r="H6501" s="16">
        <f t="shared" ca="1" si="109"/>
        <v>6.3434441669042718E-2</v>
      </c>
    </row>
    <row r="6502" spans="7:8" x14ac:dyDescent="0.35">
      <c r="G6502" s="215">
        <v>6495</v>
      </c>
      <c r="H6502" s="16">
        <f t="shared" ca="1" si="109"/>
        <v>5.0974867686074954E-2</v>
      </c>
    </row>
    <row r="6503" spans="7:8" x14ac:dyDescent="0.35">
      <c r="G6503" s="215">
        <v>6496</v>
      </c>
      <c r="H6503" s="16">
        <f t="shared" ca="1" si="109"/>
        <v>-1.3837922766637943E-3</v>
      </c>
    </row>
    <row r="6504" spans="7:8" x14ac:dyDescent="0.35">
      <c r="G6504" s="215">
        <v>6497</v>
      </c>
      <c r="H6504" s="16">
        <f t="shared" ca="1" si="109"/>
        <v>6.4793169659283362E-2</v>
      </c>
    </row>
    <row r="6505" spans="7:8" x14ac:dyDescent="0.35">
      <c r="G6505" s="215">
        <v>6498</v>
      </c>
      <c r="H6505" s="16">
        <f t="shared" ca="1" si="109"/>
        <v>3.5988586640433636E-3</v>
      </c>
    </row>
    <row r="6506" spans="7:8" x14ac:dyDescent="0.35">
      <c r="G6506" s="215">
        <v>6499</v>
      </c>
      <c r="H6506" s="16">
        <f t="shared" ca="1" si="109"/>
        <v>2.5455539860675988E-2</v>
      </c>
    </row>
    <row r="6507" spans="7:8" x14ac:dyDescent="0.35">
      <c r="G6507" s="215">
        <v>6500</v>
      </c>
      <c r="H6507" s="16">
        <f t="shared" ca="1" si="109"/>
        <v>6.5669147313272613E-2</v>
      </c>
    </row>
    <row r="6508" spans="7:8" x14ac:dyDescent="0.35">
      <c r="G6508" s="215">
        <v>6501</v>
      </c>
      <c r="H6508" s="16">
        <f t="shared" ca="1" si="109"/>
        <v>0.1116818932270993</v>
      </c>
    </row>
    <row r="6509" spans="7:8" x14ac:dyDescent="0.35">
      <c r="G6509" s="215">
        <v>6502</v>
      </c>
      <c r="H6509" s="16">
        <f t="shared" ca="1" si="109"/>
        <v>-3.3649426362296814E-2</v>
      </c>
    </row>
    <row r="6510" spans="7:8" x14ac:dyDescent="0.35">
      <c r="G6510" s="215">
        <v>6503</v>
      </c>
      <c r="H6510" s="16">
        <f t="shared" ca="1" si="109"/>
        <v>2.4037673013158879E-2</v>
      </c>
    </row>
    <row r="6511" spans="7:8" x14ac:dyDescent="0.35">
      <c r="G6511" s="215">
        <v>6504</v>
      </c>
      <c r="H6511" s="16">
        <f t="shared" ca="1" si="109"/>
        <v>4.1535005046875129E-2</v>
      </c>
    </row>
    <row r="6512" spans="7:8" x14ac:dyDescent="0.35">
      <c r="G6512" s="215">
        <v>6505</v>
      </c>
      <c r="H6512" s="16">
        <f t="shared" ca="1" si="109"/>
        <v>-1.4859065696992614E-2</v>
      </c>
    </row>
    <row r="6513" spans="7:8" x14ac:dyDescent="0.35">
      <c r="G6513" s="215">
        <v>6506</v>
      </c>
      <c r="H6513" s="16">
        <f t="shared" ca="1" si="109"/>
        <v>8.0356029859630029E-2</v>
      </c>
    </row>
    <row r="6514" spans="7:8" x14ac:dyDescent="0.35">
      <c r="G6514" s="215">
        <v>6507</v>
      </c>
      <c r="H6514" s="16">
        <f t="shared" ca="1" si="109"/>
        <v>-8.1593972260376554E-2</v>
      </c>
    </row>
    <row r="6515" spans="7:8" x14ac:dyDescent="0.35">
      <c r="G6515" s="215">
        <v>6508</v>
      </c>
      <c r="H6515" s="16">
        <f t="shared" ca="1" si="109"/>
        <v>6.510787559985283E-2</v>
      </c>
    </row>
    <row r="6516" spans="7:8" x14ac:dyDescent="0.35">
      <c r="G6516" s="215">
        <v>6509</v>
      </c>
      <c r="H6516" s="16">
        <f t="shared" ca="1" si="109"/>
        <v>0.1830234572600403</v>
      </c>
    </row>
    <row r="6517" spans="7:8" x14ac:dyDescent="0.35">
      <c r="G6517" s="215">
        <v>6510</v>
      </c>
      <c r="H6517" s="16">
        <f t="shared" ca="1" si="109"/>
        <v>-6.2308092697703973E-3</v>
      </c>
    </row>
    <row r="6518" spans="7:8" x14ac:dyDescent="0.35">
      <c r="G6518" s="215">
        <v>6511</v>
      </c>
      <c r="H6518" s="16">
        <f t="shared" ca="1" si="109"/>
        <v>6.9998431452676521E-2</v>
      </c>
    </row>
    <row r="6519" spans="7:8" x14ac:dyDescent="0.35">
      <c r="G6519" s="215">
        <v>6512</v>
      </c>
      <c r="H6519" s="16">
        <f t="shared" ca="1" si="109"/>
        <v>0.2055416217078023</v>
      </c>
    </row>
    <row r="6520" spans="7:8" x14ac:dyDescent="0.35">
      <c r="G6520" s="215">
        <v>6513</v>
      </c>
      <c r="H6520" s="16">
        <f t="shared" ca="1" si="109"/>
        <v>-7.5550589565760162E-2</v>
      </c>
    </row>
    <row r="6521" spans="7:8" x14ac:dyDescent="0.35">
      <c r="G6521" s="215">
        <v>6514</v>
      </c>
      <c r="H6521" s="16">
        <f t="shared" ca="1" si="109"/>
        <v>5.3215762789164456E-2</v>
      </c>
    </row>
    <row r="6522" spans="7:8" x14ac:dyDescent="0.35">
      <c r="G6522" s="215">
        <v>6515</v>
      </c>
      <c r="H6522" s="16">
        <f t="shared" ca="1" si="109"/>
        <v>3.8689878312064864E-2</v>
      </c>
    </row>
    <row r="6523" spans="7:8" x14ac:dyDescent="0.35">
      <c r="G6523" s="215">
        <v>6516</v>
      </c>
      <c r="H6523" s="16">
        <f t="shared" ca="1" si="109"/>
        <v>0.12739689783503552</v>
      </c>
    </row>
    <row r="6524" spans="7:8" x14ac:dyDescent="0.35">
      <c r="G6524" s="215">
        <v>6517</v>
      </c>
      <c r="H6524" s="16">
        <f t="shared" ca="1" si="109"/>
        <v>-4.2297718861059208E-2</v>
      </c>
    </row>
    <row r="6525" spans="7:8" x14ac:dyDescent="0.35">
      <c r="G6525" s="215">
        <v>6518</v>
      </c>
      <c r="H6525" s="16">
        <f t="shared" ca="1" si="109"/>
        <v>4.0569974954356894E-2</v>
      </c>
    </row>
    <row r="6526" spans="7:8" x14ac:dyDescent="0.35">
      <c r="G6526" s="215">
        <v>6519</v>
      </c>
      <c r="H6526" s="16">
        <f t="shared" ca="1" si="109"/>
        <v>0.11956604132306267</v>
      </c>
    </row>
    <row r="6527" spans="7:8" x14ac:dyDescent="0.35">
      <c r="G6527" s="215">
        <v>6520</v>
      </c>
      <c r="H6527" s="16">
        <f t="shared" ca="1" si="109"/>
        <v>0.13861500720052422</v>
      </c>
    </row>
    <row r="6528" spans="7:8" x14ac:dyDescent="0.35">
      <c r="G6528" s="215">
        <v>6521</v>
      </c>
      <c r="H6528" s="16">
        <f t="shared" ca="1" si="109"/>
        <v>-3.252567130368765E-2</v>
      </c>
    </row>
    <row r="6529" spans="7:8" x14ac:dyDescent="0.35">
      <c r="G6529" s="215">
        <v>6522</v>
      </c>
      <c r="H6529" s="16">
        <f t="shared" ca="1" si="109"/>
        <v>-4.0047003955269098E-2</v>
      </c>
    </row>
    <row r="6530" spans="7:8" x14ac:dyDescent="0.35">
      <c r="G6530" s="215">
        <v>6523</v>
      </c>
      <c r="H6530" s="16">
        <f t="shared" ca="1" si="109"/>
        <v>-4.2856645823602865E-2</v>
      </c>
    </row>
    <row r="6531" spans="7:8" x14ac:dyDescent="0.35">
      <c r="G6531" s="215">
        <v>6524</v>
      </c>
      <c r="H6531" s="16">
        <f t="shared" ca="1" si="109"/>
        <v>-0.11979420379766295</v>
      </c>
    </row>
    <row r="6532" spans="7:8" x14ac:dyDescent="0.35">
      <c r="G6532" s="215">
        <v>6525</v>
      </c>
      <c r="H6532" s="16">
        <f t="shared" ca="1" si="109"/>
        <v>-6.9154069396430706E-2</v>
      </c>
    </row>
    <row r="6533" spans="7:8" x14ac:dyDescent="0.35">
      <c r="G6533" s="215">
        <v>6526</v>
      </c>
      <c r="H6533" s="16">
        <f t="shared" ca="1" si="109"/>
        <v>7.7730241938179734E-2</v>
      </c>
    </row>
    <row r="6534" spans="7:8" x14ac:dyDescent="0.35">
      <c r="G6534" s="215">
        <v>6527</v>
      </c>
      <c r="H6534" s="16">
        <f t="shared" ca="1" si="109"/>
        <v>0.10580787255995197</v>
      </c>
    </row>
    <row r="6535" spans="7:8" x14ac:dyDescent="0.35">
      <c r="G6535" s="215">
        <v>6528</v>
      </c>
      <c r="H6535" s="16">
        <f t="shared" ca="1" si="109"/>
        <v>7.0114822989268258E-2</v>
      </c>
    </row>
    <row r="6536" spans="7:8" x14ac:dyDescent="0.35">
      <c r="G6536" s="215">
        <v>6529</v>
      </c>
      <c r="H6536" s="16">
        <f t="shared" ref="H6536:H6599" ca="1" si="110">_xlfn.NORM.INV(RAND(),M$10,M$11)</f>
        <v>-5.8729431228008618E-3</v>
      </c>
    </row>
    <row r="6537" spans="7:8" x14ac:dyDescent="0.35">
      <c r="G6537" s="215">
        <v>6530</v>
      </c>
      <c r="H6537" s="16">
        <f t="shared" ca="1" si="110"/>
        <v>7.6272259040166251E-3</v>
      </c>
    </row>
    <row r="6538" spans="7:8" x14ac:dyDescent="0.35">
      <c r="G6538" s="215">
        <v>6531</v>
      </c>
      <c r="H6538" s="16">
        <f t="shared" ca="1" si="110"/>
        <v>0.11046253101372516</v>
      </c>
    </row>
    <row r="6539" spans="7:8" x14ac:dyDescent="0.35">
      <c r="G6539" s="215">
        <v>6532</v>
      </c>
      <c r="H6539" s="16">
        <f t="shared" ca="1" si="110"/>
        <v>-3.5300075574601297E-2</v>
      </c>
    </row>
    <row r="6540" spans="7:8" x14ac:dyDescent="0.35">
      <c r="G6540" s="215">
        <v>6533</v>
      </c>
      <c r="H6540" s="16">
        <f t="shared" ca="1" si="110"/>
        <v>-9.4151272997579971E-2</v>
      </c>
    </row>
    <row r="6541" spans="7:8" x14ac:dyDescent="0.35">
      <c r="G6541" s="215">
        <v>6534</v>
      </c>
      <c r="H6541" s="16">
        <f t="shared" ca="1" si="110"/>
        <v>1.4490415436938367E-2</v>
      </c>
    </row>
    <row r="6542" spans="7:8" x14ac:dyDescent="0.35">
      <c r="G6542" s="215">
        <v>6535</v>
      </c>
      <c r="H6542" s="16">
        <f t="shared" ca="1" si="110"/>
        <v>5.0707586694540258E-2</v>
      </c>
    </row>
    <row r="6543" spans="7:8" x14ac:dyDescent="0.35">
      <c r="G6543" s="215">
        <v>6536</v>
      </c>
      <c r="H6543" s="16">
        <f t="shared" ca="1" si="110"/>
        <v>-1.907793416444822E-2</v>
      </c>
    </row>
    <row r="6544" spans="7:8" x14ac:dyDescent="0.35">
      <c r="G6544" s="215">
        <v>6537</v>
      </c>
      <c r="H6544" s="16">
        <f t="shared" ca="1" si="110"/>
        <v>-8.7883286779069092E-2</v>
      </c>
    </row>
    <row r="6545" spans="7:8" x14ac:dyDescent="0.35">
      <c r="G6545" s="215">
        <v>6538</v>
      </c>
      <c r="H6545" s="16">
        <f t="shared" ca="1" si="110"/>
        <v>4.3241175241153645E-4</v>
      </c>
    </row>
    <row r="6546" spans="7:8" x14ac:dyDescent="0.35">
      <c r="G6546" s="215">
        <v>6539</v>
      </c>
      <c r="H6546" s="16">
        <f t="shared" ca="1" si="110"/>
        <v>-4.6880755074762276E-2</v>
      </c>
    </row>
    <row r="6547" spans="7:8" x14ac:dyDescent="0.35">
      <c r="G6547" s="215">
        <v>6540</v>
      </c>
      <c r="H6547" s="16">
        <f t="shared" ca="1" si="110"/>
        <v>-3.8298798000996892E-2</v>
      </c>
    </row>
    <row r="6548" spans="7:8" x14ac:dyDescent="0.35">
      <c r="G6548" s="215">
        <v>6541</v>
      </c>
      <c r="H6548" s="16">
        <f t="shared" ca="1" si="110"/>
        <v>-1.1892094676315957E-2</v>
      </c>
    </row>
    <row r="6549" spans="7:8" x14ac:dyDescent="0.35">
      <c r="G6549" s="215">
        <v>6542</v>
      </c>
      <c r="H6549" s="16">
        <f t="shared" ca="1" si="110"/>
        <v>0.1320433341974892</v>
      </c>
    </row>
    <row r="6550" spans="7:8" x14ac:dyDescent="0.35">
      <c r="G6550" s="215">
        <v>6543</v>
      </c>
      <c r="H6550" s="16">
        <f t="shared" ca="1" si="110"/>
        <v>4.1346624131882635E-2</v>
      </c>
    </row>
    <row r="6551" spans="7:8" x14ac:dyDescent="0.35">
      <c r="G6551" s="215">
        <v>6544</v>
      </c>
      <c r="H6551" s="16">
        <f t="shared" ca="1" si="110"/>
        <v>2.7090725291616772E-2</v>
      </c>
    </row>
    <row r="6552" spans="7:8" x14ac:dyDescent="0.35">
      <c r="G6552" s="215">
        <v>6545</v>
      </c>
      <c r="H6552" s="16">
        <f t="shared" ca="1" si="110"/>
        <v>7.6698689424847775E-3</v>
      </c>
    </row>
    <row r="6553" spans="7:8" x14ac:dyDescent="0.35">
      <c r="G6553" s="215">
        <v>6546</v>
      </c>
      <c r="H6553" s="16">
        <f t="shared" ca="1" si="110"/>
        <v>-7.2921948501513192E-2</v>
      </c>
    </row>
    <row r="6554" spans="7:8" x14ac:dyDescent="0.35">
      <c r="G6554" s="215">
        <v>6547</v>
      </c>
      <c r="H6554" s="16">
        <f t="shared" ca="1" si="110"/>
        <v>5.2855582324667458E-2</v>
      </c>
    </row>
    <row r="6555" spans="7:8" x14ac:dyDescent="0.35">
      <c r="G6555" s="215">
        <v>6548</v>
      </c>
      <c r="H6555" s="16">
        <f t="shared" ca="1" si="110"/>
        <v>2.6905257577078769E-2</v>
      </c>
    </row>
    <row r="6556" spans="7:8" x14ac:dyDescent="0.35">
      <c r="G6556" s="215">
        <v>6549</v>
      </c>
      <c r="H6556" s="16">
        <f t="shared" ca="1" si="110"/>
        <v>-1.3714822780448211E-2</v>
      </c>
    </row>
    <row r="6557" spans="7:8" x14ac:dyDescent="0.35">
      <c r="G6557" s="215">
        <v>6550</v>
      </c>
      <c r="H6557" s="16">
        <f t="shared" ca="1" si="110"/>
        <v>2.2929042934372815E-2</v>
      </c>
    </row>
    <row r="6558" spans="7:8" x14ac:dyDescent="0.35">
      <c r="G6558" s="215">
        <v>6551</v>
      </c>
      <c r="H6558" s="16">
        <f t="shared" ca="1" si="110"/>
        <v>1.2982959321543839E-2</v>
      </c>
    </row>
    <row r="6559" spans="7:8" x14ac:dyDescent="0.35">
      <c r="G6559" s="215">
        <v>6552</v>
      </c>
      <c r="H6559" s="16">
        <f t="shared" ca="1" si="110"/>
        <v>-6.8330309142247969E-3</v>
      </c>
    </row>
    <row r="6560" spans="7:8" x14ac:dyDescent="0.35">
      <c r="G6560" s="215">
        <v>6553</v>
      </c>
      <c r="H6560" s="16">
        <f t="shared" ca="1" si="110"/>
        <v>6.4165048666305721E-2</v>
      </c>
    </row>
    <row r="6561" spans="7:8" x14ac:dyDescent="0.35">
      <c r="G6561" s="215">
        <v>6554</v>
      </c>
      <c r="H6561" s="16">
        <f t="shared" ca="1" si="110"/>
        <v>1.8513640238732219E-2</v>
      </c>
    </row>
    <row r="6562" spans="7:8" x14ac:dyDescent="0.35">
      <c r="G6562" s="215">
        <v>6555</v>
      </c>
      <c r="H6562" s="16">
        <f t="shared" ca="1" si="110"/>
        <v>-5.5457763946081276E-2</v>
      </c>
    </row>
    <row r="6563" spans="7:8" x14ac:dyDescent="0.35">
      <c r="G6563" s="215">
        <v>6556</v>
      </c>
      <c r="H6563" s="16">
        <f t="shared" ca="1" si="110"/>
        <v>-9.0253891638103836E-3</v>
      </c>
    </row>
    <row r="6564" spans="7:8" x14ac:dyDescent="0.35">
      <c r="G6564" s="215">
        <v>6557</v>
      </c>
      <c r="H6564" s="16">
        <f t="shared" ca="1" si="110"/>
        <v>6.1703600528121738E-2</v>
      </c>
    </row>
    <row r="6565" spans="7:8" x14ac:dyDescent="0.35">
      <c r="G6565" s="215">
        <v>6558</v>
      </c>
      <c r="H6565" s="16">
        <f t="shared" ca="1" si="110"/>
        <v>4.842752446521148E-2</v>
      </c>
    </row>
    <row r="6566" spans="7:8" x14ac:dyDescent="0.35">
      <c r="G6566" s="215">
        <v>6559</v>
      </c>
      <c r="H6566" s="16">
        <f t="shared" ca="1" si="110"/>
        <v>7.0783209231565114E-2</v>
      </c>
    </row>
    <row r="6567" spans="7:8" x14ac:dyDescent="0.35">
      <c r="G6567" s="215">
        <v>6560</v>
      </c>
      <c r="H6567" s="16">
        <f t="shared" ca="1" si="110"/>
        <v>-2.2144005553569778E-2</v>
      </c>
    </row>
    <row r="6568" spans="7:8" x14ac:dyDescent="0.35">
      <c r="G6568" s="215">
        <v>6561</v>
      </c>
      <c r="H6568" s="16">
        <f t="shared" ca="1" si="110"/>
        <v>0.10993162905693024</v>
      </c>
    </row>
    <row r="6569" spans="7:8" x14ac:dyDescent="0.35">
      <c r="G6569" s="215">
        <v>6562</v>
      </c>
      <c r="H6569" s="16">
        <f t="shared" ca="1" si="110"/>
        <v>6.2618637243028449E-2</v>
      </c>
    </row>
    <row r="6570" spans="7:8" x14ac:dyDescent="0.35">
      <c r="G6570" s="215">
        <v>6563</v>
      </c>
      <c r="H6570" s="16">
        <f t="shared" ca="1" si="110"/>
        <v>-6.1917052817608662E-2</v>
      </c>
    </row>
    <row r="6571" spans="7:8" x14ac:dyDescent="0.35">
      <c r="G6571" s="215">
        <v>6564</v>
      </c>
      <c r="H6571" s="16">
        <f t="shared" ca="1" si="110"/>
        <v>-1.2743633510865184E-2</v>
      </c>
    </row>
    <row r="6572" spans="7:8" x14ac:dyDescent="0.35">
      <c r="G6572" s="215">
        <v>6565</v>
      </c>
      <c r="H6572" s="16">
        <f t="shared" ca="1" si="110"/>
        <v>-4.2276974373176485E-2</v>
      </c>
    </row>
    <row r="6573" spans="7:8" x14ac:dyDescent="0.35">
      <c r="G6573" s="215">
        <v>6566</v>
      </c>
      <c r="H6573" s="16">
        <f t="shared" ca="1" si="110"/>
        <v>-4.8021713683231521E-2</v>
      </c>
    </row>
    <row r="6574" spans="7:8" x14ac:dyDescent="0.35">
      <c r="G6574" s="215">
        <v>6567</v>
      </c>
      <c r="H6574" s="16">
        <f t="shared" ca="1" si="110"/>
        <v>4.1047599229022458E-2</v>
      </c>
    </row>
    <row r="6575" spans="7:8" x14ac:dyDescent="0.35">
      <c r="G6575" s="215">
        <v>6568</v>
      </c>
      <c r="H6575" s="16">
        <f t="shared" ca="1" si="110"/>
        <v>2.5951612805533722E-2</v>
      </c>
    </row>
    <row r="6576" spans="7:8" x14ac:dyDescent="0.35">
      <c r="G6576" s="215">
        <v>6569</v>
      </c>
      <c r="H6576" s="16">
        <f t="shared" ca="1" si="110"/>
        <v>7.2797530431148949E-2</v>
      </c>
    </row>
    <row r="6577" spans="7:8" x14ac:dyDescent="0.35">
      <c r="G6577" s="215">
        <v>6570</v>
      </c>
      <c r="H6577" s="16">
        <f t="shared" ca="1" si="110"/>
        <v>-3.9668990132890915E-3</v>
      </c>
    </row>
    <row r="6578" spans="7:8" x14ac:dyDescent="0.35">
      <c r="G6578" s="215">
        <v>6571</v>
      </c>
      <c r="H6578" s="16">
        <f t="shared" ca="1" si="110"/>
        <v>6.6798880384175155E-2</v>
      </c>
    </row>
    <row r="6579" spans="7:8" x14ac:dyDescent="0.35">
      <c r="G6579" s="215">
        <v>6572</v>
      </c>
      <c r="H6579" s="16">
        <f t="shared" ca="1" si="110"/>
        <v>-7.8484995596060578E-3</v>
      </c>
    </row>
    <row r="6580" spans="7:8" x14ac:dyDescent="0.35">
      <c r="G6580" s="215">
        <v>6573</v>
      </c>
      <c r="H6580" s="16">
        <f t="shared" ca="1" si="110"/>
        <v>-3.3728031002247971E-2</v>
      </c>
    </row>
    <row r="6581" spans="7:8" x14ac:dyDescent="0.35">
      <c r="G6581" s="215">
        <v>6574</v>
      </c>
      <c r="H6581" s="16">
        <f t="shared" ca="1" si="110"/>
        <v>2.4360046434475778E-2</v>
      </c>
    </row>
    <row r="6582" spans="7:8" x14ac:dyDescent="0.35">
      <c r="G6582" s="215">
        <v>6575</v>
      </c>
      <c r="H6582" s="16">
        <f t="shared" ca="1" si="110"/>
        <v>2.1969619963420658E-2</v>
      </c>
    </row>
    <row r="6583" spans="7:8" x14ac:dyDescent="0.35">
      <c r="G6583" s="215">
        <v>6576</v>
      </c>
      <c r="H6583" s="16">
        <f t="shared" ca="1" si="110"/>
        <v>3.0879903905272441E-2</v>
      </c>
    </row>
    <row r="6584" spans="7:8" x14ac:dyDescent="0.35">
      <c r="G6584" s="215">
        <v>6577</v>
      </c>
      <c r="H6584" s="16">
        <f t="shared" ca="1" si="110"/>
        <v>4.9591109317651275E-2</v>
      </c>
    </row>
    <row r="6585" spans="7:8" x14ac:dyDescent="0.35">
      <c r="G6585" s="215">
        <v>6578</v>
      </c>
      <c r="H6585" s="16">
        <f t="shared" ca="1" si="110"/>
        <v>-4.3679134392842614E-2</v>
      </c>
    </row>
    <row r="6586" spans="7:8" x14ac:dyDescent="0.35">
      <c r="G6586" s="215">
        <v>6579</v>
      </c>
      <c r="H6586" s="16">
        <f t="shared" ca="1" si="110"/>
        <v>6.1112343324408153E-2</v>
      </c>
    </row>
    <row r="6587" spans="7:8" x14ac:dyDescent="0.35">
      <c r="G6587" s="215">
        <v>6580</v>
      </c>
      <c r="H6587" s="16">
        <f t="shared" ca="1" si="110"/>
        <v>-2.2636781830285436E-2</v>
      </c>
    </row>
    <row r="6588" spans="7:8" x14ac:dyDescent="0.35">
      <c r="G6588" s="215">
        <v>6581</v>
      </c>
      <c r="H6588" s="16">
        <f t="shared" ca="1" si="110"/>
        <v>-3.5204750089595671E-2</v>
      </c>
    </row>
    <row r="6589" spans="7:8" x14ac:dyDescent="0.35">
      <c r="G6589" s="215">
        <v>6582</v>
      </c>
      <c r="H6589" s="16">
        <f t="shared" ca="1" si="110"/>
        <v>-3.9332375093977842E-2</v>
      </c>
    </row>
    <row r="6590" spans="7:8" x14ac:dyDescent="0.35">
      <c r="G6590" s="215">
        <v>6583</v>
      </c>
      <c r="H6590" s="16">
        <f t="shared" ca="1" si="110"/>
        <v>4.0308287374490104E-2</v>
      </c>
    </row>
    <row r="6591" spans="7:8" x14ac:dyDescent="0.35">
      <c r="G6591" s="215">
        <v>6584</v>
      </c>
      <c r="H6591" s="16">
        <f t="shared" ca="1" si="110"/>
        <v>0.14039608803298734</v>
      </c>
    </row>
    <row r="6592" spans="7:8" x14ac:dyDescent="0.35">
      <c r="G6592" s="215">
        <v>6585</v>
      </c>
      <c r="H6592" s="16">
        <f t="shared" ca="1" si="110"/>
        <v>-2.2716758027021989E-2</v>
      </c>
    </row>
    <row r="6593" spans="7:8" x14ac:dyDescent="0.35">
      <c r="G6593" s="215">
        <v>6586</v>
      </c>
      <c r="H6593" s="16">
        <f t="shared" ca="1" si="110"/>
        <v>-0.21325630544240587</v>
      </c>
    </row>
    <row r="6594" spans="7:8" x14ac:dyDescent="0.35">
      <c r="G6594" s="215">
        <v>6587</v>
      </c>
      <c r="H6594" s="16">
        <f t="shared" ca="1" si="110"/>
        <v>-2.9862018644569444E-3</v>
      </c>
    </row>
    <row r="6595" spans="7:8" x14ac:dyDescent="0.35">
      <c r="G6595" s="215">
        <v>6588</v>
      </c>
      <c r="H6595" s="16">
        <f t="shared" ca="1" si="110"/>
        <v>0.14615027381390697</v>
      </c>
    </row>
    <row r="6596" spans="7:8" x14ac:dyDescent="0.35">
      <c r="G6596" s="215">
        <v>6589</v>
      </c>
      <c r="H6596" s="16">
        <f t="shared" ca="1" si="110"/>
        <v>0.18731103007090938</v>
      </c>
    </row>
    <row r="6597" spans="7:8" x14ac:dyDescent="0.35">
      <c r="G6597" s="215">
        <v>6590</v>
      </c>
      <c r="H6597" s="16">
        <f t="shared" ca="1" si="110"/>
        <v>-6.6570972372998458E-2</v>
      </c>
    </row>
    <row r="6598" spans="7:8" x14ac:dyDescent="0.35">
      <c r="G6598" s="215">
        <v>6591</v>
      </c>
      <c r="H6598" s="16">
        <f t="shared" ca="1" si="110"/>
        <v>5.13877734993642E-2</v>
      </c>
    </row>
    <row r="6599" spans="7:8" x14ac:dyDescent="0.35">
      <c r="G6599" s="215">
        <v>6592</v>
      </c>
      <c r="H6599" s="16">
        <f t="shared" ca="1" si="110"/>
        <v>-9.114505452793957E-2</v>
      </c>
    </row>
    <row r="6600" spans="7:8" x14ac:dyDescent="0.35">
      <c r="G6600" s="215">
        <v>6593</v>
      </c>
      <c r="H6600" s="16">
        <f t="shared" ref="H6600:H6663" ca="1" si="111">_xlfn.NORM.INV(RAND(),M$10,M$11)</f>
        <v>-5.024100365866517E-2</v>
      </c>
    </row>
    <row r="6601" spans="7:8" x14ac:dyDescent="0.35">
      <c r="G6601" s="215">
        <v>6594</v>
      </c>
      <c r="H6601" s="16">
        <f t="shared" ca="1" si="111"/>
        <v>2.111243071076704E-3</v>
      </c>
    </row>
    <row r="6602" spans="7:8" x14ac:dyDescent="0.35">
      <c r="G6602" s="215">
        <v>6595</v>
      </c>
      <c r="H6602" s="16">
        <f t="shared" ca="1" si="111"/>
        <v>0.17868122882384843</v>
      </c>
    </row>
    <row r="6603" spans="7:8" x14ac:dyDescent="0.35">
      <c r="G6603" s="215">
        <v>6596</v>
      </c>
      <c r="H6603" s="16">
        <f t="shared" ca="1" si="111"/>
        <v>-5.4262587216784439E-2</v>
      </c>
    </row>
    <row r="6604" spans="7:8" x14ac:dyDescent="0.35">
      <c r="G6604" s="215">
        <v>6597</v>
      </c>
      <c r="H6604" s="16">
        <f t="shared" ca="1" si="111"/>
        <v>-1.2230346617673041E-2</v>
      </c>
    </row>
    <row r="6605" spans="7:8" x14ac:dyDescent="0.35">
      <c r="G6605" s="215">
        <v>6598</v>
      </c>
      <c r="H6605" s="16">
        <f t="shared" ca="1" si="111"/>
        <v>0.11984471005217673</v>
      </c>
    </row>
    <row r="6606" spans="7:8" x14ac:dyDescent="0.35">
      <c r="G6606" s="215">
        <v>6599</v>
      </c>
      <c r="H6606" s="16">
        <f t="shared" ca="1" si="111"/>
        <v>0.14043909946508459</v>
      </c>
    </row>
    <row r="6607" spans="7:8" x14ac:dyDescent="0.35">
      <c r="G6607" s="215">
        <v>6600</v>
      </c>
      <c r="H6607" s="16">
        <f t="shared" ca="1" si="111"/>
        <v>1.3926682442459004E-2</v>
      </c>
    </row>
    <row r="6608" spans="7:8" x14ac:dyDescent="0.35">
      <c r="G6608" s="215">
        <v>6601</v>
      </c>
      <c r="H6608" s="16">
        <f t="shared" ca="1" si="111"/>
        <v>-0.11117467100812289</v>
      </c>
    </row>
    <row r="6609" spans="7:8" x14ac:dyDescent="0.35">
      <c r="G6609" s="215">
        <v>6602</v>
      </c>
      <c r="H6609" s="16">
        <f t="shared" ca="1" si="111"/>
        <v>6.0590321940294414E-2</v>
      </c>
    </row>
    <row r="6610" spans="7:8" x14ac:dyDescent="0.35">
      <c r="G6610" s="215">
        <v>6603</v>
      </c>
      <c r="H6610" s="16">
        <f t="shared" ca="1" si="111"/>
        <v>0.10197839984490202</v>
      </c>
    </row>
    <row r="6611" spans="7:8" x14ac:dyDescent="0.35">
      <c r="G6611" s="215">
        <v>6604</v>
      </c>
      <c r="H6611" s="16">
        <f t="shared" ca="1" si="111"/>
        <v>5.9327837708830294E-2</v>
      </c>
    </row>
    <row r="6612" spans="7:8" x14ac:dyDescent="0.35">
      <c r="G6612" s="215">
        <v>6605</v>
      </c>
      <c r="H6612" s="16">
        <f t="shared" ca="1" si="111"/>
        <v>7.4246481157820787E-2</v>
      </c>
    </row>
    <row r="6613" spans="7:8" x14ac:dyDescent="0.35">
      <c r="G6613" s="215">
        <v>6606</v>
      </c>
      <c r="H6613" s="16">
        <f t="shared" ca="1" si="111"/>
        <v>-1.183159501427521E-2</v>
      </c>
    </row>
    <row r="6614" spans="7:8" x14ac:dyDescent="0.35">
      <c r="G6614" s="215">
        <v>6607</v>
      </c>
      <c r="H6614" s="16">
        <f t="shared" ca="1" si="111"/>
        <v>-5.2650565883661044E-2</v>
      </c>
    </row>
    <row r="6615" spans="7:8" x14ac:dyDescent="0.35">
      <c r="G6615" s="215">
        <v>6608</v>
      </c>
      <c r="H6615" s="16">
        <f t="shared" ca="1" si="111"/>
        <v>-8.863378877585304E-2</v>
      </c>
    </row>
    <row r="6616" spans="7:8" x14ac:dyDescent="0.35">
      <c r="G6616" s="215">
        <v>6609</v>
      </c>
      <c r="H6616" s="16">
        <f t="shared" ca="1" si="111"/>
        <v>-1.7826618119774283E-2</v>
      </c>
    </row>
    <row r="6617" spans="7:8" x14ac:dyDescent="0.35">
      <c r="G6617" s="215">
        <v>6610</v>
      </c>
      <c r="H6617" s="16">
        <f t="shared" ca="1" si="111"/>
        <v>-5.3407519659618069E-2</v>
      </c>
    </row>
    <row r="6618" spans="7:8" x14ac:dyDescent="0.35">
      <c r="G6618" s="215">
        <v>6611</v>
      </c>
      <c r="H6618" s="16">
        <f t="shared" ca="1" si="111"/>
        <v>-2.4697315341928861E-2</v>
      </c>
    </row>
    <row r="6619" spans="7:8" x14ac:dyDescent="0.35">
      <c r="G6619" s="215">
        <v>6612</v>
      </c>
      <c r="H6619" s="16">
        <f t="shared" ca="1" si="111"/>
        <v>0.10102324340548131</v>
      </c>
    </row>
    <row r="6620" spans="7:8" x14ac:dyDescent="0.35">
      <c r="G6620" s="215">
        <v>6613</v>
      </c>
      <c r="H6620" s="16">
        <f t="shared" ca="1" si="111"/>
        <v>9.5904809836871552E-2</v>
      </c>
    </row>
    <row r="6621" spans="7:8" x14ac:dyDescent="0.35">
      <c r="G6621" s="215">
        <v>6614</v>
      </c>
      <c r="H6621" s="16">
        <f t="shared" ca="1" si="111"/>
        <v>0.11250037438464865</v>
      </c>
    </row>
    <row r="6622" spans="7:8" x14ac:dyDescent="0.35">
      <c r="G6622" s="215">
        <v>6615</v>
      </c>
      <c r="H6622" s="16">
        <f t="shared" ca="1" si="111"/>
        <v>-7.0178490039906928E-3</v>
      </c>
    </row>
    <row r="6623" spans="7:8" x14ac:dyDescent="0.35">
      <c r="G6623" s="215">
        <v>6616</v>
      </c>
      <c r="H6623" s="16">
        <f t="shared" ca="1" si="111"/>
        <v>-7.6956056335859932E-2</v>
      </c>
    </row>
    <row r="6624" spans="7:8" x14ac:dyDescent="0.35">
      <c r="G6624" s="215">
        <v>6617</v>
      </c>
      <c r="H6624" s="16">
        <f t="shared" ca="1" si="111"/>
        <v>-4.173881706237241E-2</v>
      </c>
    </row>
    <row r="6625" spans="7:8" x14ac:dyDescent="0.35">
      <c r="G6625" s="215">
        <v>6618</v>
      </c>
      <c r="H6625" s="16">
        <f t="shared" ca="1" si="111"/>
        <v>3.5857483780415367E-2</v>
      </c>
    </row>
    <row r="6626" spans="7:8" x14ac:dyDescent="0.35">
      <c r="G6626" s="215">
        <v>6619</v>
      </c>
      <c r="H6626" s="16">
        <f t="shared" ca="1" si="111"/>
        <v>8.1512249367354482E-3</v>
      </c>
    </row>
    <row r="6627" spans="7:8" x14ac:dyDescent="0.35">
      <c r="G6627" s="215">
        <v>6620</v>
      </c>
      <c r="H6627" s="16">
        <f t="shared" ca="1" si="111"/>
        <v>-0.12474655157837433</v>
      </c>
    </row>
    <row r="6628" spans="7:8" x14ac:dyDescent="0.35">
      <c r="G6628" s="215">
        <v>6621</v>
      </c>
      <c r="H6628" s="16">
        <f t="shared" ca="1" si="111"/>
        <v>-8.8338500057000016E-2</v>
      </c>
    </row>
    <row r="6629" spans="7:8" x14ac:dyDescent="0.35">
      <c r="G6629" s="215">
        <v>6622</v>
      </c>
      <c r="H6629" s="16">
        <f t="shared" ca="1" si="111"/>
        <v>1.8352089566722258E-2</v>
      </c>
    </row>
    <row r="6630" spans="7:8" x14ac:dyDescent="0.35">
      <c r="G6630" s="215">
        <v>6623</v>
      </c>
      <c r="H6630" s="16">
        <f t="shared" ca="1" si="111"/>
        <v>9.5914906611614198E-2</v>
      </c>
    </row>
    <row r="6631" spans="7:8" x14ac:dyDescent="0.35">
      <c r="G6631" s="215">
        <v>6624</v>
      </c>
      <c r="H6631" s="16">
        <f t="shared" ca="1" si="111"/>
        <v>-9.3516651232137246E-2</v>
      </c>
    </row>
    <row r="6632" spans="7:8" x14ac:dyDescent="0.35">
      <c r="G6632" s="215">
        <v>6625</v>
      </c>
      <c r="H6632" s="16">
        <f t="shared" ca="1" si="111"/>
        <v>-1.1843651909732196E-3</v>
      </c>
    </row>
    <row r="6633" spans="7:8" x14ac:dyDescent="0.35">
      <c r="G6633" s="215">
        <v>6626</v>
      </c>
      <c r="H6633" s="16">
        <f t="shared" ca="1" si="111"/>
        <v>0.13869334124135674</v>
      </c>
    </row>
    <row r="6634" spans="7:8" x14ac:dyDescent="0.35">
      <c r="G6634" s="215">
        <v>6627</v>
      </c>
      <c r="H6634" s="16">
        <f t="shared" ca="1" si="111"/>
        <v>1.1963526217586474E-2</v>
      </c>
    </row>
    <row r="6635" spans="7:8" x14ac:dyDescent="0.35">
      <c r="G6635" s="215">
        <v>6628</v>
      </c>
      <c r="H6635" s="16">
        <f t="shared" ca="1" si="111"/>
        <v>4.057386479554323E-2</v>
      </c>
    </row>
    <row r="6636" spans="7:8" x14ac:dyDescent="0.35">
      <c r="G6636" s="215">
        <v>6629</v>
      </c>
      <c r="H6636" s="16">
        <f t="shared" ca="1" si="111"/>
        <v>9.6771306549276237E-2</v>
      </c>
    </row>
    <row r="6637" spans="7:8" x14ac:dyDescent="0.35">
      <c r="G6637" s="215">
        <v>6630</v>
      </c>
      <c r="H6637" s="16">
        <f t="shared" ca="1" si="111"/>
        <v>3.0347641224840374E-2</v>
      </c>
    </row>
    <row r="6638" spans="7:8" x14ac:dyDescent="0.35">
      <c r="G6638" s="215">
        <v>6631</v>
      </c>
      <c r="H6638" s="16">
        <f t="shared" ca="1" si="111"/>
        <v>-8.1168799222211971E-2</v>
      </c>
    </row>
    <row r="6639" spans="7:8" x14ac:dyDescent="0.35">
      <c r="G6639" s="215">
        <v>6632</v>
      </c>
      <c r="H6639" s="16">
        <f t="shared" ca="1" si="111"/>
        <v>-9.0583025071918039E-2</v>
      </c>
    </row>
    <row r="6640" spans="7:8" x14ac:dyDescent="0.35">
      <c r="G6640" s="215">
        <v>6633</v>
      </c>
      <c r="H6640" s="16">
        <f t="shared" ca="1" si="111"/>
        <v>-0.10180678567223002</v>
      </c>
    </row>
    <row r="6641" spans="7:8" x14ac:dyDescent="0.35">
      <c r="G6641" s="215">
        <v>6634</v>
      </c>
      <c r="H6641" s="16">
        <f t="shared" ca="1" si="111"/>
        <v>2.7008179732340439E-2</v>
      </c>
    </row>
    <row r="6642" spans="7:8" x14ac:dyDescent="0.35">
      <c r="G6642" s="215">
        <v>6635</v>
      </c>
      <c r="H6642" s="16">
        <f t="shared" ca="1" si="111"/>
        <v>8.1790067113862355E-3</v>
      </c>
    </row>
    <row r="6643" spans="7:8" x14ac:dyDescent="0.35">
      <c r="G6643" s="215">
        <v>6636</v>
      </c>
      <c r="H6643" s="16">
        <f t="shared" ca="1" si="111"/>
        <v>0.14137599921589086</v>
      </c>
    </row>
    <row r="6644" spans="7:8" x14ac:dyDescent="0.35">
      <c r="G6644" s="215">
        <v>6637</v>
      </c>
      <c r="H6644" s="16">
        <f t="shared" ca="1" si="111"/>
        <v>-8.3246230185742384E-2</v>
      </c>
    </row>
    <row r="6645" spans="7:8" x14ac:dyDescent="0.35">
      <c r="G6645" s="215">
        <v>6638</v>
      </c>
      <c r="H6645" s="16">
        <f t="shared" ca="1" si="111"/>
        <v>0.10181316497816323</v>
      </c>
    </row>
    <row r="6646" spans="7:8" x14ac:dyDescent="0.35">
      <c r="G6646" s="215">
        <v>6639</v>
      </c>
      <c r="H6646" s="16">
        <f t="shared" ca="1" si="111"/>
        <v>-4.0011518379376027E-2</v>
      </c>
    </row>
    <row r="6647" spans="7:8" x14ac:dyDescent="0.35">
      <c r="G6647" s="215">
        <v>6640</v>
      </c>
      <c r="H6647" s="16">
        <f t="shared" ca="1" si="111"/>
        <v>-3.8080883462552714E-2</v>
      </c>
    </row>
    <row r="6648" spans="7:8" x14ac:dyDescent="0.35">
      <c r="G6648" s="215">
        <v>6641</v>
      </c>
      <c r="H6648" s="16">
        <f t="shared" ca="1" si="111"/>
        <v>5.6881572054777438E-2</v>
      </c>
    </row>
    <row r="6649" spans="7:8" x14ac:dyDescent="0.35">
      <c r="G6649" s="215">
        <v>6642</v>
      </c>
      <c r="H6649" s="16">
        <f t="shared" ca="1" si="111"/>
        <v>-4.391151101788289E-3</v>
      </c>
    </row>
    <row r="6650" spans="7:8" x14ac:dyDescent="0.35">
      <c r="G6650" s="215">
        <v>6643</v>
      </c>
      <c r="H6650" s="16">
        <f t="shared" ca="1" si="111"/>
        <v>0.10362343497918454</v>
      </c>
    </row>
    <row r="6651" spans="7:8" x14ac:dyDescent="0.35">
      <c r="G6651" s="215">
        <v>6644</v>
      </c>
      <c r="H6651" s="16">
        <f t="shared" ca="1" si="111"/>
        <v>-7.5355100082035428E-2</v>
      </c>
    </row>
    <row r="6652" spans="7:8" x14ac:dyDescent="0.35">
      <c r="G6652" s="215">
        <v>6645</v>
      </c>
      <c r="H6652" s="16">
        <f t="shared" ca="1" si="111"/>
        <v>-0.13579706262948893</v>
      </c>
    </row>
    <row r="6653" spans="7:8" x14ac:dyDescent="0.35">
      <c r="G6653" s="215">
        <v>6646</v>
      </c>
      <c r="H6653" s="16">
        <f t="shared" ca="1" si="111"/>
        <v>9.2715992157226992E-2</v>
      </c>
    </row>
    <row r="6654" spans="7:8" x14ac:dyDescent="0.35">
      <c r="G6654" s="215">
        <v>6647</v>
      </c>
      <c r="H6654" s="16">
        <f t="shared" ca="1" si="111"/>
        <v>-9.4606421642742328E-2</v>
      </c>
    </row>
    <row r="6655" spans="7:8" x14ac:dyDescent="0.35">
      <c r="G6655" s="215">
        <v>6648</v>
      </c>
      <c r="H6655" s="16">
        <f t="shared" ca="1" si="111"/>
        <v>5.3697251726725945E-2</v>
      </c>
    </row>
    <row r="6656" spans="7:8" x14ac:dyDescent="0.35">
      <c r="G6656" s="215">
        <v>6649</v>
      </c>
      <c r="H6656" s="16">
        <f t="shared" ca="1" si="111"/>
        <v>-2.5748042627240387E-2</v>
      </c>
    </row>
    <row r="6657" spans="7:8" x14ac:dyDescent="0.35">
      <c r="G6657" s="215">
        <v>6650</v>
      </c>
      <c r="H6657" s="16">
        <f t="shared" ca="1" si="111"/>
        <v>-3.9095745797857018E-2</v>
      </c>
    </row>
    <row r="6658" spans="7:8" x14ac:dyDescent="0.35">
      <c r="G6658" s="215">
        <v>6651</v>
      </c>
      <c r="H6658" s="16">
        <f t="shared" ca="1" si="111"/>
        <v>-7.8914883155251039E-2</v>
      </c>
    </row>
    <row r="6659" spans="7:8" x14ac:dyDescent="0.35">
      <c r="G6659" s="215">
        <v>6652</v>
      </c>
      <c r="H6659" s="16">
        <f t="shared" ca="1" si="111"/>
        <v>-5.422675626567218E-2</v>
      </c>
    </row>
    <row r="6660" spans="7:8" x14ac:dyDescent="0.35">
      <c r="G6660" s="215">
        <v>6653</v>
      </c>
      <c r="H6660" s="16">
        <f t="shared" ca="1" si="111"/>
        <v>-1.7327724926385322E-2</v>
      </c>
    </row>
    <row r="6661" spans="7:8" x14ac:dyDescent="0.35">
      <c r="G6661" s="215">
        <v>6654</v>
      </c>
      <c r="H6661" s="16">
        <f t="shared" ca="1" si="111"/>
        <v>-5.3448872623074975E-2</v>
      </c>
    </row>
    <row r="6662" spans="7:8" x14ac:dyDescent="0.35">
      <c r="G6662" s="215">
        <v>6655</v>
      </c>
      <c r="H6662" s="16">
        <f t="shared" ca="1" si="111"/>
        <v>0.23549742836480786</v>
      </c>
    </row>
    <row r="6663" spans="7:8" x14ac:dyDescent="0.35">
      <c r="G6663" s="215">
        <v>6656</v>
      </c>
      <c r="H6663" s="16">
        <f t="shared" ca="1" si="111"/>
        <v>5.606252560303876E-2</v>
      </c>
    </row>
    <row r="6664" spans="7:8" x14ac:dyDescent="0.35">
      <c r="G6664" s="215">
        <v>6657</v>
      </c>
      <c r="H6664" s="16">
        <f t="shared" ref="H6664:H6727" ca="1" si="112">_xlfn.NORM.INV(RAND(),M$10,M$11)</f>
        <v>-8.0626946137484168E-2</v>
      </c>
    </row>
    <row r="6665" spans="7:8" x14ac:dyDescent="0.35">
      <c r="G6665" s="215">
        <v>6658</v>
      </c>
      <c r="H6665" s="16">
        <f t="shared" ca="1" si="112"/>
        <v>-7.5099428449059299E-2</v>
      </c>
    </row>
    <row r="6666" spans="7:8" x14ac:dyDescent="0.35">
      <c r="G6666" s="215">
        <v>6659</v>
      </c>
      <c r="H6666" s="16">
        <f t="shared" ca="1" si="112"/>
        <v>-3.7999908906012111E-2</v>
      </c>
    </row>
    <row r="6667" spans="7:8" x14ac:dyDescent="0.35">
      <c r="G6667" s="215">
        <v>6660</v>
      </c>
      <c r="H6667" s="16">
        <f t="shared" ca="1" si="112"/>
        <v>-4.3061404163441605E-2</v>
      </c>
    </row>
    <row r="6668" spans="7:8" x14ac:dyDescent="0.35">
      <c r="G6668" s="215">
        <v>6661</v>
      </c>
      <c r="H6668" s="16">
        <f t="shared" ca="1" si="112"/>
        <v>-5.8461629747582136E-2</v>
      </c>
    </row>
    <row r="6669" spans="7:8" x14ac:dyDescent="0.35">
      <c r="G6669" s="215">
        <v>6662</v>
      </c>
      <c r="H6669" s="16">
        <f t="shared" ca="1" si="112"/>
        <v>-4.6063590718218458E-2</v>
      </c>
    </row>
    <row r="6670" spans="7:8" x14ac:dyDescent="0.35">
      <c r="G6670" s="215">
        <v>6663</v>
      </c>
      <c r="H6670" s="16">
        <f t="shared" ca="1" si="112"/>
        <v>3.3937414704826613E-2</v>
      </c>
    </row>
    <row r="6671" spans="7:8" x14ac:dyDescent="0.35">
      <c r="G6671" s="215">
        <v>6664</v>
      </c>
      <c r="H6671" s="16">
        <f t="shared" ca="1" si="112"/>
        <v>-2.3216435335106731E-2</v>
      </c>
    </row>
    <row r="6672" spans="7:8" x14ac:dyDescent="0.35">
      <c r="G6672" s="215">
        <v>6665</v>
      </c>
      <c r="H6672" s="16">
        <f t="shared" ca="1" si="112"/>
        <v>-6.2122177320362931E-2</v>
      </c>
    </row>
    <row r="6673" spans="7:8" x14ac:dyDescent="0.35">
      <c r="G6673" s="215">
        <v>6666</v>
      </c>
      <c r="H6673" s="16">
        <f t="shared" ca="1" si="112"/>
        <v>-8.4500120766463169E-2</v>
      </c>
    </row>
    <row r="6674" spans="7:8" x14ac:dyDescent="0.35">
      <c r="G6674" s="215">
        <v>6667</v>
      </c>
      <c r="H6674" s="16">
        <f t="shared" ca="1" si="112"/>
        <v>0.1289920136652814</v>
      </c>
    </row>
    <row r="6675" spans="7:8" x14ac:dyDescent="0.35">
      <c r="G6675" s="215">
        <v>6668</v>
      </c>
      <c r="H6675" s="16">
        <f t="shared" ca="1" si="112"/>
        <v>-5.2618410204689922E-2</v>
      </c>
    </row>
    <row r="6676" spans="7:8" x14ac:dyDescent="0.35">
      <c r="G6676" s="215">
        <v>6669</v>
      </c>
      <c r="H6676" s="16">
        <f t="shared" ca="1" si="112"/>
        <v>-0.13136942251784584</v>
      </c>
    </row>
    <row r="6677" spans="7:8" x14ac:dyDescent="0.35">
      <c r="G6677" s="215">
        <v>6670</v>
      </c>
      <c r="H6677" s="16">
        <f t="shared" ca="1" si="112"/>
        <v>-5.0653505460427281E-3</v>
      </c>
    </row>
    <row r="6678" spans="7:8" x14ac:dyDescent="0.35">
      <c r="G6678" s="215">
        <v>6671</v>
      </c>
      <c r="H6678" s="16">
        <f t="shared" ca="1" si="112"/>
        <v>3.3343999065864591E-2</v>
      </c>
    </row>
    <row r="6679" spans="7:8" x14ac:dyDescent="0.35">
      <c r="G6679" s="215">
        <v>6672</v>
      </c>
      <c r="H6679" s="16">
        <f t="shared" ca="1" si="112"/>
        <v>-0.16319547863163664</v>
      </c>
    </row>
    <row r="6680" spans="7:8" x14ac:dyDescent="0.35">
      <c r="G6680" s="215">
        <v>6673</v>
      </c>
      <c r="H6680" s="16">
        <f t="shared" ca="1" si="112"/>
        <v>0.12031192070719926</v>
      </c>
    </row>
    <row r="6681" spans="7:8" x14ac:dyDescent="0.35">
      <c r="G6681" s="215">
        <v>6674</v>
      </c>
      <c r="H6681" s="16">
        <f t="shared" ca="1" si="112"/>
        <v>0.10874187390509808</v>
      </c>
    </row>
    <row r="6682" spans="7:8" x14ac:dyDescent="0.35">
      <c r="G6682" s="215">
        <v>6675</v>
      </c>
      <c r="H6682" s="16">
        <f t="shared" ca="1" si="112"/>
        <v>1.4030924958258976E-2</v>
      </c>
    </row>
    <row r="6683" spans="7:8" x14ac:dyDescent="0.35">
      <c r="G6683" s="215">
        <v>6676</v>
      </c>
      <c r="H6683" s="16">
        <f t="shared" ca="1" si="112"/>
        <v>4.1918390182183296E-2</v>
      </c>
    </row>
    <row r="6684" spans="7:8" x14ac:dyDescent="0.35">
      <c r="G6684" s="215">
        <v>6677</v>
      </c>
      <c r="H6684" s="16">
        <f t="shared" ca="1" si="112"/>
        <v>6.8268045297887131E-2</v>
      </c>
    </row>
    <row r="6685" spans="7:8" x14ac:dyDescent="0.35">
      <c r="G6685" s="215">
        <v>6678</v>
      </c>
      <c r="H6685" s="16">
        <f t="shared" ca="1" si="112"/>
        <v>-3.6092776398062618E-2</v>
      </c>
    </row>
    <row r="6686" spans="7:8" x14ac:dyDescent="0.35">
      <c r="G6686" s="215">
        <v>6679</v>
      </c>
      <c r="H6686" s="16">
        <f t="shared" ca="1" si="112"/>
        <v>1.9143957954248156E-2</v>
      </c>
    </row>
    <row r="6687" spans="7:8" x14ac:dyDescent="0.35">
      <c r="G6687" s="215">
        <v>6680</v>
      </c>
      <c r="H6687" s="16">
        <f t="shared" ca="1" si="112"/>
        <v>0.12834792572685358</v>
      </c>
    </row>
    <row r="6688" spans="7:8" x14ac:dyDescent="0.35">
      <c r="G6688" s="215">
        <v>6681</v>
      </c>
      <c r="H6688" s="16">
        <f t="shared" ca="1" si="112"/>
        <v>-0.10053871663456161</v>
      </c>
    </row>
    <row r="6689" spans="7:8" x14ac:dyDescent="0.35">
      <c r="G6689" s="215">
        <v>6682</v>
      </c>
      <c r="H6689" s="16">
        <f t="shared" ca="1" si="112"/>
        <v>-2.2206028993471093E-3</v>
      </c>
    </row>
    <row r="6690" spans="7:8" x14ac:dyDescent="0.35">
      <c r="G6690" s="215">
        <v>6683</v>
      </c>
      <c r="H6690" s="16">
        <f t="shared" ca="1" si="112"/>
        <v>-1.5624343582701573E-2</v>
      </c>
    </row>
    <row r="6691" spans="7:8" x14ac:dyDescent="0.35">
      <c r="G6691" s="215">
        <v>6684</v>
      </c>
      <c r="H6691" s="16">
        <f t="shared" ca="1" si="112"/>
        <v>-4.9607602291705466E-2</v>
      </c>
    </row>
    <row r="6692" spans="7:8" x14ac:dyDescent="0.35">
      <c r="G6692" s="215">
        <v>6685</v>
      </c>
      <c r="H6692" s="16">
        <f t="shared" ca="1" si="112"/>
        <v>-0.13495464812258451</v>
      </c>
    </row>
    <row r="6693" spans="7:8" x14ac:dyDescent="0.35">
      <c r="G6693" s="215">
        <v>6686</v>
      </c>
      <c r="H6693" s="16">
        <f t="shared" ca="1" si="112"/>
        <v>-6.360742975935256E-2</v>
      </c>
    </row>
    <row r="6694" spans="7:8" x14ac:dyDescent="0.35">
      <c r="G6694" s="215">
        <v>6687</v>
      </c>
      <c r="H6694" s="16">
        <f t="shared" ca="1" si="112"/>
        <v>-4.4087583691879956E-2</v>
      </c>
    </row>
    <row r="6695" spans="7:8" x14ac:dyDescent="0.35">
      <c r="G6695" s="215">
        <v>6688</v>
      </c>
      <c r="H6695" s="16">
        <f t="shared" ca="1" si="112"/>
        <v>-2.1376211374511175E-2</v>
      </c>
    </row>
    <row r="6696" spans="7:8" x14ac:dyDescent="0.35">
      <c r="G6696" s="215">
        <v>6689</v>
      </c>
      <c r="H6696" s="16">
        <f t="shared" ca="1" si="112"/>
        <v>7.4320698683511599E-2</v>
      </c>
    </row>
    <row r="6697" spans="7:8" x14ac:dyDescent="0.35">
      <c r="G6697" s="215">
        <v>6690</v>
      </c>
      <c r="H6697" s="16">
        <f t="shared" ca="1" si="112"/>
        <v>5.9474323339845661E-2</v>
      </c>
    </row>
    <row r="6698" spans="7:8" x14ac:dyDescent="0.35">
      <c r="G6698" s="215">
        <v>6691</v>
      </c>
      <c r="H6698" s="16">
        <f t="shared" ca="1" si="112"/>
        <v>7.5620407509043183E-2</v>
      </c>
    </row>
    <row r="6699" spans="7:8" x14ac:dyDescent="0.35">
      <c r="G6699" s="215">
        <v>6692</v>
      </c>
      <c r="H6699" s="16">
        <f t="shared" ca="1" si="112"/>
        <v>0.13668554977582018</v>
      </c>
    </row>
    <row r="6700" spans="7:8" x14ac:dyDescent="0.35">
      <c r="G6700" s="215">
        <v>6693</v>
      </c>
      <c r="H6700" s="16">
        <f t="shared" ca="1" si="112"/>
        <v>-1.2218342237021822E-2</v>
      </c>
    </row>
    <row r="6701" spans="7:8" x14ac:dyDescent="0.35">
      <c r="G6701" s="215">
        <v>6694</v>
      </c>
      <c r="H6701" s="16">
        <f t="shared" ca="1" si="112"/>
        <v>-8.6460619578215617E-2</v>
      </c>
    </row>
    <row r="6702" spans="7:8" x14ac:dyDescent="0.35">
      <c r="G6702" s="215">
        <v>6695</v>
      </c>
      <c r="H6702" s="16">
        <f t="shared" ca="1" si="112"/>
        <v>-8.494997467704582E-2</v>
      </c>
    </row>
    <row r="6703" spans="7:8" x14ac:dyDescent="0.35">
      <c r="G6703" s="215">
        <v>6696</v>
      </c>
      <c r="H6703" s="16">
        <f t="shared" ca="1" si="112"/>
        <v>6.3480428262695149E-2</v>
      </c>
    </row>
    <row r="6704" spans="7:8" x14ac:dyDescent="0.35">
      <c r="G6704" s="215">
        <v>6697</v>
      </c>
      <c r="H6704" s="16">
        <f t="shared" ca="1" si="112"/>
        <v>9.5431249430459643E-3</v>
      </c>
    </row>
    <row r="6705" spans="7:8" x14ac:dyDescent="0.35">
      <c r="G6705" s="215">
        <v>6698</v>
      </c>
      <c r="H6705" s="16">
        <f t="shared" ca="1" si="112"/>
        <v>1.778173720198116E-2</v>
      </c>
    </row>
    <row r="6706" spans="7:8" x14ac:dyDescent="0.35">
      <c r="G6706" s="215">
        <v>6699</v>
      </c>
      <c r="H6706" s="16">
        <f t="shared" ca="1" si="112"/>
        <v>3.3795249946479936E-2</v>
      </c>
    </row>
    <row r="6707" spans="7:8" x14ac:dyDescent="0.35">
      <c r="G6707" s="215">
        <v>6700</v>
      </c>
      <c r="H6707" s="16">
        <f t="shared" ca="1" si="112"/>
        <v>5.8567897779075173E-2</v>
      </c>
    </row>
    <row r="6708" spans="7:8" x14ac:dyDescent="0.35">
      <c r="G6708" s="215">
        <v>6701</v>
      </c>
      <c r="H6708" s="16">
        <f t="shared" ca="1" si="112"/>
        <v>0.15781589033450483</v>
      </c>
    </row>
    <row r="6709" spans="7:8" x14ac:dyDescent="0.35">
      <c r="G6709" s="215">
        <v>6702</v>
      </c>
      <c r="H6709" s="16">
        <f t="shared" ca="1" si="112"/>
        <v>0.11023341586290948</v>
      </c>
    </row>
    <row r="6710" spans="7:8" x14ac:dyDescent="0.35">
      <c r="G6710" s="215">
        <v>6703</v>
      </c>
      <c r="H6710" s="16">
        <f t="shared" ca="1" si="112"/>
        <v>9.2906135624303735E-2</v>
      </c>
    </row>
    <row r="6711" spans="7:8" x14ac:dyDescent="0.35">
      <c r="G6711" s="215">
        <v>6704</v>
      </c>
      <c r="H6711" s="16">
        <f t="shared" ca="1" si="112"/>
        <v>7.6868837317964372E-2</v>
      </c>
    </row>
    <row r="6712" spans="7:8" x14ac:dyDescent="0.35">
      <c r="G6712" s="215">
        <v>6705</v>
      </c>
      <c r="H6712" s="16">
        <f t="shared" ca="1" si="112"/>
        <v>-2.3821076092280496E-2</v>
      </c>
    </row>
    <row r="6713" spans="7:8" x14ac:dyDescent="0.35">
      <c r="G6713" s="215">
        <v>6706</v>
      </c>
      <c r="H6713" s="16">
        <f t="shared" ca="1" si="112"/>
        <v>5.4600598820132365E-2</v>
      </c>
    </row>
    <row r="6714" spans="7:8" x14ac:dyDescent="0.35">
      <c r="G6714" s="215">
        <v>6707</v>
      </c>
      <c r="H6714" s="16">
        <f t="shared" ca="1" si="112"/>
        <v>-6.3379190908390518E-2</v>
      </c>
    </row>
    <row r="6715" spans="7:8" x14ac:dyDescent="0.35">
      <c r="G6715" s="215">
        <v>6708</v>
      </c>
      <c r="H6715" s="16">
        <f t="shared" ca="1" si="112"/>
        <v>-3.2965818815591297E-2</v>
      </c>
    </row>
    <row r="6716" spans="7:8" x14ac:dyDescent="0.35">
      <c r="G6716" s="215">
        <v>6709</v>
      </c>
      <c r="H6716" s="16">
        <f t="shared" ca="1" si="112"/>
        <v>-5.3648992673020757E-3</v>
      </c>
    </row>
    <row r="6717" spans="7:8" x14ac:dyDescent="0.35">
      <c r="G6717" s="215">
        <v>6710</v>
      </c>
      <c r="H6717" s="16">
        <f t="shared" ca="1" si="112"/>
        <v>4.4413650691995765E-2</v>
      </c>
    </row>
    <row r="6718" spans="7:8" x14ac:dyDescent="0.35">
      <c r="G6718" s="215">
        <v>6711</v>
      </c>
      <c r="H6718" s="16">
        <f t="shared" ca="1" si="112"/>
        <v>2.4158940684729808E-2</v>
      </c>
    </row>
    <row r="6719" spans="7:8" x14ac:dyDescent="0.35">
      <c r="G6719" s="215">
        <v>6712</v>
      </c>
      <c r="H6719" s="16">
        <f t="shared" ca="1" si="112"/>
        <v>8.9098755392267109E-2</v>
      </c>
    </row>
    <row r="6720" spans="7:8" x14ac:dyDescent="0.35">
      <c r="G6720" s="215">
        <v>6713</v>
      </c>
      <c r="H6720" s="16">
        <f t="shared" ca="1" si="112"/>
        <v>-3.1454467472180808E-2</v>
      </c>
    </row>
    <row r="6721" spans="7:8" x14ac:dyDescent="0.35">
      <c r="G6721" s="215">
        <v>6714</v>
      </c>
      <c r="H6721" s="16">
        <f t="shared" ca="1" si="112"/>
        <v>3.2172933676515289E-2</v>
      </c>
    </row>
    <row r="6722" spans="7:8" x14ac:dyDescent="0.35">
      <c r="G6722" s="215">
        <v>6715</v>
      </c>
      <c r="H6722" s="16">
        <f t="shared" ca="1" si="112"/>
        <v>-4.4521956006050051E-2</v>
      </c>
    </row>
    <row r="6723" spans="7:8" x14ac:dyDescent="0.35">
      <c r="G6723" s="215">
        <v>6716</v>
      </c>
      <c r="H6723" s="16">
        <f t="shared" ca="1" si="112"/>
        <v>-6.4511996851366896E-2</v>
      </c>
    </row>
    <row r="6724" spans="7:8" x14ac:dyDescent="0.35">
      <c r="G6724" s="215">
        <v>6717</v>
      </c>
      <c r="H6724" s="16">
        <f t="shared" ca="1" si="112"/>
        <v>4.5192048157713161E-2</v>
      </c>
    </row>
    <row r="6725" spans="7:8" x14ac:dyDescent="0.35">
      <c r="G6725" s="215">
        <v>6718</v>
      </c>
      <c r="H6725" s="16">
        <f t="shared" ca="1" si="112"/>
        <v>2.119622783597112E-2</v>
      </c>
    </row>
    <row r="6726" spans="7:8" x14ac:dyDescent="0.35">
      <c r="G6726" s="215">
        <v>6719</v>
      </c>
      <c r="H6726" s="16">
        <f t="shared" ca="1" si="112"/>
        <v>-1.7640792812431631E-2</v>
      </c>
    </row>
    <row r="6727" spans="7:8" x14ac:dyDescent="0.35">
      <c r="G6727" s="215">
        <v>6720</v>
      </c>
      <c r="H6727" s="16">
        <f t="shared" ca="1" si="112"/>
        <v>2.6163441048045705E-2</v>
      </c>
    </row>
    <row r="6728" spans="7:8" x14ac:dyDescent="0.35">
      <c r="G6728" s="215">
        <v>6721</v>
      </c>
      <c r="H6728" s="16">
        <f t="shared" ref="H6728:H6791" ca="1" si="113">_xlfn.NORM.INV(RAND(),M$10,M$11)</f>
        <v>7.8505315307974471E-2</v>
      </c>
    </row>
    <row r="6729" spans="7:8" x14ac:dyDescent="0.35">
      <c r="G6729" s="215">
        <v>6722</v>
      </c>
      <c r="H6729" s="16">
        <f t="shared" ca="1" si="113"/>
        <v>-7.0966951696368435E-2</v>
      </c>
    </row>
    <row r="6730" spans="7:8" x14ac:dyDescent="0.35">
      <c r="G6730" s="215">
        <v>6723</v>
      </c>
      <c r="H6730" s="16">
        <f t="shared" ca="1" si="113"/>
        <v>1.4073263765599272E-2</v>
      </c>
    </row>
    <row r="6731" spans="7:8" x14ac:dyDescent="0.35">
      <c r="G6731" s="215">
        <v>6724</v>
      </c>
      <c r="H6731" s="16">
        <f t="shared" ca="1" si="113"/>
        <v>0.11334748610874616</v>
      </c>
    </row>
    <row r="6732" spans="7:8" x14ac:dyDescent="0.35">
      <c r="G6732" s="215">
        <v>6725</v>
      </c>
      <c r="H6732" s="16">
        <f t="shared" ca="1" si="113"/>
        <v>9.3289468641647291E-2</v>
      </c>
    </row>
    <row r="6733" spans="7:8" x14ac:dyDescent="0.35">
      <c r="G6733" s="215">
        <v>6726</v>
      </c>
      <c r="H6733" s="16">
        <f t="shared" ca="1" si="113"/>
        <v>-6.2872482087951431E-5</v>
      </c>
    </row>
    <row r="6734" spans="7:8" x14ac:dyDescent="0.35">
      <c r="G6734" s="215">
        <v>6727</v>
      </c>
      <c r="H6734" s="16">
        <f t="shared" ca="1" si="113"/>
        <v>-8.041714374763477E-2</v>
      </c>
    </row>
    <row r="6735" spans="7:8" x14ac:dyDescent="0.35">
      <c r="G6735" s="215">
        <v>6728</v>
      </c>
      <c r="H6735" s="16">
        <f t="shared" ca="1" si="113"/>
        <v>-0.25309640760657182</v>
      </c>
    </row>
    <row r="6736" spans="7:8" x14ac:dyDescent="0.35">
      <c r="G6736" s="215">
        <v>6729</v>
      </c>
      <c r="H6736" s="16">
        <f t="shared" ca="1" si="113"/>
        <v>-3.8516649045081647E-2</v>
      </c>
    </row>
    <row r="6737" spans="7:8" x14ac:dyDescent="0.35">
      <c r="G6737" s="215">
        <v>6730</v>
      </c>
      <c r="H6737" s="16">
        <f t="shared" ca="1" si="113"/>
        <v>0.12926958736488328</v>
      </c>
    </row>
    <row r="6738" spans="7:8" x14ac:dyDescent="0.35">
      <c r="G6738" s="215">
        <v>6731</v>
      </c>
      <c r="H6738" s="16">
        <f t="shared" ca="1" si="113"/>
        <v>2.4699068873404839E-2</v>
      </c>
    </row>
    <row r="6739" spans="7:8" x14ac:dyDescent="0.35">
      <c r="G6739" s="215">
        <v>6732</v>
      </c>
      <c r="H6739" s="16">
        <f t="shared" ca="1" si="113"/>
        <v>0.18037064228321126</v>
      </c>
    </row>
    <row r="6740" spans="7:8" x14ac:dyDescent="0.35">
      <c r="G6740" s="215">
        <v>6733</v>
      </c>
      <c r="H6740" s="16">
        <f t="shared" ca="1" si="113"/>
        <v>-2.0367383890813769E-2</v>
      </c>
    </row>
    <row r="6741" spans="7:8" x14ac:dyDescent="0.35">
      <c r="G6741" s="215">
        <v>6734</v>
      </c>
      <c r="H6741" s="16">
        <f t="shared" ca="1" si="113"/>
        <v>6.8366797173908075E-2</v>
      </c>
    </row>
    <row r="6742" spans="7:8" x14ac:dyDescent="0.35">
      <c r="G6742" s="215">
        <v>6735</v>
      </c>
      <c r="H6742" s="16">
        <f t="shared" ca="1" si="113"/>
        <v>1.4408551970290073E-3</v>
      </c>
    </row>
    <row r="6743" spans="7:8" x14ac:dyDescent="0.35">
      <c r="G6743" s="215">
        <v>6736</v>
      </c>
      <c r="H6743" s="16">
        <f t="shared" ca="1" si="113"/>
        <v>7.4037212453433393E-2</v>
      </c>
    </row>
    <row r="6744" spans="7:8" x14ac:dyDescent="0.35">
      <c r="G6744" s="215">
        <v>6737</v>
      </c>
      <c r="H6744" s="16">
        <f t="shared" ca="1" si="113"/>
        <v>-4.3390006172461429E-2</v>
      </c>
    </row>
    <row r="6745" spans="7:8" x14ac:dyDescent="0.35">
      <c r="G6745" s="215">
        <v>6738</v>
      </c>
      <c r="H6745" s="16">
        <f t="shared" ca="1" si="113"/>
        <v>-8.3536159972683627E-2</v>
      </c>
    </row>
    <row r="6746" spans="7:8" x14ac:dyDescent="0.35">
      <c r="G6746" s="215">
        <v>6739</v>
      </c>
      <c r="H6746" s="16">
        <f t="shared" ca="1" si="113"/>
        <v>3.826828117570151E-2</v>
      </c>
    </row>
    <row r="6747" spans="7:8" x14ac:dyDescent="0.35">
      <c r="G6747" s="215">
        <v>6740</v>
      </c>
      <c r="H6747" s="16">
        <f t="shared" ca="1" si="113"/>
        <v>3.2031006155703395E-2</v>
      </c>
    </row>
    <row r="6748" spans="7:8" x14ac:dyDescent="0.35">
      <c r="G6748" s="215">
        <v>6741</v>
      </c>
      <c r="H6748" s="16">
        <f t="shared" ca="1" si="113"/>
        <v>0.10112130217593464</v>
      </c>
    </row>
    <row r="6749" spans="7:8" x14ac:dyDescent="0.35">
      <c r="G6749" s="215">
        <v>6742</v>
      </c>
      <c r="H6749" s="16">
        <f t="shared" ca="1" si="113"/>
        <v>6.7836449171241237E-2</v>
      </c>
    </row>
    <row r="6750" spans="7:8" x14ac:dyDescent="0.35">
      <c r="G6750" s="215">
        <v>6743</v>
      </c>
      <c r="H6750" s="16">
        <f t="shared" ca="1" si="113"/>
        <v>7.3137019210684426E-2</v>
      </c>
    </row>
    <row r="6751" spans="7:8" x14ac:dyDescent="0.35">
      <c r="G6751" s="215">
        <v>6744</v>
      </c>
      <c r="H6751" s="16">
        <f t="shared" ca="1" si="113"/>
        <v>-9.462958525409558E-2</v>
      </c>
    </row>
    <row r="6752" spans="7:8" x14ac:dyDescent="0.35">
      <c r="G6752" s="215">
        <v>6745</v>
      </c>
      <c r="H6752" s="16">
        <f t="shared" ca="1" si="113"/>
        <v>-3.2141545956529766E-2</v>
      </c>
    </row>
    <row r="6753" spans="7:8" x14ac:dyDescent="0.35">
      <c r="G6753" s="215">
        <v>6746</v>
      </c>
      <c r="H6753" s="16">
        <f t="shared" ca="1" si="113"/>
        <v>4.6639071811752045E-2</v>
      </c>
    </row>
    <row r="6754" spans="7:8" x14ac:dyDescent="0.35">
      <c r="G6754" s="215">
        <v>6747</v>
      </c>
      <c r="H6754" s="16">
        <f t="shared" ca="1" si="113"/>
        <v>4.0072440004428597E-2</v>
      </c>
    </row>
    <row r="6755" spans="7:8" x14ac:dyDescent="0.35">
      <c r="G6755" s="215">
        <v>6748</v>
      </c>
      <c r="H6755" s="16">
        <f t="shared" ca="1" si="113"/>
        <v>6.758452876841238E-2</v>
      </c>
    </row>
    <row r="6756" spans="7:8" x14ac:dyDescent="0.35">
      <c r="G6756" s="215">
        <v>6749</v>
      </c>
      <c r="H6756" s="16">
        <f t="shared" ca="1" si="113"/>
        <v>8.8927622283959146E-2</v>
      </c>
    </row>
    <row r="6757" spans="7:8" x14ac:dyDescent="0.35">
      <c r="G6757" s="215">
        <v>6750</v>
      </c>
      <c r="H6757" s="16">
        <f t="shared" ca="1" si="113"/>
        <v>-0.10356740645290906</v>
      </c>
    </row>
    <row r="6758" spans="7:8" x14ac:dyDescent="0.35">
      <c r="G6758" s="215">
        <v>6751</v>
      </c>
      <c r="H6758" s="16">
        <f t="shared" ca="1" si="113"/>
        <v>-1.2221051945348886E-2</v>
      </c>
    </row>
    <row r="6759" spans="7:8" x14ac:dyDescent="0.35">
      <c r="G6759" s="215">
        <v>6752</v>
      </c>
      <c r="H6759" s="16">
        <f t="shared" ca="1" si="113"/>
        <v>5.5449582557864557E-2</v>
      </c>
    </row>
    <row r="6760" spans="7:8" x14ac:dyDescent="0.35">
      <c r="G6760" s="215">
        <v>6753</v>
      </c>
      <c r="H6760" s="16">
        <f t="shared" ca="1" si="113"/>
        <v>-5.977255879697449E-2</v>
      </c>
    </row>
    <row r="6761" spans="7:8" x14ac:dyDescent="0.35">
      <c r="G6761" s="215">
        <v>6754</v>
      </c>
      <c r="H6761" s="16">
        <f t="shared" ca="1" si="113"/>
        <v>5.9465869632920939E-3</v>
      </c>
    </row>
    <row r="6762" spans="7:8" x14ac:dyDescent="0.35">
      <c r="G6762" s="215">
        <v>6755</v>
      </c>
      <c r="H6762" s="16">
        <f t="shared" ca="1" si="113"/>
        <v>4.1384839626261667E-2</v>
      </c>
    </row>
    <row r="6763" spans="7:8" x14ac:dyDescent="0.35">
      <c r="G6763" s="215">
        <v>6756</v>
      </c>
      <c r="H6763" s="16">
        <f t="shared" ca="1" si="113"/>
        <v>8.16659556309621E-2</v>
      </c>
    </row>
    <row r="6764" spans="7:8" x14ac:dyDescent="0.35">
      <c r="G6764" s="215">
        <v>6757</v>
      </c>
      <c r="H6764" s="16">
        <f t="shared" ca="1" si="113"/>
        <v>0.14193065615774619</v>
      </c>
    </row>
    <row r="6765" spans="7:8" x14ac:dyDescent="0.35">
      <c r="G6765" s="215">
        <v>6758</v>
      </c>
      <c r="H6765" s="16">
        <f t="shared" ca="1" si="113"/>
        <v>-9.6222131221347686E-3</v>
      </c>
    </row>
    <row r="6766" spans="7:8" x14ac:dyDescent="0.35">
      <c r="G6766" s="215">
        <v>6759</v>
      </c>
      <c r="H6766" s="16">
        <f t="shared" ca="1" si="113"/>
        <v>0.1287424747686248</v>
      </c>
    </row>
    <row r="6767" spans="7:8" x14ac:dyDescent="0.35">
      <c r="G6767" s="215">
        <v>6760</v>
      </c>
      <c r="H6767" s="16">
        <f t="shared" ca="1" si="113"/>
        <v>-0.10700034368321405</v>
      </c>
    </row>
    <row r="6768" spans="7:8" x14ac:dyDescent="0.35">
      <c r="G6768" s="215">
        <v>6761</v>
      </c>
      <c r="H6768" s="16">
        <f t="shared" ca="1" si="113"/>
        <v>6.810562979524741E-2</v>
      </c>
    </row>
    <row r="6769" spans="7:8" x14ac:dyDescent="0.35">
      <c r="G6769" s="215">
        <v>6762</v>
      </c>
      <c r="H6769" s="16">
        <f t="shared" ca="1" si="113"/>
        <v>-5.995776504945001E-2</v>
      </c>
    </row>
    <row r="6770" spans="7:8" x14ac:dyDescent="0.35">
      <c r="G6770" s="215">
        <v>6763</v>
      </c>
      <c r="H6770" s="16">
        <f t="shared" ca="1" si="113"/>
        <v>-1.5342325663580219E-2</v>
      </c>
    </row>
    <row r="6771" spans="7:8" x14ac:dyDescent="0.35">
      <c r="G6771" s="215">
        <v>6764</v>
      </c>
      <c r="H6771" s="16">
        <f t="shared" ca="1" si="113"/>
        <v>4.9241326618462714E-2</v>
      </c>
    </row>
    <row r="6772" spans="7:8" x14ac:dyDescent="0.35">
      <c r="G6772" s="215">
        <v>6765</v>
      </c>
      <c r="H6772" s="16">
        <f t="shared" ca="1" si="113"/>
        <v>7.8810767480113439E-2</v>
      </c>
    </row>
    <row r="6773" spans="7:8" x14ac:dyDescent="0.35">
      <c r="G6773" s="215">
        <v>6766</v>
      </c>
      <c r="H6773" s="16">
        <f t="shared" ca="1" si="113"/>
        <v>9.8249566815906408E-2</v>
      </c>
    </row>
    <row r="6774" spans="7:8" x14ac:dyDescent="0.35">
      <c r="G6774" s="215">
        <v>6767</v>
      </c>
      <c r="H6774" s="16">
        <f t="shared" ca="1" si="113"/>
        <v>0.10096121247324823</v>
      </c>
    </row>
    <row r="6775" spans="7:8" x14ac:dyDescent="0.35">
      <c r="G6775" s="215">
        <v>6768</v>
      </c>
      <c r="H6775" s="16">
        <f t="shared" ca="1" si="113"/>
        <v>3.9417110894855618E-3</v>
      </c>
    </row>
    <row r="6776" spans="7:8" x14ac:dyDescent="0.35">
      <c r="G6776" s="215">
        <v>6769</v>
      </c>
      <c r="H6776" s="16">
        <f t="shared" ca="1" si="113"/>
        <v>4.5308296150050678E-2</v>
      </c>
    </row>
    <row r="6777" spans="7:8" x14ac:dyDescent="0.35">
      <c r="G6777" s="215">
        <v>6770</v>
      </c>
      <c r="H6777" s="16">
        <f t="shared" ca="1" si="113"/>
        <v>-2.3878814462001515E-2</v>
      </c>
    </row>
    <row r="6778" spans="7:8" x14ac:dyDescent="0.35">
      <c r="G6778" s="215">
        <v>6771</v>
      </c>
      <c r="H6778" s="16">
        <f t="shared" ca="1" si="113"/>
        <v>-4.6173822602178671E-2</v>
      </c>
    </row>
    <row r="6779" spans="7:8" x14ac:dyDescent="0.35">
      <c r="G6779" s="215">
        <v>6772</v>
      </c>
      <c r="H6779" s="16">
        <f t="shared" ca="1" si="113"/>
        <v>-2.6321232788126026E-2</v>
      </c>
    </row>
    <row r="6780" spans="7:8" x14ac:dyDescent="0.35">
      <c r="G6780" s="215">
        <v>6773</v>
      </c>
      <c r="H6780" s="16">
        <f t="shared" ca="1" si="113"/>
        <v>-8.0554063953149541E-2</v>
      </c>
    </row>
    <row r="6781" spans="7:8" x14ac:dyDescent="0.35">
      <c r="G6781" s="215">
        <v>6774</v>
      </c>
      <c r="H6781" s="16">
        <f t="shared" ca="1" si="113"/>
        <v>6.8908356046486097E-2</v>
      </c>
    </row>
    <row r="6782" spans="7:8" x14ac:dyDescent="0.35">
      <c r="G6782" s="215">
        <v>6775</v>
      </c>
      <c r="H6782" s="16">
        <f t="shared" ca="1" si="113"/>
        <v>5.8008219070353487E-2</v>
      </c>
    </row>
    <row r="6783" spans="7:8" x14ac:dyDescent="0.35">
      <c r="G6783" s="215">
        <v>6776</v>
      </c>
      <c r="H6783" s="16">
        <f t="shared" ca="1" si="113"/>
        <v>0.17287109558970731</v>
      </c>
    </row>
    <row r="6784" spans="7:8" x14ac:dyDescent="0.35">
      <c r="G6784" s="215">
        <v>6777</v>
      </c>
      <c r="H6784" s="16">
        <f t="shared" ca="1" si="113"/>
        <v>1.2804289135400776E-2</v>
      </c>
    </row>
    <row r="6785" spans="7:8" x14ac:dyDescent="0.35">
      <c r="G6785" s="215">
        <v>6778</v>
      </c>
      <c r="H6785" s="16">
        <f t="shared" ca="1" si="113"/>
        <v>1.8120295386384211E-2</v>
      </c>
    </row>
    <row r="6786" spans="7:8" x14ac:dyDescent="0.35">
      <c r="G6786" s="215">
        <v>6779</v>
      </c>
      <c r="H6786" s="16">
        <f t="shared" ca="1" si="113"/>
        <v>-3.7060092435883651E-2</v>
      </c>
    </row>
    <row r="6787" spans="7:8" x14ac:dyDescent="0.35">
      <c r="G6787" s="215">
        <v>6780</v>
      </c>
      <c r="H6787" s="16">
        <f t="shared" ca="1" si="113"/>
        <v>1.8362277505509929E-2</v>
      </c>
    </row>
    <row r="6788" spans="7:8" x14ac:dyDescent="0.35">
      <c r="G6788" s="215">
        <v>6781</v>
      </c>
      <c r="H6788" s="16">
        <f t="shared" ca="1" si="113"/>
        <v>7.3951209716676083E-2</v>
      </c>
    </row>
    <row r="6789" spans="7:8" x14ac:dyDescent="0.35">
      <c r="G6789" s="215">
        <v>6782</v>
      </c>
      <c r="H6789" s="16">
        <f t="shared" ca="1" si="113"/>
        <v>5.7793664042242537E-2</v>
      </c>
    </row>
    <row r="6790" spans="7:8" x14ac:dyDescent="0.35">
      <c r="G6790" s="215">
        <v>6783</v>
      </c>
      <c r="H6790" s="16">
        <f t="shared" ca="1" si="113"/>
        <v>-8.9616252272003538E-2</v>
      </c>
    </row>
    <row r="6791" spans="7:8" x14ac:dyDescent="0.35">
      <c r="G6791" s="215">
        <v>6784</v>
      </c>
      <c r="H6791" s="16">
        <f t="shared" ca="1" si="113"/>
        <v>-1.2756757471064802E-2</v>
      </c>
    </row>
    <row r="6792" spans="7:8" x14ac:dyDescent="0.35">
      <c r="G6792" s="215">
        <v>6785</v>
      </c>
      <c r="H6792" s="16">
        <f t="shared" ref="H6792:H6855" ca="1" si="114">_xlfn.NORM.INV(RAND(),M$10,M$11)</f>
        <v>-5.8615261872572683E-2</v>
      </c>
    </row>
    <row r="6793" spans="7:8" x14ac:dyDescent="0.35">
      <c r="G6793" s="215">
        <v>6786</v>
      </c>
      <c r="H6793" s="16">
        <f t="shared" ca="1" si="114"/>
        <v>-1.1518655602070424E-2</v>
      </c>
    </row>
    <row r="6794" spans="7:8" x14ac:dyDescent="0.35">
      <c r="G6794" s="215">
        <v>6787</v>
      </c>
      <c r="H6794" s="16">
        <f t="shared" ca="1" si="114"/>
        <v>-4.1765267107264539E-2</v>
      </c>
    </row>
    <row r="6795" spans="7:8" x14ac:dyDescent="0.35">
      <c r="G6795" s="215">
        <v>6788</v>
      </c>
      <c r="H6795" s="16">
        <f t="shared" ca="1" si="114"/>
        <v>1.7212921311420545E-2</v>
      </c>
    </row>
    <row r="6796" spans="7:8" x14ac:dyDescent="0.35">
      <c r="G6796" s="215">
        <v>6789</v>
      </c>
      <c r="H6796" s="16">
        <f t="shared" ca="1" si="114"/>
        <v>-9.8905284864364909E-3</v>
      </c>
    </row>
    <row r="6797" spans="7:8" x14ac:dyDescent="0.35">
      <c r="G6797" s="215">
        <v>6790</v>
      </c>
      <c r="H6797" s="16">
        <f t="shared" ca="1" si="114"/>
        <v>-6.3015114296353064E-2</v>
      </c>
    </row>
    <row r="6798" spans="7:8" x14ac:dyDescent="0.35">
      <c r="G6798" s="215">
        <v>6791</v>
      </c>
      <c r="H6798" s="16">
        <f t="shared" ca="1" si="114"/>
        <v>-9.7244494604966494E-2</v>
      </c>
    </row>
    <row r="6799" spans="7:8" x14ac:dyDescent="0.35">
      <c r="G6799" s="215">
        <v>6792</v>
      </c>
      <c r="H6799" s="16">
        <f t="shared" ca="1" si="114"/>
        <v>-3.0979039984065575E-2</v>
      </c>
    </row>
    <row r="6800" spans="7:8" x14ac:dyDescent="0.35">
      <c r="G6800" s="215">
        <v>6793</v>
      </c>
      <c r="H6800" s="16">
        <f t="shared" ca="1" si="114"/>
        <v>-2.4526220230851759E-2</v>
      </c>
    </row>
    <row r="6801" spans="7:8" x14ac:dyDescent="0.35">
      <c r="G6801" s="215">
        <v>6794</v>
      </c>
      <c r="H6801" s="16">
        <f t="shared" ca="1" si="114"/>
        <v>-1.7807812415044706E-2</v>
      </c>
    </row>
    <row r="6802" spans="7:8" x14ac:dyDescent="0.35">
      <c r="G6802" s="215">
        <v>6795</v>
      </c>
      <c r="H6802" s="16">
        <f t="shared" ca="1" si="114"/>
        <v>5.6530734411170291E-2</v>
      </c>
    </row>
    <row r="6803" spans="7:8" x14ac:dyDescent="0.35">
      <c r="G6803" s="215">
        <v>6796</v>
      </c>
      <c r="H6803" s="16">
        <f t="shared" ca="1" si="114"/>
        <v>0.15057612300316511</v>
      </c>
    </row>
    <row r="6804" spans="7:8" x14ac:dyDescent="0.35">
      <c r="G6804" s="215">
        <v>6797</v>
      </c>
      <c r="H6804" s="16">
        <f t="shared" ca="1" si="114"/>
        <v>6.7774411939736873E-3</v>
      </c>
    </row>
    <row r="6805" spans="7:8" x14ac:dyDescent="0.35">
      <c r="G6805" s="215">
        <v>6798</v>
      </c>
      <c r="H6805" s="16">
        <f t="shared" ca="1" si="114"/>
        <v>0.15303815452603545</v>
      </c>
    </row>
    <row r="6806" spans="7:8" x14ac:dyDescent="0.35">
      <c r="G6806" s="215">
        <v>6799</v>
      </c>
      <c r="H6806" s="16">
        <f t="shared" ca="1" si="114"/>
        <v>-0.10872084976469795</v>
      </c>
    </row>
    <row r="6807" spans="7:8" x14ac:dyDescent="0.35">
      <c r="G6807" s="215">
        <v>6800</v>
      </c>
      <c r="H6807" s="16">
        <f t="shared" ca="1" si="114"/>
        <v>-7.3088543652067406E-2</v>
      </c>
    </row>
    <row r="6808" spans="7:8" x14ac:dyDescent="0.35">
      <c r="G6808" s="215">
        <v>6801</v>
      </c>
      <c r="H6808" s="16">
        <f t="shared" ca="1" si="114"/>
        <v>-5.3618231405002645E-2</v>
      </c>
    </row>
    <row r="6809" spans="7:8" x14ac:dyDescent="0.35">
      <c r="G6809" s="215">
        <v>6802</v>
      </c>
      <c r="H6809" s="16">
        <f t="shared" ca="1" si="114"/>
        <v>-8.193994194565947E-2</v>
      </c>
    </row>
    <row r="6810" spans="7:8" x14ac:dyDescent="0.35">
      <c r="G6810" s="215">
        <v>6803</v>
      </c>
      <c r="H6810" s="16">
        <f t="shared" ca="1" si="114"/>
        <v>9.2913965009251517E-2</v>
      </c>
    </row>
    <row r="6811" spans="7:8" x14ac:dyDescent="0.35">
      <c r="G6811" s="215">
        <v>6804</v>
      </c>
      <c r="H6811" s="16">
        <f t="shared" ca="1" si="114"/>
        <v>0.13594701194009626</v>
      </c>
    </row>
    <row r="6812" spans="7:8" x14ac:dyDescent="0.35">
      <c r="G6812" s="215">
        <v>6805</v>
      </c>
      <c r="H6812" s="16">
        <f t="shared" ca="1" si="114"/>
        <v>0.16534488271070652</v>
      </c>
    </row>
    <row r="6813" spans="7:8" x14ac:dyDescent="0.35">
      <c r="G6813" s="215">
        <v>6806</v>
      </c>
      <c r="H6813" s="16">
        <f t="shared" ca="1" si="114"/>
        <v>-0.14376061491503503</v>
      </c>
    </row>
    <row r="6814" spans="7:8" x14ac:dyDescent="0.35">
      <c r="G6814" s="215">
        <v>6807</v>
      </c>
      <c r="H6814" s="16">
        <f t="shared" ca="1" si="114"/>
        <v>-3.6179427566269781E-2</v>
      </c>
    </row>
    <row r="6815" spans="7:8" x14ac:dyDescent="0.35">
      <c r="G6815" s="215">
        <v>6808</v>
      </c>
      <c r="H6815" s="16">
        <f t="shared" ca="1" si="114"/>
        <v>0.11166508412291486</v>
      </c>
    </row>
    <row r="6816" spans="7:8" x14ac:dyDescent="0.35">
      <c r="G6816" s="215">
        <v>6809</v>
      </c>
      <c r="H6816" s="16">
        <f t="shared" ca="1" si="114"/>
        <v>2.0910363562057332E-2</v>
      </c>
    </row>
    <row r="6817" spans="7:8" x14ac:dyDescent="0.35">
      <c r="G6817" s="215">
        <v>6810</v>
      </c>
      <c r="H6817" s="16">
        <f t="shared" ca="1" si="114"/>
        <v>6.6308451612864722E-2</v>
      </c>
    </row>
    <row r="6818" spans="7:8" x14ac:dyDescent="0.35">
      <c r="G6818" s="215">
        <v>6811</v>
      </c>
      <c r="H6818" s="16">
        <f t="shared" ca="1" si="114"/>
        <v>0.10479732550316399</v>
      </c>
    </row>
    <row r="6819" spans="7:8" x14ac:dyDescent="0.35">
      <c r="G6819" s="215">
        <v>6812</v>
      </c>
      <c r="H6819" s="16">
        <f t="shared" ca="1" si="114"/>
        <v>-6.0657800603113932E-2</v>
      </c>
    </row>
    <row r="6820" spans="7:8" x14ac:dyDescent="0.35">
      <c r="G6820" s="215">
        <v>6813</v>
      </c>
      <c r="H6820" s="16">
        <f t="shared" ca="1" si="114"/>
        <v>-1.633964016096999E-2</v>
      </c>
    </row>
    <row r="6821" spans="7:8" x14ac:dyDescent="0.35">
      <c r="G6821" s="215">
        <v>6814</v>
      </c>
      <c r="H6821" s="16">
        <f t="shared" ca="1" si="114"/>
        <v>-5.9008562748192106E-2</v>
      </c>
    </row>
    <row r="6822" spans="7:8" x14ac:dyDescent="0.35">
      <c r="G6822" s="215">
        <v>6815</v>
      </c>
      <c r="H6822" s="16">
        <f t="shared" ca="1" si="114"/>
        <v>-5.5573412972490049E-2</v>
      </c>
    </row>
    <row r="6823" spans="7:8" x14ac:dyDescent="0.35">
      <c r="G6823" s="215">
        <v>6816</v>
      </c>
      <c r="H6823" s="16">
        <f t="shared" ca="1" si="114"/>
        <v>2.7566824631078284E-2</v>
      </c>
    </row>
    <row r="6824" spans="7:8" x14ac:dyDescent="0.35">
      <c r="G6824" s="215">
        <v>6817</v>
      </c>
      <c r="H6824" s="16">
        <f t="shared" ca="1" si="114"/>
        <v>5.3072864144808829E-2</v>
      </c>
    </row>
    <row r="6825" spans="7:8" x14ac:dyDescent="0.35">
      <c r="G6825" s="215">
        <v>6818</v>
      </c>
      <c r="H6825" s="16">
        <f t="shared" ca="1" si="114"/>
        <v>7.3309679476315892E-2</v>
      </c>
    </row>
    <row r="6826" spans="7:8" x14ac:dyDescent="0.35">
      <c r="G6826" s="215">
        <v>6819</v>
      </c>
      <c r="H6826" s="16">
        <f t="shared" ca="1" si="114"/>
        <v>9.3240485784399099E-2</v>
      </c>
    </row>
    <row r="6827" spans="7:8" x14ac:dyDescent="0.35">
      <c r="G6827" s="215">
        <v>6820</v>
      </c>
      <c r="H6827" s="16">
        <f t="shared" ca="1" si="114"/>
        <v>9.6964739344208208E-3</v>
      </c>
    </row>
    <row r="6828" spans="7:8" x14ac:dyDescent="0.35">
      <c r="G6828" s="215">
        <v>6821</v>
      </c>
      <c r="H6828" s="16">
        <f t="shared" ca="1" si="114"/>
        <v>-6.1264264804625046E-2</v>
      </c>
    </row>
    <row r="6829" spans="7:8" x14ac:dyDescent="0.35">
      <c r="G6829" s="215">
        <v>6822</v>
      </c>
      <c r="H6829" s="16">
        <f t="shared" ca="1" si="114"/>
        <v>-8.8613508360015997E-2</v>
      </c>
    </row>
    <row r="6830" spans="7:8" x14ac:dyDescent="0.35">
      <c r="G6830" s="215">
        <v>6823</v>
      </c>
      <c r="H6830" s="16">
        <f t="shared" ca="1" si="114"/>
        <v>-2.8376422061690141E-2</v>
      </c>
    </row>
    <row r="6831" spans="7:8" x14ac:dyDescent="0.35">
      <c r="G6831" s="215">
        <v>6824</v>
      </c>
      <c r="H6831" s="16">
        <f t="shared" ca="1" si="114"/>
        <v>-8.0702935133529413E-2</v>
      </c>
    </row>
    <row r="6832" spans="7:8" x14ac:dyDescent="0.35">
      <c r="G6832" s="215">
        <v>6825</v>
      </c>
      <c r="H6832" s="16">
        <f t="shared" ca="1" si="114"/>
        <v>5.9943419386468993E-2</v>
      </c>
    </row>
    <row r="6833" spans="7:8" x14ac:dyDescent="0.35">
      <c r="G6833" s="215">
        <v>6826</v>
      </c>
      <c r="H6833" s="16">
        <f t="shared" ca="1" si="114"/>
        <v>-7.8546925492915143E-2</v>
      </c>
    </row>
    <row r="6834" spans="7:8" x14ac:dyDescent="0.35">
      <c r="G6834" s="215">
        <v>6827</v>
      </c>
      <c r="H6834" s="16">
        <f t="shared" ca="1" si="114"/>
        <v>-6.6129499716282111E-2</v>
      </c>
    </row>
    <row r="6835" spans="7:8" x14ac:dyDescent="0.35">
      <c r="G6835" s="215">
        <v>6828</v>
      </c>
      <c r="H6835" s="16">
        <f t="shared" ca="1" si="114"/>
        <v>6.0548115649002421E-2</v>
      </c>
    </row>
    <row r="6836" spans="7:8" x14ac:dyDescent="0.35">
      <c r="G6836" s="215">
        <v>6829</v>
      </c>
      <c r="H6836" s="16">
        <f t="shared" ca="1" si="114"/>
        <v>9.2850458536258951E-2</v>
      </c>
    </row>
    <row r="6837" spans="7:8" x14ac:dyDescent="0.35">
      <c r="G6837" s="215">
        <v>6830</v>
      </c>
      <c r="H6837" s="16">
        <f t="shared" ca="1" si="114"/>
        <v>8.9321601538383075E-2</v>
      </c>
    </row>
    <row r="6838" spans="7:8" x14ac:dyDescent="0.35">
      <c r="G6838" s="215">
        <v>6831</v>
      </c>
      <c r="H6838" s="16">
        <f t="shared" ca="1" si="114"/>
        <v>-5.1502933860729627E-2</v>
      </c>
    </row>
    <row r="6839" spans="7:8" x14ac:dyDescent="0.35">
      <c r="G6839" s="215">
        <v>6832</v>
      </c>
      <c r="H6839" s="16">
        <f t="shared" ca="1" si="114"/>
        <v>-5.9029119766783392E-3</v>
      </c>
    </row>
    <row r="6840" spans="7:8" x14ac:dyDescent="0.35">
      <c r="G6840" s="215">
        <v>6833</v>
      </c>
      <c r="H6840" s="16">
        <f t="shared" ca="1" si="114"/>
        <v>7.1240510368498322E-2</v>
      </c>
    </row>
    <row r="6841" spans="7:8" x14ac:dyDescent="0.35">
      <c r="G6841" s="215">
        <v>6834</v>
      </c>
      <c r="H6841" s="16">
        <f t="shared" ca="1" si="114"/>
        <v>5.2340827419118024E-2</v>
      </c>
    </row>
    <row r="6842" spans="7:8" x14ac:dyDescent="0.35">
      <c r="G6842" s="215">
        <v>6835</v>
      </c>
      <c r="H6842" s="16">
        <f t="shared" ca="1" si="114"/>
        <v>3.3036583301833556E-3</v>
      </c>
    </row>
    <row r="6843" spans="7:8" x14ac:dyDescent="0.35">
      <c r="G6843" s="215">
        <v>6836</v>
      </c>
      <c r="H6843" s="16">
        <f t="shared" ca="1" si="114"/>
        <v>-4.0585359299330562E-3</v>
      </c>
    </row>
    <row r="6844" spans="7:8" x14ac:dyDescent="0.35">
      <c r="G6844" s="215">
        <v>6837</v>
      </c>
      <c r="H6844" s="16">
        <f t="shared" ca="1" si="114"/>
        <v>0.14691659755844194</v>
      </c>
    </row>
    <row r="6845" spans="7:8" x14ac:dyDescent="0.35">
      <c r="G6845" s="215">
        <v>6838</v>
      </c>
      <c r="H6845" s="16">
        <f t="shared" ca="1" si="114"/>
        <v>-7.6332376586671732E-2</v>
      </c>
    </row>
    <row r="6846" spans="7:8" x14ac:dyDescent="0.35">
      <c r="G6846" s="215">
        <v>6839</v>
      </c>
      <c r="H6846" s="16">
        <f t="shared" ca="1" si="114"/>
        <v>9.5630297423871212E-3</v>
      </c>
    </row>
    <row r="6847" spans="7:8" x14ac:dyDescent="0.35">
      <c r="G6847" s="215">
        <v>6840</v>
      </c>
      <c r="H6847" s="16">
        <f t="shared" ca="1" si="114"/>
        <v>-3.0556499215735992E-3</v>
      </c>
    </row>
    <row r="6848" spans="7:8" x14ac:dyDescent="0.35">
      <c r="G6848" s="215">
        <v>6841</v>
      </c>
      <c r="H6848" s="16">
        <f t="shared" ca="1" si="114"/>
        <v>3.2113978195575765E-2</v>
      </c>
    </row>
    <row r="6849" spans="7:8" x14ac:dyDescent="0.35">
      <c r="G6849" s="215">
        <v>6842</v>
      </c>
      <c r="H6849" s="16">
        <f t="shared" ca="1" si="114"/>
        <v>0.10463513541284117</v>
      </c>
    </row>
    <row r="6850" spans="7:8" x14ac:dyDescent="0.35">
      <c r="G6850" s="215">
        <v>6843</v>
      </c>
      <c r="H6850" s="16">
        <f t="shared" ca="1" si="114"/>
        <v>4.3425336689061081E-2</v>
      </c>
    </row>
    <row r="6851" spans="7:8" x14ac:dyDescent="0.35">
      <c r="G6851" s="215">
        <v>6844</v>
      </c>
      <c r="H6851" s="16">
        <f t="shared" ca="1" si="114"/>
        <v>-5.9867526902942697E-2</v>
      </c>
    </row>
    <row r="6852" spans="7:8" x14ac:dyDescent="0.35">
      <c r="G6852" s="215">
        <v>6845</v>
      </c>
      <c r="H6852" s="16">
        <f t="shared" ca="1" si="114"/>
        <v>-4.1588567851030864E-2</v>
      </c>
    </row>
    <row r="6853" spans="7:8" x14ac:dyDescent="0.35">
      <c r="G6853" s="215">
        <v>6846</v>
      </c>
      <c r="H6853" s="16">
        <f t="shared" ca="1" si="114"/>
        <v>4.105265617745911E-2</v>
      </c>
    </row>
    <row r="6854" spans="7:8" x14ac:dyDescent="0.35">
      <c r="G6854" s="215">
        <v>6847</v>
      </c>
      <c r="H6854" s="16">
        <f t="shared" ca="1" si="114"/>
        <v>-4.6521094760078999E-2</v>
      </c>
    </row>
    <row r="6855" spans="7:8" x14ac:dyDescent="0.35">
      <c r="G6855" s="215">
        <v>6848</v>
      </c>
      <c r="H6855" s="16">
        <f t="shared" ca="1" si="114"/>
        <v>2.7001297769730627E-2</v>
      </c>
    </row>
    <row r="6856" spans="7:8" x14ac:dyDescent="0.35">
      <c r="G6856" s="215">
        <v>6849</v>
      </c>
      <c r="H6856" s="16">
        <f t="shared" ref="H6856:H6919" ca="1" si="115">_xlfn.NORM.INV(RAND(),M$10,M$11)</f>
        <v>3.5193857492108578E-2</v>
      </c>
    </row>
    <row r="6857" spans="7:8" x14ac:dyDescent="0.35">
      <c r="G6857" s="215">
        <v>6850</v>
      </c>
      <c r="H6857" s="16">
        <f t="shared" ca="1" si="115"/>
        <v>-3.3974909756929822E-2</v>
      </c>
    </row>
    <row r="6858" spans="7:8" x14ac:dyDescent="0.35">
      <c r="G6858" s="215">
        <v>6851</v>
      </c>
      <c r="H6858" s="16">
        <f t="shared" ca="1" si="115"/>
        <v>-6.0921991602190431E-2</v>
      </c>
    </row>
    <row r="6859" spans="7:8" x14ac:dyDescent="0.35">
      <c r="G6859" s="215">
        <v>6852</v>
      </c>
      <c r="H6859" s="16">
        <f t="shared" ca="1" si="115"/>
        <v>2.8916151511439579E-2</v>
      </c>
    </row>
    <row r="6860" spans="7:8" x14ac:dyDescent="0.35">
      <c r="G6860" s="215">
        <v>6853</v>
      </c>
      <c r="H6860" s="16">
        <f t="shared" ca="1" si="115"/>
        <v>0.11285335158459828</v>
      </c>
    </row>
    <row r="6861" spans="7:8" x14ac:dyDescent="0.35">
      <c r="G6861" s="215">
        <v>6854</v>
      </c>
      <c r="H6861" s="16">
        <f t="shared" ca="1" si="115"/>
        <v>0.10080105540388333</v>
      </c>
    </row>
    <row r="6862" spans="7:8" x14ac:dyDescent="0.35">
      <c r="G6862" s="215">
        <v>6855</v>
      </c>
      <c r="H6862" s="16">
        <f t="shared" ca="1" si="115"/>
        <v>7.3362414001250473E-2</v>
      </c>
    </row>
    <row r="6863" spans="7:8" x14ac:dyDescent="0.35">
      <c r="G6863" s="215">
        <v>6856</v>
      </c>
      <c r="H6863" s="16">
        <f t="shared" ca="1" si="115"/>
        <v>2.1171354407819986E-3</v>
      </c>
    </row>
    <row r="6864" spans="7:8" x14ac:dyDescent="0.35">
      <c r="G6864" s="215">
        <v>6857</v>
      </c>
      <c r="H6864" s="16">
        <f t="shared" ca="1" si="115"/>
        <v>-3.7579709692346711E-2</v>
      </c>
    </row>
    <row r="6865" spans="7:8" x14ac:dyDescent="0.35">
      <c r="G6865" s="215">
        <v>6858</v>
      </c>
      <c r="H6865" s="16">
        <f t="shared" ca="1" si="115"/>
        <v>-0.14025959704158714</v>
      </c>
    </row>
    <row r="6866" spans="7:8" x14ac:dyDescent="0.35">
      <c r="G6866" s="215">
        <v>6859</v>
      </c>
      <c r="H6866" s="16">
        <f t="shared" ca="1" si="115"/>
        <v>2.7766952774550123E-2</v>
      </c>
    </row>
    <row r="6867" spans="7:8" x14ac:dyDescent="0.35">
      <c r="G6867" s="215">
        <v>6860</v>
      </c>
      <c r="H6867" s="16">
        <f t="shared" ca="1" si="115"/>
        <v>9.4269282596374723E-4</v>
      </c>
    </row>
    <row r="6868" spans="7:8" x14ac:dyDescent="0.35">
      <c r="G6868" s="215">
        <v>6861</v>
      </c>
      <c r="H6868" s="16">
        <f t="shared" ca="1" si="115"/>
        <v>-4.0353350296931309E-2</v>
      </c>
    </row>
    <row r="6869" spans="7:8" x14ac:dyDescent="0.35">
      <c r="G6869" s="215">
        <v>6862</v>
      </c>
      <c r="H6869" s="16">
        <f t="shared" ca="1" si="115"/>
        <v>-5.7387117245838226E-2</v>
      </c>
    </row>
    <row r="6870" spans="7:8" x14ac:dyDescent="0.35">
      <c r="G6870" s="215">
        <v>6863</v>
      </c>
      <c r="H6870" s="16">
        <f t="shared" ca="1" si="115"/>
        <v>4.4214104866244441E-2</v>
      </c>
    </row>
    <row r="6871" spans="7:8" x14ac:dyDescent="0.35">
      <c r="G6871" s="215">
        <v>6864</v>
      </c>
      <c r="H6871" s="16">
        <f t="shared" ca="1" si="115"/>
        <v>1.6900155241122539E-2</v>
      </c>
    </row>
    <row r="6872" spans="7:8" x14ac:dyDescent="0.35">
      <c r="G6872" s="215">
        <v>6865</v>
      </c>
      <c r="H6872" s="16">
        <f t="shared" ca="1" si="115"/>
        <v>-5.4194157349166217E-2</v>
      </c>
    </row>
    <row r="6873" spans="7:8" x14ac:dyDescent="0.35">
      <c r="G6873" s="215">
        <v>6866</v>
      </c>
      <c r="H6873" s="16">
        <f t="shared" ca="1" si="115"/>
        <v>-8.553257797599681E-2</v>
      </c>
    </row>
    <row r="6874" spans="7:8" x14ac:dyDescent="0.35">
      <c r="G6874" s="215">
        <v>6867</v>
      </c>
      <c r="H6874" s="16">
        <f t="shared" ca="1" si="115"/>
        <v>-3.2820139162321196E-2</v>
      </c>
    </row>
    <row r="6875" spans="7:8" x14ac:dyDescent="0.35">
      <c r="G6875" s="215">
        <v>6868</v>
      </c>
      <c r="H6875" s="16">
        <f t="shared" ca="1" si="115"/>
        <v>-7.9392585364355568E-3</v>
      </c>
    </row>
    <row r="6876" spans="7:8" x14ac:dyDescent="0.35">
      <c r="G6876" s="215">
        <v>6869</v>
      </c>
      <c r="H6876" s="16">
        <f t="shared" ca="1" si="115"/>
        <v>-1.7960760228628005E-2</v>
      </c>
    </row>
    <row r="6877" spans="7:8" x14ac:dyDescent="0.35">
      <c r="G6877" s="215">
        <v>6870</v>
      </c>
      <c r="H6877" s="16">
        <f t="shared" ca="1" si="115"/>
        <v>5.9736553404132848E-3</v>
      </c>
    </row>
    <row r="6878" spans="7:8" x14ac:dyDescent="0.35">
      <c r="G6878" s="215">
        <v>6871</v>
      </c>
      <c r="H6878" s="16">
        <f t="shared" ca="1" si="115"/>
        <v>4.3399791870126464E-2</v>
      </c>
    </row>
    <row r="6879" spans="7:8" x14ac:dyDescent="0.35">
      <c r="G6879" s="215">
        <v>6872</v>
      </c>
      <c r="H6879" s="16">
        <f t="shared" ca="1" si="115"/>
        <v>2.354432504251755E-5</v>
      </c>
    </row>
    <row r="6880" spans="7:8" x14ac:dyDescent="0.35">
      <c r="G6880" s="215">
        <v>6873</v>
      </c>
      <c r="H6880" s="16">
        <f t="shared" ca="1" si="115"/>
        <v>-4.9764922672501127E-2</v>
      </c>
    </row>
    <row r="6881" spans="7:8" x14ac:dyDescent="0.35">
      <c r="G6881" s="215">
        <v>6874</v>
      </c>
      <c r="H6881" s="16">
        <f t="shared" ca="1" si="115"/>
        <v>3.5212967230040346E-2</v>
      </c>
    </row>
    <row r="6882" spans="7:8" x14ac:dyDescent="0.35">
      <c r="G6882" s="215">
        <v>6875</v>
      </c>
      <c r="H6882" s="16">
        <f t="shared" ca="1" si="115"/>
        <v>7.0921886722000921E-2</v>
      </c>
    </row>
    <row r="6883" spans="7:8" x14ac:dyDescent="0.35">
      <c r="G6883" s="215">
        <v>6876</v>
      </c>
      <c r="H6883" s="16">
        <f t="shared" ca="1" si="115"/>
        <v>-3.5381243597995868E-2</v>
      </c>
    </row>
    <row r="6884" spans="7:8" x14ac:dyDescent="0.35">
      <c r="G6884" s="215">
        <v>6877</v>
      </c>
      <c r="H6884" s="16">
        <f t="shared" ca="1" si="115"/>
        <v>7.9411535530956229E-2</v>
      </c>
    </row>
    <row r="6885" spans="7:8" x14ac:dyDescent="0.35">
      <c r="G6885" s="215">
        <v>6878</v>
      </c>
      <c r="H6885" s="16">
        <f t="shared" ca="1" si="115"/>
        <v>-1.8314123381105954E-2</v>
      </c>
    </row>
    <row r="6886" spans="7:8" x14ac:dyDescent="0.35">
      <c r="G6886" s="215">
        <v>6879</v>
      </c>
      <c r="H6886" s="16">
        <f t="shared" ca="1" si="115"/>
        <v>4.8251715639443457E-2</v>
      </c>
    </row>
    <row r="6887" spans="7:8" x14ac:dyDescent="0.35">
      <c r="G6887" s="215">
        <v>6880</v>
      </c>
      <c r="H6887" s="16">
        <f t="shared" ca="1" si="115"/>
        <v>8.9713321566367868E-2</v>
      </c>
    </row>
    <row r="6888" spans="7:8" x14ac:dyDescent="0.35">
      <c r="G6888" s="215">
        <v>6881</v>
      </c>
      <c r="H6888" s="16">
        <f t="shared" ca="1" si="115"/>
        <v>0.13703113037031214</v>
      </c>
    </row>
    <row r="6889" spans="7:8" x14ac:dyDescent="0.35">
      <c r="G6889" s="215">
        <v>6882</v>
      </c>
      <c r="H6889" s="16">
        <f t="shared" ca="1" si="115"/>
        <v>-8.319324395973178E-2</v>
      </c>
    </row>
    <row r="6890" spans="7:8" x14ac:dyDescent="0.35">
      <c r="G6890" s="215">
        <v>6883</v>
      </c>
      <c r="H6890" s="16">
        <f t="shared" ca="1" si="115"/>
        <v>1.0917270460894276E-2</v>
      </c>
    </row>
    <row r="6891" spans="7:8" x14ac:dyDescent="0.35">
      <c r="G6891" s="215">
        <v>6884</v>
      </c>
      <c r="H6891" s="16">
        <f t="shared" ca="1" si="115"/>
        <v>1.8299924136520374E-2</v>
      </c>
    </row>
    <row r="6892" spans="7:8" x14ac:dyDescent="0.35">
      <c r="G6892" s="215">
        <v>6885</v>
      </c>
      <c r="H6892" s="16">
        <f t="shared" ca="1" si="115"/>
        <v>9.8173215162897565E-2</v>
      </c>
    </row>
    <row r="6893" spans="7:8" x14ac:dyDescent="0.35">
      <c r="G6893" s="215">
        <v>6886</v>
      </c>
      <c r="H6893" s="16">
        <f t="shared" ca="1" si="115"/>
        <v>-2.9774350731625824E-3</v>
      </c>
    </row>
    <row r="6894" spans="7:8" x14ac:dyDescent="0.35">
      <c r="G6894" s="215">
        <v>6887</v>
      </c>
      <c r="H6894" s="16">
        <f t="shared" ca="1" si="115"/>
        <v>6.2461842587147001E-2</v>
      </c>
    </row>
    <row r="6895" spans="7:8" x14ac:dyDescent="0.35">
      <c r="G6895" s="215">
        <v>6888</v>
      </c>
      <c r="H6895" s="16">
        <f t="shared" ca="1" si="115"/>
        <v>-0.12256617621500004</v>
      </c>
    </row>
    <row r="6896" spans="7:8" x14ac:dyDescent="0.35">
      <c r="G6896" s="215">
        <v>6889</v>
      </c>
      <c r="H6896" s="16">
        <f t="shared" ca="1" si="115"/>
        <v>3.7103732487512517E-2</v>
      </c>
    </row>
    <row r="6897" spans="7:8" x14ac:dyDescent="0.35">
      <c r="G6897" s="215">
        <v>6890</v>
      </c>
      <c r="H6897" s="16">
        <f t="shared" ca="1" si="115"/>
        <v>-8.5954373549315344E-2</v>
      </c>
    </row>
    <row r="6898" spans="7:8" x14ac:dyDescent="0.35">
      <c r="G6898" s="215">
        <v>6891</v>
      </c>
      <c r="H6898" s="16">
        <f t="shared" ca="1" si="115"/>
        <v>0.10504335936520937</v>
      </c>
    </row>
    <row r="6899" spans="7:8" x14ac:dyDescent="0.35">
      <c r="G6899" s="215">
        <v>6892</v>
      </c>
      <c r="H6899" s="16">
        <f t="shared" ca="1" si="115"/>
        <v>-5.5561535620891084E-2</v>
      </c>
    </row>
    <row r="6900" spans="7:8" x14ac:dyDescent="0.35">
      <c r="G6900" s="215">
        <v>6893</v>
      </c>
      <c r="H6900" s="16">
        <f t="shared" ca="1" si="115"/>
        <v>-5.9575979619151842E-2</v>
      </c>
    </row>
    <row r="6901" spans="7:8" x14ac:dyDescent="0.35">
      <c r="G6901" s="215">
        <v>6894</v>
      </c>
      <c r="H6901" s="16">
        <f t="shared" ca="1" si="115"/>
        <v>-2.7629416832661294E-2</v>
      </c>
    </row>
    <row r="6902" spans="7:8" x14ac:dyDescent="0.35">
      <c r="G6902" s="215">
        <v>6895</v>
      </c>
      <c r="H6902" s="16">
        <f t="shared" ca="1" si="115"/>
        <v>1.8108927432132667E-2</v>
      </c>
    </row>
    <row r="6903" spans="7:8" x14ac:dyDescent="0.35">
      <c r="G6903" s="215">
        <v>6896</v>
      </c>
      <c r="H6903" s="16">
        <f t="shared" ca="1" si="115"/>
        <v>-2.5192381279310849E-2</v>
      </c>
    </row>
    <row r="6904" spans="7:8" x14ac:dyDescent="0.35">
      <c r="G6904" s="215">
        <v>6897</v>
      </c>
      <c r="H6904" s="16">
        <f t="shared" ca="1" si="115"/>
        <v>5.0228748676300006E-2</v>
      </c>
    </row>
    <row r="6905" spans="7:8" x14ac:dyDescent="0.35">
      <c r="G6905" s="215">
        <v>6898</v>
      </c>
      <c r="H6905" s="16">
        <f t="shared" ca="1" si="115"/>
        <v>3.5065738938152853E-2</v>
      </c>
    </row>
    <row r="6906" spans="7:8" x14ac:dyDescent="0.35">
      <c r="G6906" s="215">
        <v>6899</v>
      </c>
      <c r="H6906" s="16">
        <f t="shared" ca="1" si="115"/>
        <v>0.1095948314069263</v>
      </c>
    </row>
    <row r="6907" spans="7:8" x14ac:dyDescent="0.35">
      <c r="G6907" s="215">
        <v>6900</v>
      </c>
      <c r="H6907" s="16">
        <f t="shared" ca="1" si="115"/>
        <v>-5.1836944466087526E-2</v>
      </c>
    </row>
    <row r="6908" spans="7:8" x14ac:dyDescent="0.35">
      <c r="G6908" s="215">
        <v>6901</v>
      </c>
      <c r="H6908" s="16">
        <f t="shared" ca="1" si="115"/>
        <v>0.19909304834724728</v>
      </c>
    </row>
    <row r="6909" spans="7:8" x14ac:dyDescent="0.35">
      <c r="G6909" s="215">
        <v>6902</v>
      </c>
      <c r="H6909" s="16">
        <f t="shared" ca="1" si="115"/>
        <v>3.2654950806577994E-2</v>
      </c>
    </row>
    <row r="6910" spans="7:8" x14ac:dyDescent="0.35">
      <c r="G6910" s="215">
        <v>6903</v>
      </c>
      <c r="H6910" s="16">
        <f t="shared" ca="1" si="115"/>
        <v>3.9692440889429366E-2</v>
      </c>
    </row>
    <row r="6911" spans="7:8" x14ac:dyDescent="0.35">
      <c r="G6911" s="215">
        <v>6904</v>
      </c>
      <c r="H6911" s="16">
        <f t="shared" ca="1" si="115"/>
        <v>2.2105080341120104E-2</v>
      </c>
    </row>
    <row r="6912" spans="7:8" x14ac:dyDescent="0.35">
      <c r="G6912" s="215">
        <v>6905</v>
      </c>
      <c r="H6912" s="16">
        <f t="shared" ca="1" si="115"/>
        <v>-4.194003362631149E-2</v>
      </c>
    </row>
    <row r="6913" spans="7:8" x14ac:dyDescent="0.35">
      <c r="G6913" s="215">
        <v>6906</v>
      </c>
      <c r="H6913" s="16">
        <f t="shared" ca="1" si="115"/>
        <v>-3.8203767484792664E-2</v>
      </c>
    </row>
    <row r="6914" spans="7:8" x14ac:dyDescent="0.35">
      <c r="G6914" s="215">
        <v>6907</v>
      </c>
      <c r="H6914" s="16">
        <f t="shared" ca="1" si="115"/>
        <v>-1.0044601201663544E-2</v>
      </c>
    </row>
    <row r="6915" spans="7:8" x14ac:dyDescent="0.35">
      <c r="G6915" s="215">
        <v>6908</v>
      </c>
      <c r="H6915" s="16">
        <f t="shared" ca="1" si="115"/>
        <v>-4.949222304198201E-3</v>
      </c>
    </row>
    <row r="6916" spans="7:8" x14ac:dyDescent="0.35">
      <c r="G6916" s="215">
        <v>6909</v>
      </c>
      <c r="H6916" s="16">
        <f t="shared" ca="1" si="115"/>
        <v>1.0571133882376939E-3</v>
      </c>
    </row>
    <row r="6917" spans="7:8" x14ac:dyDescent="0.35">
      <c r="G6917" s="215">
        <v>6910</v>
      </c>
      <c r="H6917" s="16">
        <f t="shared" ca="1" si="115"/>
        <v>-1.8563698588797292E-2</v>
      </c>
    </row>
    <row r="6918" spans="7:8" x14ac:dyDescent="0.35">
      <c r="G6918" s="215">
        <v>6911</v>
      </c>
      <c r="H6918" s="16">
        <f t="shared" ca="1" si="115"/>
        <v>5.6687344290294012E-2</v>
      </c>
    </row>
    <row r="6919" spans="7:8" x14ac:dyDescent="0.35">
      <c r="G6919" s="215">
        <v>6912</v>
      </c>
      <c r="H6919" s="16">
        <f t="shared" ca="1" si="115"/>
        <v>0.1068208649316575</v>
      </c>
    </row>
    <row r="6920" spans="7:8" x14ac:dyDescent="0.35">
      <c r="G6920" s="215">
        <v>6913</v>
      </c>
      <c r="H6920" s="16">
        <f t="shared" ref="H6920:H6983" ca="1" si="116">_xlfn.NORM.INV(RAND(),M$10,M$11)</f>
        <v>8.9604351802314755E-2</v>
      </c>
    </row>
    <row r="6921" spans="7:8" x14ac:dyDescent="0.35">
      <c r="G6921" s="215">
        <v>6914</v>
      </c>
      <c r="H6921" s="16">
        <f t="shared" ca="1" si="116"/>
        <v>1.9756967942758434E-2</v>
      </c>
    </row>
    <row r="6922" spans="7:8" x14ac:dyDescent="0.35">
      <c r="G6922" s="215">
        <v>6915</v>
      </c>
      <c r="H6922" s="16">
        <f t="shared" ca="1" si="116"/>
        <v>-1.3212485103716122E-2</v>
      </c>
    </row>
    <row r="6923" spans="7:8" x14ac:dyDescent="0.35">
      <c r="G6923" s="215">
        <v>6916</v>
      </c>
      <c r="H6923" s="16">
        <f t="shared" ca="1" si="116"/>
        <v>-1.5394010127245679E-2</v>
      </c>
    </row>
    <row r="6924" spans="7:8" x14ac:dyDescent="0.35">
      <c r="G6924" s="215">
        <v>6917</v>
      </c>
      <c r="H6924" s="16">
        <f t="shared" ca="1" si="116"/>
        <v>1.4165945551641346E-2</v>
      </c>
    </row>
    <row r="6925" spans="7:8" x14ac:dyDescent="0.35">
      <c r="G6925" s="215">
        <v>6918</v>
      </c>
      <c r="H6925" s="16">
        <f t="shared" ca="1" si="116"/>
        <v>9.7184292172947537E-2</v>
      </c>
    </row>
    <row r="6926" spans="7:8" x14ac:dyDescent="0.35">
      <c r="G6926" s="215">
        <v>6919</v>
      </c>
      <c r="H6926" s="16">
        <f t="shared" ca="1" si="116"/>
        <v>5.8231514229853829E-2</v>
      </c>
    </row>
    <row r="6927" spans="7:8" x14ac:dyDescent="0.35">
      <c r="G6927" s="215">
        <v>6920</v>
      </c>
      <c r="H6927" s="16">
        <f t="shared" ca="1" si="116"/>
        <v>5.2006402946373029E-2</v>
      </c>
    </row>
    <row r="6928" spans="7:8" x14ac:dyDescent="0.35">
      <c r="G6928" s="215">
        <v>6921</v>
      </c>
      <c r="H6928" s="16">
        <f t="shared" ca="1" si="116"/>
        <v>4.9093909680600692E-2</v>
      </c>
    </row>
    <row r="6929" spans="7:8" x14ac:dyDescent="0.35">
      <c r="G6929" s="215">
        <v>6922</v>
      </c>
      <c r="H6929" s="16">
        <f t="shared" ca="1" si="116"/>
        <v>2.626534935145379E-2</v>
      </c>
    </row>
    <row r="6930" spans="7:8" x14ac:dyDescent="0.35">
      <c r="G6930" s="215">
        <v>6923</v>
      </c>
      <c r="H6930" s="16">
        <f t="shared" ca="1" si="116"/>
        <v>-0.10613906293144704</v>
      </c>
    </row>
    <row r="6931" spans="7:8" x14ac:dyDescent="0.35">
      <c r="G6931" s="215">
        <v>6924</v>
      </c>
      <c r="H6931" s="16">
        <f t="shared" ca="1" si="116"/>
        <v>-9.5170988647137224E-4</v>
      </c>
    </row>
    <row r="6932" spans="7:8" x14ac:dyDescent="0.35">
      <c r="G6932" s="215">
        <v>6925</v>
      </c>
      <c r="H6932" s="16">
        <f t="shared" ca="1" si="116"/>
        <v>9.0590624217346941E-2</v>
      </c>
    </row>
    <row r="6933" spans="7:8" x14ac:dyDescent="0.35">
      <c r="G6933" s="215">
        <v>6926</v>
      </c>
      <c r="H6933" s="16">
        <f t="shared" ca="1" si="116"/>
        <v>5.9380047039375758E-2</v>
      </c>
    </row>
    <row r="6934" spans="7:8" x14ac:dyDescent="0.35">
      <c r="G6934" s="215">
        <v>6927</v>
      </c>
      <c r="H6934" s="16">
        <f t="shared" ca="1" si="116"/>
        <v>2.9199931218866493E-4</v>
      </c>
    </row>
    <row r="6935" spans="7:8" x14ac:dyDescent="0.35">
      <c r="G6935" s="215">
        <v>6928</v>
      </c>
      <c r="H6935" s="16">
        <f t="shared" ca="1" si="116"/>
        <v>6.0279151399189365E-2</v>
      </c>
    </row>
    <row r="6936" spans="7:8" x14ac:dyDescent="0.35">
      <c r="G6936" s="215">
        <v>6929</v>
      </c>
      <c r="H6936" s="16">
        <f t="shared" ca="1" si="116"/>
        <v>-1.0840699617659339E-2</v>
      </c>
    </row>
    <row r="6937" spans="7:8" x14ac:dyDescent="0.35">
      <c r="G6937" s="215">
        <v>6930</v>
      </c>
      <c r="H6937" s="16">
        <f t="shared" ca="1" si="116"/>
        <v>0.12319238253228004</v>
      </c>
    </row>
    <row r="6938" spans="7:8" x14ac:dyDescent="0.35">
      <c r="G6938" s="215">
        <v>6931</v>
      </c>
      <c r="H6938" s="16">
        <f t="shared" ca="1" si="116"/>
        <v>-6.6038371710608987E-2</v>
      </c>
    </row>
    <row r="6939" spans="7:8" x14ac:dyDescent="0.35">
      <c r="G6939" s="215">
        <v>6932</v>
      </c>
      <c r="H6939" s="16">
        <f t="shared" ca="1" si="116"/>
        <v>-8.4493028285767713E-2</v>
      </c>
    </row>
    <row r="6940" spans="7:8" x14ac:dyDescent="0.35">
      <c r="G6940" s="215">
        <v>6933</v>
      </c>
      <c r="H6940" s="16">
        <f t="shared" ca="1" si="116"/>
        <v>-5.2683632106951643E-3</v>
      </c>
    </row>
    <row r="6941" spans="7:8" x14ac:dyDescent="0.35">
      <c r="G6941" s="215">
        <v>6934</v>
      </c>
      <c r="H6941" s="16">
        <f t="shared" ca="1" si="116"/>
        <v>6.4304025670641057E-2</v>
      </c>
    </row>
    <row r="6942" spans="7:8" x14ac:dyDescent="0.35">
      <c r="G6942" s="215">
        <v>6935</v>
      </c>
      <c r="H6942" s="16">
        <f t="shared" ca="1" si="116"/>
        <v>3.6130222854752522E-2</v>
      </c>
    </row>
    <row r="6943" spans="7:8" x14ac:dyDescent="0.35">
      <c r="G6943" s="215">
        <v>6936</v>
      </c>
      <c r="H6943" s="16">
        <f t="shared" ca="1" si="116"/>
        <v>3.8687116029826177E-2</v>
      </c>
    </row>
    <row r="6944" spans="7:8" x14ac:dyDescent="0.35">
      <c r="G6944" s="215">
        <v>6937</v>
      </c>
      <c r="H6944" s="16">
        <f t="shared" ca="1" si="116"/>
        <v>1.7713134385094573E-2</v>
      </c>
    </row>
    <row r="6945" spans="7:8" x14ac:dyDescent="0.35">
      <c r="G6945" s="215">
        <v>6938</v>
      </c>
      <c r="H6945" s="16">
        <f t="shared" ca="1" si="116"/>
        <v>-6.9847018909023742E-2</v>
      </c>
    </row>
    <row r="6946" spans="7:8" x14ac:dyDescent="0.35">
      <c r="G6946" s="215">
        <v>6939</v>
      </c>
      <c r="H6946" s="16">
        <f t="shared" ca="1" si="116"/>
        <v>2.642589693782587E-2</v>
      </c>
    </row>
    <row r="6947" spans="7:8" x14ac:dyDescent="0.35">
      <c r="G6947" s="215">
        <v>6940</v>
      </c>
      <c r="H6947" s="16">
        <f t="shared" ca="1" si="116"/>
        <v>3.1756029452128687E-2</v>
      </c>
    </row>
    <row r="6948" spans="7:8" x14ac:dyDescent="0.35">
      <c r="G6948" s="215">
        <v>6941</v>
      </c>
      <c r="H6948" s="16">
        <f t="shared" ca="1" si="116"/>
        <v>0.12081036596120689</v>
      </c>
    </row>
    <row r="6949" spans="7:8" x14ac:dyDescent="0.35">
      <c r="G6949" s="215">
        <v>6942</v>
      </c>
      <c r="H6949" s="16">
        <f t="shared" ca="1" si="116"/>
        <v>-3.4312049012723694E-2</v>
      </c>
    </row>
    <row r="6950" spans="7:8" x14ac:dyDescent="0.35">
      <c r="G6950" s="215">
        <v>6943</v>
      </c>
      <c r="H6950" s="16">
        <f t="shared" ca="1" si="116"/>
        <v>-8.2505201198797701E-2</v>
      </c>
    </row>
    <row r="6951" spans="7:8" x14ac:dyDescent="0.35">
      <c r="G6951" s="215">
        <v>6944</v>
      </c>
      <c r="H6951" s="16">
        <f t="shared" ca="1" si="116"/>
        <v>4.4814950111193852E-2</v>
      </c>
    </row>
    <row r="6952" spans="7:8" x14ac:dyDescent="0.35">
      <c r="G6952" s="215">
        <v>6945</v>
      </c>
      <c r="H6952" s="16">
        <f t="shared" ca="1" si="116"/>
        <v>7.4020172374001478E-2</v>
      </c>
    </row>
    <row r="6953" spans="7:8" x14ac:dyDescent="0.35">
      <c r="G6953" s="215">
        <v>6946</v>
      </c>
      <c r="H6953" s="16">
        <f t="shared" ca="1" si="116"/>
        <v>-3.9374157886373773E-4</v>
      </c>
    </row>
    <row r="6954" spans="7:8" x14ac:dyDescent="0.35">
      <c r="G6954" s="215">
        <v>6947</v>
      </c>
      <c r="H6954" s="16">
        <f t="shared" ca="1" si="116"/>
        <v>-3.9680203219843155E-2</v>
      </c>
    </row>
    <row r="6955" spans="7:8" x14ac:dyDescent="0.35">
      <c r="G6955" s="215">
        <v>6948</v>
      </c>
      <c r="H6955" s="16">
        <f t="shared" ca="1" si="116"/>
        <v>6.0967705768804517E-2</v>
      </c>
    </row>
    <row r="6956" spans="7:8" x14ac:dyDescent="0.35">
      <c r="G6956" s="215">
        <v>6949</v>
      </c>
      <c r="H6956" s="16">
        <f t="shared" ca="1" si="116"/>
        <v>7.2442084379492303E-2</v>
      </c>
    </row>
    <row r="6957" spans="7:8" x14ac:dyDescent="0.35">
      <c r="G6957" s="215">
        <v>6950</v>
      </c>
      <c r="H6957" s="16">
        <f t="shared" ca="1" si="116"/>
        <v>8.3632643728042161E-2</v>
      </c>
    </row>
    <row r="6958" spans="7:8" x14ac:dyDescent="0.35">
      <c r="G6958" s="215">
        <v>6951</v>
      </c>
      <c r="H6958" s="16">
        <f t="shared" ca="1" si="116"/>
        <v>-4.2648588595904563E-2</v>
      </c>
    </row>
    <row r="6959" spans="7:8" x14ac:dyDescent="0.35">
      <c r="G6959" s="215">
        <v>6952</v>
      </c>
      <c r="H6959" s="16">
        <f t="shared" ca="1" si="116"/>
        <v>0.11107782293318245</v>
      </c>
    </row>
    <row r="6960" spans="7:8" x14ac:dyDescent="0.35">
      <c r="G6960" s="215">
        <v>6953</v>
      </c>
      <c r="H6960" s="16">
        <f t="shared" ca="1" si="116"/>
        <v>-4.7357631542079157E-2</v>
      </c>
    </row>
    <row r="6961" spans="7:8" x14ac:dyDescent="0.35">
      <c r="G6961" s="215">
        <v>6954</v>
      </c>
      <c r="H6961" s="16">
        <f t="shared" ca="1" si="116"/>
        <v>-3.8182435923744193E-2</v>
      </c>
    </row>
    <row r="6962" spans="7:8" x14ac:dyDescent="0.35">
      <c r="G6962" s="215">
        <v>6955</v>
      </c>
      <c r="H6962" s="16">
        <f t="shared" ca="1" si="116"/>
        <v>8.8469053549206242E-2</v>
      </c>
    </row>
    <row r="6963" spans="7:8" x14ac:dyDescent="0.35">
      <c r="G6963" s="215">
        <v>6956</v>
      </c>
      <c r="H6963" s="16">
        <f t="shared" ca="1" si="116"/>
        <v>-0.12876185075152957</v>
      </c>
    </row>
    <row r="6964" spans="7:8" x14ac:dyDescent="0.35">
      <c r="G6964" s="215">
        <v>6957</v>
      </c>
      <c r="H6964" s="16">
        <f t="shared" ca="1" si="116"/>
        <v>0.12344881296822152</v>
      </c>
    </row>
    <row r="6965" spans="7:8" x14ac:dyDescent="0.35">
      <c r="G6965" s="215">
        <v>6958</v>
      </c>
      <c r="H6965" s="16">
        <f t="shared" ca="1" si="116"/>
        <v>0.1049853264360263</v>
      </c>
    </row>
    <row r="6966" spans="7:8" x14ac:dyDescent="0.35">
      <c r="G6966" s="215">
        <v>6959</v>
      </c>
      <c r="H6966" s="16">
        <f t="shared" ca="1" si="116"/>
        <v>-3.4997927294585035E-2</v>
      </c>
    </row>
    <row r="6967" spans="7:8" x14ac:dyDescent="0.35">
      <c r="G6967" s="215">
        <v>6960</v>
      </c>
      <c r="H6967" s="16">
        <f t="shared" ca="1" si="116"/>
        <v>-3.3801781528708275E-2</v>
      </c>
    </row>
    <row r="6968" spans="7:8" x14ac:dyDescent="0.35">
      <c r="G6968" s="215">
        <v>6961</v>
      </c>
      <c r="H6968" s="16">
        <f t="shared" ca="1" si="116"/>
        <v>0.17385343016082724</v>
      </c>
    </row>
    <row r="6969" spans="7:8" x14ac:dyDescent="0.35">
      <c r="G6969" s="215">
        <v>6962</v>
      </c>
      <c r="H6969" s="16">
        <f t="shared" ca="1" si="116"/>
        <v>5.0242851785784984E-2</v>
      </c>
    </row>
    <row r="6970" spans="7:8" x14ac:dyDescent="0.35">
      <c r="G6970" s="215">
        <v>6963</v>
      </c>
      <c r="H6970" s="16">
        <f t="shared" ca="1" si="116"/>
        <v>-2.4014667371339966E-2</v>
      </c>
    </row>
    <row r="6971" spans="7:8" x14ac:dyDescent="0.35">
      <c r="G6971" s="215">
        <v>6964</v>
      </c>
      <c r="H6971" s="16">
        <f t="shared" ca="1" si="116"/>
        <v>2.6570439187546192E-2</v>
      </c>
    </row>
    <row r="6972" spans="7:8" x14ac:dyDescent="0.35">
      <c r="G6972" s="215">
        <v>6965</v>
      </c>
      <c r="H6972" s="16">
        <f t="shared" ca="1" si="116"/>
        <v>-5.6916384804859034E-3</v>
      </c>
    </row>
    <row r="6973" spans="7:8" x14ac:dyDescent="0.35">
      <c r="G6973" s="215">
        <v>6966</v>
      </c>
      <c r="H6973" s="16">
        <f t="shared" ca="1" si="116"/>
        <v>1.1837019273053723E-2</v>
      </c>
    </row>
    <row r="6974" spans="7:8" x14ac:dyDescent="0.35">
      <c r="G6974" s="215">
        <v>6967</v>
      </c>
      <c r="H6974" s="16">
        <f t="shared" ca="1" si="116"/>
        <v>-5.3535433005829761E-2</v>
      </c>
    </row>
    <row r="6975" spans="7:8" x14ac:dyDescent="0.35">
      <c r="G6975" s="215">
        <v>6968</v>
      </c>
      <c r="H6975" s="16">
        <f t="shared" ca="1" si="116"/>
        <v>4.6632969891585455E-2</v>
      </c>
    </row>
    <row r="6976" spans="7:8" x14ac:dyDescent="0.35">
      <c r="G6976" s="215">
        <v>6969</v>
      </c>
      <c r="H6976" s="16">
        <f t="shared" ca="1" si="116"/>
        <v>-4.3393590091164738E-2</v>
      </c>
    </row>
    <row r="6977" spans="7:8" x14ac:dyDescent="0.35">
      <c r="G6977" s="215">
        <v>6970</v>
      </c>
      <c r="H6977" s="16">
        <f t="shared" ca="1" si="116"/>
        <v>5.8589985302830674E-2</v>
      </c>
    </row>
    <row r="6978" spans="7:8" x14ac:dyDescent="0.35">
      <c r="G6978" s="215">
        <v>6971</v>
      </c>
      <c r="H6978" s="16">
        <f t="shared" ca="1" si="116"/>
        <v>-1.9510717916080039E-2</v>
      </c>
    </row>
    <row r="6979" spans="7:8" x14ac:dyDescent="0.35">
      <c r="G6979" s="215">
        <v>6972</v>
      </c>
      <c r="H6979" s="16">
        <f t="shared" ca="1" si="116"/>
        <v>0.14358832100073812</v>
      </c>
    </row>
    <row r="6980" spans="7:8" x14ac:dyDescent="0.35">
      <c r="G6980" s="215">
        <v>6973</v>
      </c>
      <c r="H6980" s="16">
        <f t="shared" ca="1" si="116"/>
        <v>-2.7170883060336649E-3</v>
      </c>
    </row>
    <row r="6981" spans="7:8" x14ac:dyDescent="0.35">
      <c r="G6981" s="215">
        <v>6974</v>
      </c>
      <c r="H6981" s="16">
        <f t="shared" ca="1" si="116"/>
        <v>3.5962688225667824E-2</v>
      </c>
    </row>
    <row r="6982" spans="7:8" x14ac:dyDescent="0.35">
      <c r="G6982" s="215">
        <v>6975</v>
      </c>
      <c r="H6982" s="16">
        <f t="shared" ca="1" si="116"/>
        <v>6.529180577307743E-2</v>
      </c>
    </row>
    <row r="6983" spans="7:8" x14ac:dyDescent="0.35">
      <c r="G6983" s="215">
        <v>6976</v>
      </c>
      <c r="H6983" s="16">
        <f t="shared" ca="1" si="116"/>
        <v>6.6503470821132685E-3</v>
      </c>
    </row>
    <row r="6984" spans="7:8" x14ac:dyDescent="0.35">
      <c r="G6984" s="215">
        <v>6977</v>
      </c>
      <c r="H6984" s="16">
        <f t="shared" ref="H6984:H7047" ca="1" si="117">_xlfn.NORM.INV(RAND(),M$10,M$11)</f>
        <v>0.10462173982166389</v>
      </c>
    </row>
    <row r="6985" spans="7:8" x14ac:dyDescent="0.35">
      <c r="G6985" s="215">
        <v>6978</v>
      </c>
      <c r="H6985" s="16">
        <f t="shared" ca="1" si="117"/>
        <v>-5.552513807340162E-2</v>
      </c>
    </row>
    <row r="6986" spans="7:8" x14ac:dyDescent="0.35">
      <c r="G6986" s="215">
        <v>6979</v>
      </c>
      <c r="H6986" s="16">
        <f t="shared" ca="1" si="117"/>
        <v>-3.829088661811364E-3</v>
      </c>
    </row>
    <row r="6987" spans="7:8" x14ac:dyDescent="0.35">
      <c r="G6987" s="215">
        <v>6980</v>
      </c>
      <c r="H6987" s="16">
        <f t="shared" ca="1" si="117"/>
        <v>-4.4064258572020648E-3</v>
      </c>
    </row>
    <row r="6988" spans="7:8" x14ac:dyDescent="0.35">
      <c r="G6988" s="215">
        <v>6981</v>
      </c>
      <c r="H6988" s="16">
        <f t="shared" ca="1" si="117"/>
        <v>-4.3082061208547795E-4</v>
      </c>
    </row>
    <row r="6989" spans="7:8" x14ac:dyDescent="0.35">
      <c r="G6989" s="215">
        <v>6982</v>
      </c>
      <c r="H6989" s="16">
        <f t="shared" ca="1" si="117"/>
        <v>3.2977600302641109E-3</v>
      </c>
    </row>
    <row r="6990" spans="7:8" x14ac:dyDescent="0.35">
      <c r="G6990" s="215">
        <v>6983</v>
      </c>
      <c r="H6990" s="16">
        <f t="shared" ca="1" si="117"/>
        <v>0.10155612454097379</v>
      </c>
    </row>
    <row r="6991" spans="7:8" x14ac:dyDescent="0.35">
      <c r="G6991" s="215">
        <v>6984</v>
      </c>
      <c r="H6991" s="16">
        <f t="shared" ca="1" si="117"/>
        <v>-2.6632859338787892E-2</v>
      </c>
    </row>
    <row r="6992" spans="7:8" x14ac:dyDescent="0.35">
      <c r="G6992" s="215">
        <v>6985</v>
      </c>
      <c r="H6992" s="16">
        <f t="shared" ca="1" si="117"/>
        <v>-9.4781672649777264E-3</v>
      </c>
    </row>
    <row r="6993" spans="7:8" x14ac:dyDescent="0.35">
      <c r="G6993" s="215">
        <v>6986</v>
      </c>
      <c r="H6993" s="16">
        <f t="shared" ca="1" si="117"/>
        <v>-1.3855758900948322E-2</v>
      </c>
    </row>
    <row r="6994" spans="7:8" x14ac:dyDescent="0.35">
      <c r="G6994" s="215">
        <v>6987</v>
      </c>
      <c r="H6994" s="16">
        <f t="shared" ca="1" si="117"/>
        <v>0.13696692299161367</v>
      </c>
    </row>
    <row r="6995" spans="7:8" x14ac:dyDescent="0.35">
      <c r="G6995" s="215">
        <v>6988</v>
      </c>
      <c r="H6995" s="16">
        <f t="shared" ca="1" si="117"/>
        <v>9.654515462318906E-3</v>
      </c>
    </row>
    <row r="6996" spans="7:8" x14ac:dyDescent="0.35">
      <c r="G6996" s="215">
        <v>6989</v>
      </c>
      <c r="H6996" s="16">
        <f t="shared" ca="1" si="117"/>
        <v>0.11338560654869585</v>
      </c>
    </row>
    <row r="6997" spans="7:8" x14ac:dyDescent="0.35">
      <c r="G6997" s="215">
        <v>6990</v>
      </c>
      <c r="H6997" s="16">
        <f t="shared" ca="1" si="117"/>
        <v>-6.4962055666199253E-2</v>
      </c>
    </row>
    <row r="6998" spans="7:8" x14ac:dyDescent="0.35">
      <c r="G6998" s="215">
        <v>6991</v>
      </c>
      <c r="H6998" s="16">
        <f t="shared" ca="1" si="117"/>
        <v>0.10867660632320388</v>
      </c>
    </row>
    <row r="6999" spans="7:8" x14ac:dyDescent="0.35">
      <c r="G6999" s="215">
        <v>6992</v>
      </c>
      <c r="H6999" s="16">
        <f t="shared" ca="1" si="117"/>
        <v>0.14790854599016567</v>
      </c>
    </row>
    <row r="7000" spans="7:8" x14ac:dyDescent="0.35">
      <c r="G7000" s="215">
        <v>6993</v>
      </c>
      <c r="H7000" s="16">
        <f t="shared" ca="1" si="117"/>
        <v>-6.6037427542947835E-2</v>
      </c>
    </row>
    <row r="7001" spans="7:8" x14ac:dyDescent="0.35">
      <c r="G7001" s="215">
        <v>6994</v>
      </c>
      <c r="H7001" s="16">
        <f t="shared" ca="1" si="117"/>
        <v>-7.5514022595063568E-2</v>
      </c>
    </row>
    <row r="7002" spans="7:8" x14ac:dyDescent="0.35">
      <c r="G7002" s="215">
        <v>6995</v>
      </c>
      <c r="H7002" s="16">
        <f t="shared" ca="1" si="117"/>
        <v>-2.5377988674347898E-2</v>
      </c>
    </row>
    <row r="7003" spans="7:8" x14ac:dyDescent="0.35">
      <c r="G7003" s="215">
        <v>6996</v>
      </c>
      <c r="H7003" s="16">
        <f t="shared" ca="1" si="117"/>
        <v>-5.0229670913087311E-3</v>
      </c>
    </row>
    <row r="7004" spans="7:8" x14ac:dyDescent="0.35">
      <c r="G7004" s="215">
        <v>6997</v>
      </c>
      <c r="H7004" s="16">
        <f t="shared" ca="1" si="117"/>
        <v>-2.3503632615750576E-2</v>
      </c>
    </row>
    <row r="7005" spans="7:8" x14ac:dyDescent="0.35">
      <c r="G7005" s="215">
        <v>6998</v>
      </c>
      <c r="H7005" s="16">
        <f t="shared" ca="1" si="117"/>
        <v>6.6498141151724978E-3</v>
      </c>
    </row>
    <row r="7006" spans="7:8" x14ac:dyDescent="0.35">
      <c r="G7006" s="215">
        <v>6999</v>
      </c>
      <c r="H7006" s="16">
        <f t="shared" ca="1" si="117"/>
        <v>-9.5981462031974746E-3</v>
      </c>
    </row>
    <row r="7007" spans="7:8" x14ac:dyDescent="0.35">
      <c r="G7007" s="215">
        <v>7000</v>
      </c>
      <c r="H7007" s="16">
        <f t="shared" ca="1" si="117"/>
        <v>-7.1559375583175169E-2</v>
      </c>
    </row>
    <row r="7008" spans="7:8" x14ac:dyDescent="0.35">
      <c r="G7008" s="215">
        <v>7001</v>
      </c>
      <c r="H7008" s="16">
        <f t="shared" ca="1" si="117"/>
        <v>8.1975887356345076E-2</v>
      </c>
    </row>
    <row r="7009" spans="7:8" x14ac:dyDescent="0.35">
      <c r="G7009" s="215">
        <v>7002</v>
      </c>
      <c r="H7009" s="16">
        <f t="shared" ca="1" si="117"/>
        <v>7.2898315716515519E-2</v>
      </c>
    </row>
    <row r="7010" spans="7:8" x14ac:dyDescent="0.35">
      <c r="G7010" s="215">
        <v>7003</v>
      </c>
      <c r="H7010" s="16">
        <f t="shared" ca="1" si="117"/>
        <v>0.13832404928422601</v>
      </c>
    </row>
    <row r="7011" spans="7:8" x14ac:dyDescent="0.35">
      <c r="G7011" s="215">
        <v>7004</v>
      </c>
      <c r="H7011" s="16">
        <f t="shared" ca="1" si="117"/>
        <v>1.9112833053515289E-2</v>
      </c>
    </row>
    <row r="7012" spans="7:8" x14ac:dyDescent="0.35">
      <c r="G7012" s="215">
        <v>7005</v>
      </c>
      <c r="H7012" s="16">
        <f t="shared" ca="1" si="117"/>
        <v>2.528463988544806E-2</v>
      </c>
    </row>
    <row r="7013" spans="7:8" x14ac:dyDescent="0.35">
      <c r="G7013" s="215">
        <v>7006</v>
      </c>
      <c r="H7013" s="16">
        <f t="shared" ca="1" si="117"/>
        <v>-6.9794814073077457E-2</v>
      </c>
    </row>
    <row r="7014" spans="7:8" x14ac:dyDescent="0.35">
      <c r="G7014" s="215">
        <v>7007</v>
      </c>
      <c r="H7014" s="16">
        <f t="shared" ca="1" si="117"/>
        <v>-7.5193894088729604E-2</v>
      </c>
    </row>
    <row r="7015" spans="7:8" x14ac:dyDescent="0.35">
      <c r="G7015" s="215">
        <v>7008</v>
      </c>
      <c r="H7015" s="16">
        <f t="shared" ca="1" si="117"/>
        <v>-5.1222691670430628E-2</v>
      </c>
    </row>
    <row r="7016" spans="7:8" x14ac:dyDescent="0.35">
      <c r="G7016" s="215">
        <v>7009</v>
      </c>
      <c r="H7016" s="16">
        <f t="shared" ca="1" si="117"/>
        <v>-6.0191109453229634E-3</v>
      </c>
    </row>
    <row r="7017" spans="7:8" x14ac:dyDescent="0.35">
      <c r="G7017" s="215">
        <v>7010</v>
      </c>
      <c r="H7017" s="16">
        <f t="shared" ca="1" si="117"/>
        <v>8.5175691230834336E-2</v>
      </c>
    </row>
    <row r="7018" spans="7:8" x14ac:dyDescent="0.35">
      <c r="G7018" s="215">
        <v>7011</v>
      </c>
      <c r="H7018" s="16">
        <f t="shared" ca="1" si="117"/>
        <v>5.0816275420559776E-2</v>
      </c>
    </row>
    <row r="7019" spans="7:8" x14ac:dyDescent="0.35">
      <c r="G7019" s="215">
        <v>7012</v>
      </c>
      <c r="H7019" s="16">
        <f t="shared" ca="1" si="117"/>
        <v>3.3709612462648135E-2</v>
      </c>
    </row>
    <row r="7020" spans="7:8" x14ac:dyDescent="0.35">
      <c r="G7020" s="215">
        <v>7013</v>
      </c>
      <c r="H7020" s="16">
        <f t="shared" ca="1" si="117"/>
        <v>-6.8780947651283453E-2</v>
      </c>
    </row>
    <row r="7021" spans="7:8" x14ac:dyDescent="0.35">
      <c r="G7021" s="215">
        <v>7014</v>
      </c>
      <c r="H7021" s="16">
        <f t="shared" ca="1" si="117"/>
        <v>2.2065151103057339E-2</v>
      </c>
    </row>
    <row r="7022" spans="7:8" x14ac:dyDescent="0.35">
      <c r="G7022" s="215">
        <v>7015</v>
      </c>
      <c r="H7022" s="16">
        <f t="shared" ca="1" si="117"/>
        <v>9.1134551243003098E-2</v>
      </c>
    </row>
    <row r="7023" spans="7:8" x14ac:dyDescent="0.35">
      <c r="G7023" s="215">
        <v>7016</v>
      </c>
      <c r="H7023" s="16">
        <f t="shared" ca="1" si="117"/>
        <v>4.8052736956629816E-2</v>
      </c>
    </row>
    <row r="7024" spans="7:8" x14ac:dyDescent="0.35">
      <c r="G7024" s="215">
        <v>7017</v>
      </c>
      <c r="H7024" s="16">
        <f t="shared" ca="1" si="117"/>
        <v>1.2708561373859367E-4</v>
      </c>
    </row>
    <row r="7025" spans="7:8" x14ac:dyDescent="0.35">
      <c r="G7025" s="215">
        <v>7018</v>
      </c>
      <c r="H7025" s="16">
        <f t="shared" ca="1" si="117"/>
        <v>3.2171806378374371E-2</v>
      </c>
    </row>
    <row r="7026" spans="7:8" x14ac:dyDescent="0.35">
      <c r="G7026" s="215">
        <v>7019</v>
      </c>
      <c r="H7026" s="16">
        <f t="shared" ca="1" si="117"/>
        <v>-2.9551106007807967E-2</v>
      </c>
    </row>
    <row r="7027" spans="7:8" x14ac:dyDescent="0.35">
      <c r="G7027" s="215">
        <v>7020</v>
      </c>
      <c r="H7027" s="16">
        <f t="shared" ca="1" si="117"/>
        <v>-5.3371091410762544E-2</v>
      </c>
    </row>
    <row r="7028" spans="7:8" x14ac:dyDescent="0.35">
      <c r="G7028" s="215">
        <v>7021</v>
      </c>
      <c r="H7028" s="16">
        <f t="shared" ca="1" si="117"/>
        <v>8.4883476722358409E-2</v>
      </c>
    </row>
    <row r="7029" spans="7:8" x14ac:dyDescent="0.35">
      <c r="G7029" s="215">
        <v>7022</v>
      </c>
      <c r="H7029" s="16">
        <f t="shared" ca="1" si="117"/>
        <v>3.7878667437994853E-2</v>
      </c>
    </row>
    <row r="7030" spans="7:8" x14ac:dyDescent="0.35">
      <c r="G7030" s="215">
        <v>7023</v>
      </c>
      <c r="H7030" s="16">
        <f t="shared" ca="1" si="117"/>
        <v>-4.3720938205543847E-2</v>
      </c>
    </row>
    <row r="7031" spans="7:8" x14ac:dyDescent="0.35">
      <c r="G7031" s="215">
        <v>7024</v>
      </c>
      <c r="H7031" s="16">
        <f t="shared" ca="1" si="117"/>
        <v>-4.5872565169088872E-2</v>
      </c>
    </row>
    <row r="7032" spans="7:8" x14ac:dyDescent="0.35">
      <c r="G7032" s="215">
        <v>7025</v>
      </c>
      <c r="H7032" s="16">
        <f t="shared" ca="1" si="117"/>
        <v>7.3797111525588266E-2</v>
      </c>
    </row>
    <row r="7033" spans="7:8" x14ac:dyDescent="0.35">
      <c r="G7033" s="215">
        <v>7026</v>
      </c>
      <c r="H7033" s="16">
        <f t="shared" ca="1" si="117"/>
        <v>7.2770394314378803E-2</v>
      </c>
    </row>
    <row r="7034" spans="7:8" x14ac:dyDescent="0.35">
      <c r="G7034" s="215">
        <v>7027</v>
      </c>
      <c r="H7034" s="16">
        <f t="shared" ca="1" si="117"/>
        <v>3.5571621340683132E-2</v>
      </c>
    </row>
    <row r="7035" spans="7:8" x14ac:dyDescent="0.35">
      <c r="G7035" s="215">
        <v>7028</v>
      </c>
      <c r="H7035" s="16">
        <f t="shared" ca="1" si="117"/>
        <v>1.2267531113210765E-2</v>
      </c>
    </row>
    <row r="7036" spans="7:8" x14ac:dyDescent="0.35">
      <c r="G7036" s="215">
        <v>7029</v>
      </c>
      <c r="H7036" s="16">
        <f t="shared" ca="1" si="117"/>
        <v>0.13144102732368299</v>
      </c>
    </row>
    <row r="7037" spans="7:8" x14ac:dyDescent="0.35">
      <c r="G7037" s="215">
        <v>7030</v>
      </c>
      <c r="H7037" s="16">
        <f t="shared" ca="1" si="117"/>
        <v>0.1313925636868371</v>
      </c>
    </row>
    <row r="7038" spans="7:8" x14ac:dyDescent="0.35">
      <c r="G7038" s="215">
        <v>7031</v>
      </c>
      <c r="H7038" s="16">
        <f t="shared" ca="1" si="117"/>
        <v>8.1608746682715297E-2</v>
      </c>
    </row>
    <row r="7039" spans="7:8" x14ac:dyDescent="0.35">
      <c r="G7039" s="215">
        <v>7032</v>
      </c>
      <c r="H7039" s="16">
        <f t="shared" ca="1" si="117"/>
        <v>6.9251321369409079E-3</v>
      </c>
    </row>
    <row r="7040" spans="7:8" x14ac:dyDescent="0.35">
      <c r="G7040" s="215">
        <v>7033</v>
      </c>
      <c r="H7040" s="16">
        <f t="shared" ca="1" si="117"/>
        <v>-0.10027585589385374</v>
      </c>
    </row>
    <row r="7041" spans="7:8" x14ac:dyDescent="0.35">
      <c r="G7041" s="215">
        <v>7034</v>
      </c>
      <c r="H7041" s="16">
        <f t="shared" ca="1" si="117"/>
        <v>-7.794970877901191E-3</v>
      </c>
    </row>
    <row r="7042" spans="7:8" x14ac:dyDescent="0.35">
      <c r="G7042" s="215">
        <v>7035</v>
      </c>
      <c r="H7042" s="16">
        <f t="shared" ca="1" si="117"/>
        <v>7.9043642474813394E-2</v>
      </c>
    </row>
    <row r="7043" spans="7:8" x14ac:dyDescent="0.35">
      <c r="G7043" s="215">
        <v>7036</v>
      </c>
      <c r="H7043" s="16">
        <f t="shared" ca="1" si="117"/>
        <v>-3.8776727778909614E-2</v>
      </c>
    </row>
    <row r="7044" spans="7:8" x14ac:dyDescent="0.35">
      <c r="G7044" s="215">
        <v>7037</v>
      </c>
      <c r="H7044" s="16">
        <f t="shared" ca="1" si="117"/>
        <v>2.1646612812077429E-3</v>
      </c>
    </row>
    <row r="7045" spans="7:8" x14ac:dyDescent="0.35">
      <c r="G7045" s="215">
        <v>7038</v>
      </c>
      <c r="H7045" s="16">
        <f t="shared" ca="1" si="117"/>
        <v>-3.8729075370741828E-2</v>
      </c>
    </row>
    <row r="7046" spans="7:8" x14ac:dyDescent="0.35">
      <c r="G7046" s="215">
        <v>7039</v>
      </c>
      <c r="H7046" s="16">
        <f t="shared" ca="1" si="117"/>
        <v>-0.12374750036311008</v>
      </c>
    </row>
    <row r="7047" spans="7:8" x14ac:dyDescent="0.35">
      <c r="G7047" s="215">
        <v>7040</v>
      </c>
      <c r="H7047" s="16">
        <f t="shared" ca="1" si="117"/>
        <v>3.1340028893834096E-2</v>
      </c>
    </row>
    <row r="7048" spans="7:8" x14ac:dyDescent="0.35">
      <c r="G7048" s="215">
        <v>7041</v>
      </c>
      <c r="H7048" s="16">
        <f t="shared" ref="H7048:H7111" ca="1" si="118">_xlfn.NORM.INV(RAND(),M$10,M$11)</f>
        <v>-0.19437276377216064</v>
      </c>
    </row>
    <row r="7049" spans="7:8" x14ac:dyDescent="0.35">
      <c r="G7049" s="215">
        <v>7042</v>
      </c>
      <c r="H7049" s="16">
        <f t="shared" ca="1" si="118"/>
        <v>6.840363810552233E-2</v>
      </c>
    </row>
    <row r="7050" spans="7:8" x14ac:dyDescent="0.35">
      <c r="G7050" s="215">
        <v>7043</v>
      </c>
      <c r="H7050" s="16">
        <f t="shared" ca="1" si="118"/>
        <v>2.7049857225627069E-2</v>
      </c>
    </row>
    <row r="7051" spans="7:8" x14ac:dyDescent="0.35">
      <c r="G7051" s="215">
        <v>7044</v>
      </c>
      <c r="H7051" s="16">
        <f t="shared" ca="1" si="118"/>
        <v>-2.6520767572344669E-2</v>
      </c>
    </row>
    <row r="7052" spans="7:8" x14ac:dyDescent="0.35">
      <c r="G7052" s="215">
        <v>7045</v>
      </c>
      <c r="H7052" s="16">
        <f t="shared" ca="1" si="118"/>
        <v>5.371499376324064E-2</v>
      </c>
    </row>
    <row r="7053" spans="7:8" x14ac:dyDescent="0.35">
      <c r="G7053" s="215">
        <v>7046</v>
      </c>
      <c r="H7053" s="16">
        <f t="shared" ca="1" si="118"/>
        <v>-8.3676028269262459E-2</v>
      </c>
    </row>
    <row r="7054" spans="7:8" x14ac:dyDescent="0.35">
      <c r="G7054" s="215">
        <v>7047</v>
      </c>
      <c r="H7054" s="16">
        <f t="shared" ca="1" si="118"/>
        <v>5.5625803799056628E-2</v>
      </c>
    </row>
    <row r="7055" spans="7:8" x14ac:dyDescent="0.35">
      <c r="G7055" s="215">
        <v>7048</v>
      </c>
      <c r="H7055" s="16">
        <f t="shared" ca="1" si="118"/>
        <v>6.8238171822443822E-3</v>
      </c>
    </row>
    <row r="7056" spans="7:8" x14ac:dyDescent="0.35">
      <c r="G7056" s="215">
        <v>7049</v>
      </c>
      <c r="H7056" s="16">
        <f t="shared" ca="1" si="118"/>
        <v>2.9457057918507366E-2</v>
      </c>
    </row>
    <row r="7057" spans="7:8" x14ac:dyDescent="0.35">
      <c r="G7057" s="215">
        <v>7050</v>
      </c>
      <c r="H7057" s="16">
        <f t="shared" ca="1" si="118"/>
        <v>-0.10263152029850231</v>
      </c>
    </row>
    <row r="7058" spans="7:8" x14ac:dyDescent="0.35">
      <c r="G7058" s="215">
        <v>7051</v>
      </c>
      <c r="H7058" s="16">
        <f t="shared" ca="1" si="118"/>
        <v>-0.11874878245529716</v>
      </c>
    </row>
    <row r="7059" spans="7:8" x14ac:dyDescent="0.35">
      <c r="G7059" s="215">
        <v>7052</v>
      </c>
      <c r="H7059" s="16">
        <f t="shared" ca="1" si="118"/>
        <v>7.3096216594710522E-2</v>
      </c>
    </row>
    <row r="7060" spans="7:8" x14ac:dyDescent="0.35">
      <c r="G7060" s="215">
        <v>7053</v>
      </c>
      <c r="H7060" s="16">
        <f t="shared" ca="1" si="118"/>
        <v>-0.12536745868493307</v>
      </c>
    </row>
    <row r="7061" spans="7:8" x14ac:dyDescent="0.35">
      <c r="G7061" s="215">
        <v>7054</v>
      </c>
      <c r="H7061" s="16">
        <f t="shared" ca="1" si="118"/>
        <v>0.11663934803603329</v>
      </c>
    </row>
    <row r="7062" spans="7:8" x14ac:dyDescent="0.35">
      <c r="G7062" s="215">
        <v>7055</v>
      </c>
      <c r="H7062" s="16">
        <f t="shared" ca="1" si="118"/>
        <v>5.3366163279992287E-2</v>
      </c>
    </row>
    <row r="7063" spans="7:8" x14ac:dyDescent="0.35">
      <c r="G7063" s="215">
        <v>7056</v>
      </c>
      <c r="H7063" s="16">
        <f t="shared" ca="1" si="118"/>
        <v>0.155862766933377</v>
      </c>
    </row>
    <row r="7064" spans="7:8" x14ac:dyDescent="0.35">
      <c r="G7064" s="215">
        <v>7057</v>
      </c>
      <c r="H7064" s="16">
        <f t="shared" ca="1" si="118"/>
        <v>4.3513795934753352E-2</v>
      </c>
    </row>
    <row r="7065" spans="7:8" x14ac:dyDescent="0.35">
      <c r="G7065" s="215">
        <v>7058</v>
      </c>
      <c r="H7065" s="16">
        <f t="shared" ca="1" si="118"/>
        <v>3.230045055048586E-2</v>
      </c>
    </row>
    <row r="7066" spans="7:8" x14ac:dyDescent="0.35">
      <c r="G7066" s="215">
        <v>7059</v>
      </c>
      <c r="H7066" s="16">
        <f t="shared" ca="1" si="118"/>
        <v>5.8610659881364449E-2</v>
      </c>
    </row>
    <row r="7067" spans="7:8" x14ac:dyDescent="0.35">
      <c r="G7067" s="215">
        <v>7060</v>
      </c>
      <c r="H7067" s="16">
        <f t="shared" ca="1" si="118"/>
        <v>6.3369174071111797E-2</v>
      </c>
    </row>
    <row r="7068" spans="7:8" x14ac:dyDescent="0.35">
      <c r="G7068" s="215">
        <v>7061</v>
      </c>
      <c r="H7068" s="16">
        <f t="shared" ca="1" si="118"/>
        <v>2.4836953073372598E-2</v>
      </c>
    </row>
    <row r="7069" spans="7:8" x14ac:dyDescent="0.35">
      <c r="G7069" s="215">
        <v>7062</v>
      </c>
      <c r="H7069" s="16">
        <f t="shared" ca="1" si="118"/>
        <v>-9.3399720904248043E-2</v>
      </c>
    </row>
    <row r="7070" spans="7:8" x14ac:dyDescent="0.35">
      <c r="G7070" s="215">
        <v>7063</v>
      </c>
      <c r="H7070" s="16">
        <f t="shared" ca="1" si="118"/>
        <v>-0.13011514576983138</v>
      </c>
    </row>
    <row r="7071" spans="7:8" x14ac:dyDescent="0.35">
      <c r="G7071" s="215">
        <v>7064</v>
      </c>
      <c r="H7071" s="16">
        <f t="shared" ca="1" si="118"/>
        <v>8.8271581915511127E-2</v>
      </c>
    </row>
    <row r="7072" spans="7:8" x14ac:dyDescent="0.35">
      <c r="G7072" s="215">
        <v>7065</v>
      </c>
      <c r="H7072" s="16">
        <f t="shared" ca="1" si="118"/>
        <v>2.6543473216846115E-2</v>
      </c>
    </row>
    <row r="7073" spans="7:8" x14ac:dyDescent="0.35">
      <c r="G7073" s="215">
        <v>7066</v>
      </c>
      <c r="H7073" s="16">
        <f t="shared" ca="1" si="118"/>
        <v>0.10374303126971739</v>
      </c>
    </row>
    <row r="7074" spans="7:8" x14ac:dyDescent="0.35">
      <c r="G7074" s="215">
        <v>7067</v>
      </c>
      <c r="H7074" s="16">
        <f t="shared" ca="1" si="118"/>
        <v>4.9843732204445684E-2</v>
      </c>
    </row>
    <row r="7075" spans="7:8" x14ac:dyDescent="0.35">
      <c r="G7075" s="215">
        <v>7068</v>
      </c>
      <c r="H7075" s="16">
        <f t="shared" ca="1" si="118"/>
        <v>4.7814317293659328E-2</v>
      </c>
    </row>
    <row r="7076" spans="7:8" x14ac:dyDescent="0.35">
      <c r="G7076" s="215">
        <v>7069</v>
      </c>
      <c r="H7076" s="16">
        <f t="shared" ca="1" si="118"/>
        <v>9.3489834961633808E-2</v>
      </c>
    </row>
    <row r="7077" spans="7:8" x14ac:dyDescent="0.35">
      <c r="G7077" s="215">
        <v>7070</v>
      </c>
      <c r="H7077" s="16">
        <f t="shared" ca="1" si="118"/>
        <v>-4.0539055901470111E-2</v>
      </c>
    </row>
    <row r="7078" spans="7:8" x14ac:dyDescent="0.35">
      <c r="G7078" s="215">
        <v>7071</v>
      </c>
      <c r="H7078" s="16">
        <f t="shared" ca="1" si="118"/>
        <v>2.0841627800670379E-2</v>
      </c>
    </row>
    <row r="7079" spans="7:8" x14ac:dyDescent="0.35">
      <c r="G7079" s="215">
        <v>7072</v>
      </c>
      <c r="H7079" s="16">
        <f t="shared" ca="1" si="118"/>
        <v>5.8211955634175552E-3</v>
      </c>
    </row>
    <row r="7080" spans="7:8" x14ac:dyDescent="0.35">
      <c r="G7080" s="215">
        <v>7073</v>
      </c>
      <c r="H7080" s="16">
        <f t="shared" ca="1" si="118"/>
        <v>-0.10590417351936163</v>
      </c>
    </row>
    <row r="7081" spans="7:8" x14ac:dyDescent="0.35">
      <c r="G7081" s="215">
        <v>7074</v>
      </c>
      <c r="H7081" s="16">
        <f t="shared" ca="1" si="118"/>
        <v>3.1274115982158096E-2</v>
      </c>
    </row>
    <row r="7082" spans="7:8" x14ac:dyDescent="0.35">
      <c r="G7082" s="215">
        <v>7075</v>
      </c>
      <c r="H7082" s="16">
        <f t="shared" ca="1" si="118"/>
        <v>7.0116091461891475E-2</v>
      </c>
    </row>
    <row r="7083" spans="7:8" x14ac:dyDescent="0.35">
      <c r="G7083" s="215">
        <v>7076</v>
      </c>
      <c r="H7083" s="16">
        <f t="shared" ca="1" si="118"/>
        <v>0.20242408764050912</v>
      </c>
    </row>
    <row r="7084" spans="7:8" x14ac:dyDescent="0.35">
      <c r="G7084" s="215">
        <v>7077</v>
      </c>
      <c r="H7084" s="16">
        <f t="shared" ca="1" si="118"/>
        <v>-0.13922426153711828</v>
      </c>
    </row>
    <row r="7085" spans="7:8" x14ac:dyDescent="0.35">
      <c r="G7085" s="215">
        <v>7078</v>
      </c>
      <c r="H7085" s="16">
        <f t="shared" ca="1" si="118"/>
        <v>-3.6164235914194987E-2</v>
      </c>
    </row>
    <row r="7086" spans="7:8" x14ac:dyDescent="0.35">
      <c r="G7086" s="215">
        <v>7079</v>
      </c>
      <c r="H7086" s="16">
        <f t="shared" ca="1" si="118"/>
        <v>2.7747480180810344E-2</v>
      </c>
    </row>
    <row r="7087" spans="7:8" x14ac:dyDescent="0.35">
      <c r="G7087" s="215">
        <v>7080</v>
      </c>
      <c r="H7087" s="16">
        <f t="shared" ca="1" si="118"/>
        <v>-1.5589212220675591E-2</v>
      </c>
    </row>
    <row r="7088" spans="7:8" x14ac:dyDescent="0.35">
      <c r="G7088" s="215">
        <v>7081</v>
      </c>
      <c r="H7088" s="16">
        <f t="shared" ca="1" si="118"/>
        <v>3.6963590130741734E-3</v>
      </c>
    </row>
    <row r="7089" spans="7:8" x14ac:dyDescent="0.35">
      <c r="G7089" s="215">
        <v>7082</v>
      </c>
      <c r="H7089" s="16">
        <f t="shared" ca="1" si="118"/>
        <v>-5.3817740531978936E-2</v>
      </c>
    </row>
    <row r="7090" spans="7:8" x14ac:dyDescent="0.35">
      <c r="G7090" s="215">
        <v>7083</v>
      </c>
      <c r="H7090" s="16">
        <f t="shared" ca="1" si="118"/>
        <v>5.917115067645877E-2</v>
      </c>
    </row>
    <row r="7091" spans="7:8" x14ac:dyDescent="0.35">
      <c r="G7091" s="215">
        <v>7084</v>
      </c>
      <c r="H7091" s="16">
        <f t="shared" ca="1" si="118"/>
        <v>1.1638812239189071E-2</v>
      </c>
    </row>
    <row r="7092" spans="7:8" x14ac:dyDescent="0.35">
      <c r="G7092" s="215">
        <v>7085</v>
      </c>
      <c r="H7092" s="16">
        <f t="shared" ca="1" si="118"/>
        <v>6.0162832192109036E-2</v>
      </c>
    </row>
    <row r="7093" spans="7:8" x14ac:dyDescent="0.35">
      <c r="G7093" s="215">
        <v>7086</v>
      </c>
      <c r="H7093" s="16">
        <f t="shared" ca="1" si="118"/>
        <v>5.8071201130974678E-3</v>
      </c>
    </row>
    <row r="7094" spans="7:8" x14ac:dyDescent="0.35">
      <c r="G7094" s="215">
        <v>7087</v>
      </c>
      <c r="H7094" s="16">
        <f t="shared" ca="1" si="118"/>
        <v>9.7211599939105858E-2</v>
      </c>
    </row>
    <row r="7095" spans="7:8" x14ac:dyDescent="0.35">
      <c r="G7095" s="215">
        <v>7088</v>
      </c>
      <c r="H7095" s="16">
        <f t="shared" ca="1" si="118"/>
        <v>-0.1079892847402632</v>
      </c>
    </row>
    <row r="7096" spans="7:8" x14ac:dyDescent="0.35">
      <c r="G7096" s="215">
        <v>7089</v>
      </c>
      <c r="H7096" s="16">
        <f t="shared" ca="1" si="118"/>
        <v>-0.12731086740210074</v>
      </c>
    </row>
    <row r="7097" spans="7:8" x14ac:dyDescent="0.35">
      <c r="G7097" s="215">
        <v>7090</v>
      </c>
      <c r="H7097" s="16">
        <f t="shared" ca="1" si="118"/>
        <v>-6.140781285958391E-2</v>
      </c>
    </row>
    <row r="7098" spans="7:8" x14ac:dyDescent="0.35">
      <c r="G7098" s="215">
        <v>7091</v>
      </c>
      <c r="H7098" s="16">
        <f t="shared" ca="1" si="118"/>
        <v>6.9891142680294591E-3</v>
      </c>
    </row>
    <row r="7099" spans="7:8" x14ac:dyDescent="0.35">
      <c r="G7099" s="215">
        <v>7092</v>
      </c>
      <c r="H7099" s="16">
        <f t="shared" ca="1" si="118"/>
        <v>7.0864427342501399E-3</v>
      </c>
    </row>
    <row r="7100" spans="7:8" x14ac:dyDescent="0.35">
      <c r="G7100" s="215">
        <v>7093</v>
      </c>
      <c r="H7100" s="16">
        <f t="shared" ca="1" si="118"/>
        <v>0.13172769366254466</v>
      </c>
    </row>
    <row r="7101" spans="7:8" x14ac:dyDescent="0.35">
      <c r="G7101" s="215">
        <v>7094</v>
      </c>
      <c r="H7101" s="16">
        <f t="shared" ca="1" si="118"/>
        <v>3.0971352264867906E-2</v>
      </c>
    </row>
    <row r="7102" spans="7:8" x14ac:dyDescent="0.35">
      <c r="G7102" s="215">
        <v>7095</v>
      </c>
      <c r="H7102" s="16">
        <f t="shared" ca="1" si="118"/>
        <v>-1.072450761400499E-2</v>
      </c>
    </row>
    <row r="7103" spans="7:8" x14ac:dyDescent="0.35">
      <c r="G7103" s="215">
        <v>7096</v>
      </c>
      <c r="H7103" s="16">
        <f t="shared" ca="1" si="118"/>
        <v>-3.8153877101190781E-2</v>
      </c>
    </row>
    <row r="7104" spans="7:8" x14ac:dyDescent="0.35">
      <c r="G7104" s="215">
        <v>7097</v>
      </c>
      <c r="H7104" s="16">
        <f t="shared" ca="1" si="118"/>
        <v>3.3613885947337871E-2</v>
      </c>
    </row>
    <row r="7105" spans="7:8" x14ac:dyDescent="0.35">
      <c r="G7105" s="215">
        <v>7098</v>
      </c>
      <c r="H7105" s="16">
        <f t="shared" ca="1" si="118"/>
        <v>0.12498552301210603</v>
      </c>
    </row>
    <row r="7106" spans="7:8" x14ac:dyDescent="0.35">
      <c r="G7106" s="215">
        <v>7099</v>
      </c>
      <c r="H7106" s="16">
        <f t="shared" ca="1" si="118"/>
        <v>0.12413207079251046</v>
      </c>
    </row>
    <row r="7107" spans="7:8" x14ac:dyDescent="0.35">
      <c r="G7107" s="215">
        <v>7100</v>
      </c>
      <c r="H7107" s="16">
        <f t="shared" ca="1" si="118"/>
        <v>-3.2386383462477825E-3</v>
      </c>
    </row>
    <row r="7108" spans="7:8" x14ac:dyDescent="0.35">
      <c r="G7108" s="215">
        <v>7101</v>
      </c>
      <c r="H7108" s="16">
        <f t="shared" ca="1" si="118"/>
        <v>1.8545412928281619E-2</v>
      </c>
    </row>
    <row r="7109" spans="7:8" x14ac:dyDescent="0.35">
      <c r="G7109" s="215">
        <v>7102</v>
      </c>
      <c r="H7109" s="16">
        <f t="shared" ca="1" si="118"/>
        <v>5.7743979221348421E-3</v>
      </c>
    </row>
    <row r="7110" spans="7:8" x14ac:dyDescent="0.35">
      <c r="G7110" s="215">
        <v>7103</v>
      </c>
      <c r="H7110" s="16">
        <f t="shared" ca="1" si="118"/>
        <v>-0.1104443338828168</v>
      </c>
    </row>
    <row r="7111" spans="7:8" x14ac:dyDescent="0.35">
      <c r="G7111" s="215">
        <v>7104</v>
      </c>
      <c r="H7111" s="16">
        <f t="shared" ca="1" si="118"/>
        <v>-4.2468668067310103E-3</v>
      </c>
    </row>
    <row r="7112" spans="7:8" x14ac:dyDescent="0.35">
      <c r="G7112" s="215">
        <v>7105</v>
      </c>
      <c r="H7112" s="16">
        <f t="shared" ref="H7112:H7175" ca="1" si="119">_xlfn.NORM.INV(RAND(),M$10,M$11)</f>
        <v>-6.8246868284378606E-2</v>
      </c>
    </row>
    <row r="7113" spans="7:8" x14ac:dyDescent="0.35">
      <c r="G7113" s="215">
        <v>7106</v>
      </c>
      <c r="H7113" s="16">
        <f t="shared" ca="1" si="119"/>
        <v>-9.8081903886414572E-3</v>
      </c>
    </row>
    <row r="7114" spans="7:8" x14ac:dyDescent="0.35">
      <c r="G7114" s="215">
        <v>7107</v>
      </c>
      <c r="H7114" s="16">
        <f t="shared" ca="1" si="119"/>
        <v>-8.0601961806973765E-2</v>
      </c>
    </row>
    <row r="7115" spans="7:8" x14ac:dyDescent="0.35">
      <c r="G7115" s="215">
        <v>7108</v>
      </c>
      <c r="H7115" s="16">
        <f t="shared" ca="1" si="119"/>
        <v>-3.1443913412030657E-3</v>
      </c>
    </row>
    <row r="7116" spans="7:8" x14ac:dyDescent="0.35">
      <c r="G7116" s="215">
        <v>7109</v>
      </c>
      <c r="H7116" s="16">
        <f t="shared" ca="1" si="119"/>
        <v>0.12017659374857763</v>
      </c>
    </row>
    <row r="7117" spans="7:8" x14ac:dyDescent="0.35">
      <c r="G7117" s="215">
        <v>7110</v>
      </c>
      <c r="H7117" s="16">
        <f t="shared" ca="1" si="119"/>
        <v>2.4822702158772521E-2</v>
      </c>
    </row>
    <row r="7118" spans="7:8" x14ac:dyDescent="0.35">
      <c r="G7118" s="215">
        <v>7111</v>
      </c>
      <c r="H7118" s="16">
        <f t="shared" ca="1" si="119"/>
        <v>7.0755035984457482E-2</v>
      </c>
    </row>
    <row r="7119" spans="7:8" x14ac:dyDescent="0.35">
      <c r="G7119" s="215">
        <v>7112</v>
      </c>
      <c r="H7119" s="16">
        <f t="shared" ca="1" si="119"/>
        <v>-0.10716160940619052</v>
      </c>
    </row>
    <row r="7120" spans="7:8" x14ac:dyDescent="0.35">
      <c r="G7120" s="215">
        <v>7113</v>
      </c>
      <c r="H7120" s="16">
        <f t="shared" ca="1" si="119"/>
        <v>1.1563640224389254E-2</v>
      </c>
    </row>
    <row r="7121" spans="7:8" x14ac:dyDescent="0.35">
      <c r="G7121" s="215">
        <v>7114</v>
      </c>
      <c r="H7121" s="16">
        <f t="shared" ca="1" si="119"/>
        <v>-8.8719715607466741E-3</v>
      </c>
    </row>
    <row r="7122" spans="7:8" x14ac:dyDescent="0.35">
      <c r="G7122" s="215">
        <v>7115</v>
      </c>
      <c r="H7122" s="16">
        <f t="shared" ca="1" si="119"/>
        <v>-6.5078167586234262E-2</v>
      </c>
    </row>
    <row r="7123" spans="7:8" x14ac:dyDescent="0.35">
      <c r="G7123" s="215">
        <v>7116</v>
      </c>
      <c r="H7123" s="16">
        <f t="shared" ca="1" si="119"/>
        <v>-9.0346093691963267E-2</v>
      </c>
    </row>
    <row r="7124" spans="7:8" x14ac:dyDescent="0.35">
      <c r="G7124" s="215">
        <v>7117</v>
      </c>
      <c r="H7124" s="16">
        <f t="shared" ca="1" si="119"/>
        <v>2.7220893934801885E-2</v>
      </c>
    </row>
    <row r="7125" spans="7:8" x14ac:dyDescent="0.35">
      <c r="G7125" s="215">
        <v>7118</v>
      </c>
      <c r="H7125" s="16">
        <f t="shared" ca="1" si="119"/>
        <v>7.7891470795725948E-2</v>
      </c>
    </row>
    <row r="7126" spans="7:8" x14ac:dyDescent="0.35">
      <c r="G7126" s="215">
        <v>7119</v>
      </c>
      <c r="H7126" s="16">
        <f t="shared" ca="1" si="119"/>
        <v>-7.0206886264969959E-2</v>
      </c>
    </row>
    <row r="7127" spans="7:8" x14ac:dyDescent="0.35">
      <c r="G7127" s="215">
        <v>7120</v>
      </c>
      <c r="H7127" s="16">
        <f t="shared" ca="1" si="119"/>
        <v>9.7784182590189603E-2</v>
      </c>
    </row>
    <row r="7128" spans="7:8" x14ac:dyDescent="0.35">
      <c r="G7128" s="215">
        <v>7121</v>
      </c>
      <c r="H7128" s="16">
        <f t="shared" ca="1" si="119"/>
        <v>-1.3742356078209707E-2</v>
      </c>
    </row>
    <row r="7129" spans="7:8" x14ac:dyDescent="0.35">
      <c r="G7129" s="215">
        <v>7122</v>
      </c>
      <c r="H7129" s="16">
        <f t="shared" ca="1" si="119"/>
        <v>-2.4542062592942369E-2</v>
      </c>
    </row>
    <row r="7130" spans="7:8" x14ac:dyDescent="0.35">
      <c r="G7130" s="215">
        <v>7123</v>
      </c>
      <c r="H7130" s="16">
        <f t="shared" ca="1" si="119"/>
        <v>5.3292470339813186E-2</v>
      </c>
    </row>
    <row r="7131" spans="7:8" x14ac:dyDescent="0.35">
      <c r="G7131" s="215">
        <v>7124</v>
      </c>
      <c r="H7131" s="16">
        <f t="shared" ca="1" si="119"/>
        <v>7.9323653125007818E-2</v>
      </c>
    </row>
    <row r="7132" spans="7:8" x14ac:dyDescent="0.35">
      <c r="G7132" s="215">
        <v>7125</v>
      </c>
      <c r="H7132" s="16">
        <f t="shared" ca="1" si="119"/>
        <v>9.9821345704650302E-2</v>
      </c>
    </row>
    <row r="7133" spans="7:8" x14ac:dyDescent="0.35">
      <c r="G7133" s="215">
        <v>7126</v>
      </c>
      <c r="H7133" s="16">
        <f t="shared" ca="1" si="119"/>
        <v>2.8001885450882804E-2</v>
      </c>
    </row>
    <row r="7134" spans="7:8" x14ac:dyDescent="0.35">
      <c r="G7134" s="215">
        <v>7127</v>
      </c>
      <c r="H7134" s="16">
        <f t="shared" ca="1" si="119"/>
        <v>7.2337095390114931E-2</v>
      </c>
    </row>
    <row r="7135" spans="7:8" x14ac:dyDescent="0.35">
      <c r="G7135" s="215">
        <v>7128</v>
      </c>
      <c r="H7135" s="16">
        <f t="shared" ca="1" si="119"/>
        <v>0.15508139663378079</v>
      </c>
    </row>
    <row r="7136" spans="7:8" x14ac:dyDescent="0.35">
      <c r="G7136" s="215">
        <v>7129</v>
      </c>
      <c r="H7136" s="16">
        <f t="shared" ca="1" si="119"/>
        <v>-5.2956800095017201E-2</v>
      </c>
    </row>
    <row r="7137" spans="7:8" x14ac:dyDescent="0.35">
      <c r="G7137" s="215">
        <v>7130</v>
      </c>
      <c r="H7137" s="16">
        <f t="shared" ca="1" si="119"/>
        <v>0.12307352938019432</v>
      </c>
    </row>
    <row r="7138" spans="7:8" x14ac:dyDescent="0.35">
      <c r="G7138" s="215">
        <v>7131</v>
      </c>
      <c r="H7138" s="16">
        <f t="shared" ca="1" si="119"/>
        <v>1.2919173334326753E-2</v>
      </c>
    </row>
    <row r="7139" spans="7:8" x14ac:dyDescent="0.35">
      <c r="G7139" s="215">
        <v>7132</v>
      </c>
      <c r="H7139" s="16">
        <f t="shared" ca="1" si="119"/>
        <v>3.2547788028054171E-2</v>
      </c>
    </row>
    <row r="7140" spans="7:8" x14ac:dyDescent="0.35">
      <c r="G7140" s="215">
        <v>7133</v>
      </c>
      <c r="H7140" s="16">
        <f t="shared" ca="1" si="119"/>
        <v>7.011366965612012E-2</v>
      </c>
    </row>
    <row r="7141" spans="7:8" x14ac:dyDescent="0.35">
      <c r="G7141" s="215">
        <v>7134</v>
      </c>
      <c r="H7141" s="16">
        <f t="shared" ca="1" si="119"/>
        <v>1.6729093443802336E-2</v>
      </c>
    </row>
    <row r="7142" spans="7:8" x14ac:dyDescent="0.35">
      <c r="G7142" s="215">
        <v>7135</v>
      </c>
      <c r="H7142" s="16">
        <f t="shared" ca="1" si="119"/>
        <v>6.0825568947272909E-2</v>
      </c>
    </row>
    <row r="7143" spans="7:8" x14ac:dyDescent="0.35">
      <c r="G7143" s="215">
        <v>7136</v>
      </c>
      <c r="H7143" s="16">
        <f t="shared" ca="1" si="119"/>
        <v>4.6156185797791308E-2</v>
      </c>
    </row>
    <row r="7144" spans="7:8" x14ac:dyDescent="0.35">
      <c r="G7144" s="215">
        <v>7137</v>
      </c>
      <c r="H7144" s="16">
        <f t="shared" ca="1" si="119"/>
        <v>-1.7583936331168795E-2</v>
      </c>
    </row>
    <row r="7145" spans="7:8" x14ac:dyDescent="0.35">
      <c r="G7145" s="215">
        <v>7138</v>
      </c>
      <c r="H7145" s="16">
        <f t="shared" ca="1" si="119"/>
        <v>7.6184683493209268E-2</v>
      </c>
    </row>
    <row r="7146" spans="7:8" x14ac:dyDescent="0.35">
      <c r="G7146" s="215">
        <v>7139</v>
      </c>
      <c r="H7146" s="16">
        <f t="shared" ca="1" si="119"/>
        <v>-4.0355133064062645E-2</v>
      </c>
    </row>
    <row r="7147" spans="7:8" x14ac:dyDescent="0.35">
      <c r="G7147" s="215">
        <v>7140</v>
      </c>
      <c r="H7147" s="16">
        <f t="shared" ca="1" si="119"/>
        <v>-6.2885892275147487E-2</v>
      </c>
    </row>
    <row r="7148" spans="7:8" x14ac:dyDescent="0.35">
      <c r="G7148" s="215">
        <v>7141</v>
      </c>
      <c r="H7148" s="16">
        <f t="shared" ca="1" si="119"/>
        <v>1.552378062497492E-2</v>
      </c>
    </row>
    <row r="7149" spans="7:8" x14ac:dyDescent="0.35">
      <c r="G7149" s="215">
        <v>7142</v>
      </c>
      <c r="H7149" s="16">
        <f t="shared" ca="1" si="119"/>
        <v>7.5347338821272355E-2</v>
      </c>
    </row>
    <row r="7150" spans="7:8" x14ac:dyDescent="0.35">
      <c r="G7150" s="215">
        <v>7143</v>
      </c>
      <c r="H7150" s="16">
        <f t="shared" ca="1" si="119"/>
        <v>6.858448207307645E-2</v>
      </c>
    </row>
    <row r="7151" spans="7:8" x14ac:dyDescent="0.35">
      <c r="G7151" s="215">
        <v>7144</v>
      </c>
      <c r="H7151" s="16">
        <f t="shared" ca="1" si="119"/>
        <v>8.8307416550554074E-2</v>
      </c>
    </row>
    <row r="7152" spans="7:8" x14ac:dyDescent="0.35">
      <c r="G7152" s="215">
        <v>7145</v>
      </c>
      <c r="H7152" s="16">
        <f t="shared" ca="1" si="119"/>
        <v>3.2968602421505441E-2</v>
      </c>
    </row>
    <row r="7153" spans="7:8" x14ac:dyDescent="0.35">
      <c r="G7153" s="215">
        <v>7146</v>
      </c>
      <c r="H7153" s="16">
        <f t="shared" ca="1" si="119"/>
        <v>-6.977356518998043E-2</v>
      </c>
    </row>
    <row r="7154" spans="7:8" x14ac:dyDescent="0.35">
      <c r="G7154" s="215">
        <v>7147</v>
      </c>
      <c r="H7154" s="16">
        <f t="shared" ca="1" si="119"/>
        <v>7.3543272248766502E-3</v>
      </c>
    </row>
    <row r="7155" spans="7:8" x14ac:dyDescent="0.35">
      <c r="G7155" s="215">
        <v>7148</v>
      </c>
      <c r="H7155" s="16">
        <f t="shared" ca="1" si="119"/>
        <v>0.17084569608159555</v>
      </c>
    </row>
    <row r="7156" spans="7:8" x14ac:dyDescent="0.35">
      <c r="G7156" s="215">
        <v>7149</v>
      </c>
      <c r="H7156" s="16">
        <f t="shared" ca="1" si="119"/>
        <v>-1.4802883860860292E-2</v>
      </c>
    </row>
    <row r="7157" spans="7:8" x14ac:dyDescent="0.35">
      <c r="G7157" s="215">
        <v>7150</v>
      </c>
      <c r="H7157" s="16">
        <f t="shared" ca="1" si="119"/>
        <v>-2.1441175139339016E-2</v>
      </c>
    </row>
    <row r="7158" spans="7:8" x14ac:dyDescent="0.35">
      <c r="G7158" s="215">
        <v>7151</v>
      </c>
      <c r="H7158" s="16">
        <f t="shared" ca="1" si="119"/>
        <v>-4.19133241805799E-2</v>
      </c>
    </row>
    <row r="7159" spans="7:8" x14ac:dyDescent="0.35">
      <c r="G7159" s="215">
        <v>7152</v>
      </c>
      <c r="H7159" s="16">
        <f t="shared" ca="1" si="119"/>
        <v>8.8121898811253555E-2</v>
      </c>
    </row>
    <row r="7160" spans="7:8" x14ac:dyDescent="0.35">
      <c r="G7160" s="215">
        <v>7153</v>
      </c>
      <c r="H7160" s="16">
        <f t="shared" ca="1" si="119"/>
        <v>2.8950395287124332E-2</v>
      </c>
    </row>
    <row r="7161" spans="7:8" x14ac:dyDescent="0.35">
      <c r="G7161" s="215">
        <v>7154</v>
      </c>
      <c r="H7161" s="16">
        <f t="shared" ca="1" si="119"/>
        <v>-3.4034071872027422E-2</v>
      </c>
    </row>
    <row r="7162" spans="7:8" x14ac:dyDescent="0.35">
      <c r="G7162" s="215">
        <v>7155</v>
      </c>
      <c r="H7162" s="16">
        <f t="shared" ca="1" si="119"/>
        <v>-1.4402269644056647E-2</v>
      </c>
    </row>
    <row r="7163" spans="7:8" x14ac:dyDescent="0.35">
      <c r="G7163" s="215">
        <v>7156</v>
      </c>
      <c r="H7163" s="16">
        <f t="shared" ca="1" si="119"/>
        <v>-0.20324516821094096</v>
      </c>
    </row>
    <row r="7164" spans="7:8" x14ac:dyDescent="0.35">
      <c r="G7164" s="215">
        <v>7157</v>
      </c>
      <c r="H7164" s="16">
        <f t="shared" ca="1" si="119"/>
        <v>5.4919536497212013E-2</v>
      </c>
    </row>
    <row r="7165" spans="7:8" x14ac:dyDescent="0.35">
      <c r="G7165" s="215">
        <v>7158</v>
      </c>
      <c r="H7165" s="16">
        <f t="shared" ca="1" si="119"/>
        <v>-2.9845544828027901E-2</v>
      </c>
    </row>
    <row r="7166" spans="7:8" x14ac:dyDescent="0.35">
      <c r="G7166" s="215">
        <v>7159</v>
      </c>
      <c r="H7166" s="16">
        <f t="shared" ca="1" si="119"/>
        <v>4.5134092098355089E-2</v>
      </c>
    </row>
    <row r="7167" spans="7:8" x14ac:dyDescent="0.35">
      <c r="G7167" s="215">
        <v>7160</v>
      </c>
      <c r="H7167" s="16">
        <f t="shared" ca="1" si="119"/>
        <v>-3.882999637587041E-2</v>
      </c>
    </row>
    <row r="7168" spans="7:8" x14ac:dyDescent="0.35">
      <c r="G7168" s="215">
        <v>7161</v>
      </c>
      <c r="H7168" s="16">
        <f t="shared" ca="1" si="119"/>
        <v>-4.964864852639353E-2</v>
      </c>
    </row>
    <row r="7169" spans="7:8" x14ac:dyDescent="0.35">
      <c r="G7169" s="215">
        <v>7162</v>
      </c>
      <c r="H7169" s="16">
        <f t="shared" ca="1" si="119"/>
        <v>4.6071547006139954E-2</v>
      </c>
    </row>
    <row r="7170" spans="7:8" x14ac:dyDescent="0.35">
      <c r="G7170" s="215">
        <v>7163</v>
      </c>
      <c r="H7170" s="16">
        <f t="shared" ca="1" si="119"/>
        <v>-1.0396124440677872E-2</v>
      </c>
    </row>
    <row r="7171" spans="7:8" x14ac:dyDescent="0.35">
      <c r="G7171" s="215">
        <v>7164</v>
      </c>
      <c r="H7171" s="16">
        <f t="shared" ca="1" si="119"/>
        <v>-0.12474190970983029</v>
      </c>
    </row>
    <row r="7172" spans="7:8" x14ac:dyDescent="0.35">
      <c r="G7172" s="215">
        <v>7165</v>
      </c>
      <c r="H7172" s="16">
        <f t="shared" ca="1" si="119"/>
        <v>-5.3602284702729583E-2</v>
      </c>
    </row>
    <row r="7173" spans="7:8" x14ac:dyDescent="0.35">
      <c r="G7173" s="215">
        <v>7166</v>
      </c>
      <c r="H7173" s="16">
        <f t="shared" ca="1" si="119"/>
        <v>0.10880366037805615</v>
      </c>
    </row>
    <row r="7174" spans="7:8" x14ac:dyDescent="0.35">
      <c r="G7174" s="215">
        <v>7167</v>
      </c>
      <c r="H7174" s="16">
        <f t="shared" ca="1" si="119"/>
        <v>-3.0686989975814944E-2</v>
      </c>
    </row>
    <row r="7175" spans="7:8" x14ac:dyDescent="0.35">
      <c r="G7175" s="215">
        <v>7168</v>
      </c>
      <c r="H7175" s="16">
        <f t="shared" ca="1" si="119"/>
        <v>-0.189959544069598</v>
      </c>
    </row>
    <row r="7176" spans="7:8" x14ac:dyDescent="0.35">
      <c r="G7176" s="215">
        <v>7169</v>
      </c>
      <c r="H7176" s="16">
        <f t="shared" ref="H7176:H7239" ca="1" si="120">_xlfn.NORM.INV(RAND(),M$10,M$11)</f>
        <v>1.4071728332885376E-2</v>
      </c>
    </row>
    <row r="7177" spans="7:8" x14ac:dyDescent="0.35">
      <c r="G7177" s="215">
        <v>7170</v>
      </c>
      <c r="H7177" s="16">
        <f t="shared" ca="1" si="120"/>
        <v>-4.4149068285585777E-2</v>
      </c>
    </row>
    <row r="7178" spans="7:8" x14ac:dyDescent="0.35">
      <c r="G7178" s="215">
        <v>7171</v>
      </c>
      <c r="H7178" s="16">
        <f t="shared" ca="1" si="120"/>
        <v>3.5813518337523519E-2</v>
      </c>
    </row>
    <row r="7179" spans="7:8" x14ac:dyDescent="0.35">
      <c r="G7179" s="215">
        <v>7172</v>
      </c>
      <c r="H7179" s="16">
        <f t="shared" ca="1" si="120"/>
        <v>-5.9975153968208378E-2</v>
      </c>
    </row>
    <row r="7180" spans="7:8" x14ac:dyDescent="0.35">
      <c r="G7180" s="215">
        <v>7173</v>
      </c>
      <c r="H7180" s="16">
        <f t="shared" ca="1" si="120"/>
        <v>-6.2598745575125042E-2</v>
      </c>
    </row>
    <row r="7181" spans="7:8" x14ac:dyDescent="0.35">
      <c r="G7181" s="215">
        <v>7174</v>
      </c>
      <c r="H7181" s="16">
        <f t="shared" ca="1" si="120"/>
        <v>8.581608021937942E-4</v>
      </c>
    </row>
    <row r="7182" spans="7:8" x14ac:dyDescent="0.35">
      <c r="G7182" s="215">
        <v>7175</v>
      </c>
      <c r="H7182" s="16">
        <f t="shared" ca="1" si="120"/>
        <v>-0.13155353791663579</v>
      </c>
    </row>
    <row r="7183" spans="7:8" x14ac:dyDescent="0.35">
      <c r="G7183" s="215">
        <v>7176</v>
      </c>
      <c r="H7183" s="16">
        <f t="shared" ca="1" si="120"/>
        <v>9.1477682546899211E-2</v>
      </c>
    </row>
    <row r="7184" spans="7:8" x14ac:dyDescent="0.35">
      <c r="G7184" s="215">
        <v>7177</v>
      </c>
      <c r="H7184" s="16">
        <f t="shared" ca="1" si="120"/>
        <v>-0.10656463736822183</v>
      </c>
    </row>
    <row r="7185" spans="7:8" x14ac:dyDescent="0.35">
      <c r="G7185" s="215">
        <v>7178</v>
      </c>
      <c r="H7185" s="16">
        <f t="shared" ca="1" si="120"/>
        <v>-2.5221239786541391E-2</v>
      </c>
    </row>
    <row r="7186" spans="7:8" x14ac:dyDescent="0.35">
      <c r="G7186" s="215">
        <v>7179</v>
      </c>
      <c r="H7186" s="16">
        <f t="shared" ca="1" si="120"/>
        <v>3.1972779059307219E-2</v>
      </c>
    </row>
    <row r="7187" spans="7:8" x14ac:dyDescent="0.35">
      <c r="G7187" s="215">
        <v>7180</v>
      </c>
      <c r="H7187" s="16">
        <f t="shared" ca="1" si="120"/>
        <v>0.12967610761485829</v>
      </c>
    </row>
    <row r="7188" spans="7:8" x14ac:dyDescent="0.35">
      <c r="G7188" s="215">
        <v>7181</v>
      </c>
      <c r="H7188" s="16">
        <f t="shared" ca="1" si="120"/>
        <v>0.10093609601498028</v>
      </c>
    </row>
    <row r="7189" spans="7:8" x14ac:dyDescent="0.35">
      <c r="G7189" s="215">
        <v>7182</v>
      </c>
      <c r="H7189" s="16">
        <f t="shared" ca="1" si="120"/>
        <v>-4.8677690568923668E-2</v>
      </c>
    </row>
    <row r="7190" spans="7:8" x14ac:dyDescent="0.35">
      <c r="G7190" s="215">
        <v>7183</v>
      </c>
      <c r="H7190" s="16">
        <f t="shared" ca="1" si="120"/>
        <v>-1.6590766615922042E-2</v>
      </c>
    </row>
    <row r="7191" spans="7:8" x14ac:dyDescent="0.35">
      <c r="G7191" s="215">
        <v>7184</v>
      </c>
      <c r="H7191" s="16">
        <f t="shared" ca="1" si="120"/>
        <v>-3.9205769708083801E-2</v>
      </c>
    </row>
    <row r="7192" spans="7:8" x14ac:dyDescent="0.35">
      <c r="G7192" s="215">
        <v>7185</v>
      </c>
      <c r="H7192" s="16">
        <f t="shared" ca="1" si="120"/>
        <v>8.2359860531467988E-2</v>
      </c>
    </row>
    <row r="7193" spans="7:8" x14ac:dyDescent="0.35">
      <c r="G7193" s="215">
        <v>7186</v>
      </c>
      <c r="H7193" s="16">
        <f t="shared" ca="1" si="120"/>
        <v>8.4878051038544067E-2</v>
      </c>
    </row>
    <row r="7194" spans="7:8" x14ac:dyDescent="0.35">
      <c r="G7194" s="215">
        <v>7187</v>
      </c>
      <c r="H7194" s="16">
        <f t="shared" ca="1" si="120"/>
        <v>-8.2850553732729572E-3</v>
      </c>
    </row>
    <row r="7195" spans="7:8" x14ac:dyDescent="0.35">
      <c r="G7195" s="215">
        <v>7188</v>
      </c>
      <c r="H7195" s="16">
        <f t="shared" ca="1" si="120"/>
        <v>8.3583727459107804E-2</v>
      </c>
    </row>
    <row r="7196" spans="7:8" x14ac:dyDescent="0.35">
      <c r="G7196" s="215">
        <v>7189</v>
      </c>
      <c r="H7196" s="16">
        <f t="shared" ca="1" si="120"/>
        <v>-4.819643052564411E-2</v>
      </c>
    </row>
    <row r="7197" spans="7:8" x14ac:dyDescent="0.35">
      <c r="G7197" s="215">
        <v>7190</v>
      </c>
      <c r="H7197" s="16">
        <f t="shared" ca="1" si="120"/>
        <v>-5.4460668222342828E-2</v>
      </c>
    </row>
    <row r="7198" spans="7:8" x14ac:dyDescent="0.35">
      <c r="G7198" s="215">
        <v>7191</v>
      </c>
      <c r="H7198" s="16">
        <f t="shared" ca="1" si="120"/>
        <v>3.9003934118168361E-3</v>
      </c>
    </row>
    <row r="7199" spans="7:8" x14ac:dyDescent="0.35">
      <c r="G7199" s="215">
        <v>7192</v>
      </c>
      <c r="H7199" s="16">
        <f t="shared" ca="1" si="120"/>
        <v>-0.15377003957561175</v>
      </c>
    </row>
    <row r="7200" spans="7:8" x14ac:dyDescent="0.35">
      <c r="G7200" s="215">
        <v>7193</v>
      </c>
      <c r="H7200" s="16">
        <f t="shared" ca="1" si="120"/>
        <v>5.6522153258371059E-3</v>
      </c>
    </row>
    <row r="7201" spans="7:8" x14ac:dyDescent="0.35">
      <c r="G7201" s="215">
        <v>7194</v>
      </c>
      <c r="H7201" s="16">
        <f t="shared" ca="1" si="120"/>
        <v>-4.2448275168465679E-2</v>
      </c>
    </row>
    <row r="7202" spans="7:8" x14ac:dyDescent="0.35">
      <c r="G7202" s="215">
        <v>7195</v>
      </c>
      <c r="H7202" s="16">
        <f t="shared" ca="1" si="120"/>
        <v>1.1337549863136717E-2</v>
      </c>
    </row>
    <row r="7203" spans="7:8" x14ac:dyDescent="0.35">
      <c r="G7203" s="215">
        <v>7196</v>
      </c>
      <c r="H7203" s="16">
        <f t="shared" ca="1" si="120"/>
        <v>3.4265327200947777E-2</v>
      </c>
    </row>
    <row r="7204" spans="7:8" x14ac:dyDescent="0.35">
      <c r="G7204" s="215">
        <v>7197</v>
      </c>
      <c r="H7204" s="16">
        <f t="shared" ca="1" si="120"/>
        <v>3.3572908121391257E-3</v>
      </c>
    </row>
    <row r="7205" spans="7:8" x14ac:dyDescent="0.35">
      <c r="G7205" s="215">
        <v>7198</v>
      </c>
      <c r="H7205" s="16">
        <f t="shared" ca="1" si="120"/>
        <v>-1.4935915653069967E-2</v>
      </c>
    </row>
    <row r="7206" spans="7:8" x14ac:dyDescent="0.35">
      <c r="G7206" s="215">
        <v>7199</v>
      </c>
      <c r="H7206" s="16">
        <f t="shared" ca="1" si="120"/>
        <v>1.0326990830598466E-2</v>
      </c>
    </row>
    <row r="7207" spans="7:8" x14ac:dyDescent="0.35">
      <c r="G7207" s="215">
        <v>7200</v>
      </c>
      <c r="H7207" s="16">
        <f t="shared" ca="1" si="120"/>
        <v>-4.7519885777267679E-2</v>
      </c>
    </row>
    <row r="7208" spans="7:8" x14ac:dyDescent="0.35">
      <c r="G7208" s="215">
        <v>7201</v>
      </c>
      <c r="H7208" s="16">
        <f t="shared" ca="1" si="120"/>
        <v>-5.7787401851374542E-2</v>
      </c>
    </row>
    <row r="7209" spans="7:8" x14ac:dyDescent="0.35">
      <c r="G7209" s="215">
        <v>7202</v>
      </c>
      <c r="H7209" s="16">
        <f t="shared" ca="1" si="120"/>
        <v>0.1273387655264446</v>
      </c>
    </row>
    <row r="7210" spans="7:8" x14ac:dyDescent="0.35">
      <c r="G7210" s="215">
        <v>7203</v>
      </c>
      <c r="H7210" s="16">
        <f t="shared" ca="1" si="120"/>
        <v>1.9178827520332384E-2</v>
      </c>
    </row>
    <row r="7211" spans="7:8" x14ac:dyDescent="0.35">
      <c r="G7211" s="215">
        <v>7204</v>
      </c>
      <c r="H7211" s="16">
        <f t="shared" ca="1" si="120"/>
        <v>2.9538818991032362E-2</v>
      </c>
    </row>
    <row r="7212" spans="7:8" x14ac:dyDescent="0.35">
      <c r="G7212" s="215">
        <v>7205</v>
      </c>
      <c r="H7212" s="16">
        <f t="shared" ca="1" si="120"/>
        <v>-3.4685478262291472E-2</v>
      </c>
    </row>
    <row r="7213" spans="7:8" x14ac:dyDescent="0.35">
      <c r="G7213" s="215">
        <v>7206</v>
      </c>
      <c r="H7213" s="16">
        <f t="shared" ca="1" si="120"/>
        <v>-0.13754732997943614</v>
      </c>
    </row>
    <row r="7214" spans="7:8" x14ac:dyDescent="0.35">
      <c r="G7214" s="215">
        <v>7207</v>
      </c>
      <c r="H7214" s="16">
        <f t="shared" ca="1" si="120"/>
        <v>-6.2048325889557193E-2</v>
      </c>
    </row>
    <row r="7215" spans="7:8" x14ac:dyDescent="0.35">
      <c r="G7215" s="215">
        <v>7208</v>
      </c>
      <c r="H7215" s="16">
        <f t="shared" ca="1" si="120"/>
        <v>-0.14242579662937366</v>
      </c>
    </row>
    <row r="7216" spans="7:8" x14ac:dyDescent="0.35">
      <c r="G7216" s="215">
        <v>7209</v>
      </c>
      <c r="H7216" s="16">
        <f t="shared" ca="1" si="120"/>
        <v>-3.4393482838177059E-2</v>
      </c>
    </row>
    <row r="7217" spans="7:8" x14ac:dyDescent="0.35">
      <c r="G7217" s="215">
        <v>7210</v>
      </c>
      <c r="H7217" s="16">
        <f t="shared" ca="1" si="120"/>
        <v>-2.8206546374786621E-2</v>
      </c>
    </row>
    <row r="7218" spans="7:8" x14ac:dyDescent="0.35">
      <c r="G7218" s="215">
        <v>7211</v>
      </c>
      <c r="H7218" s="16">
        <f t="shared" ca="1" si="120"/>
        <v>-3.5776140306696708E-2</v>
      </c>
    </row>
    <row r="7219" spans="7:8" x14ac:dyDescent="0.35">
      <c r="G7219" s="215">
        <v>7212</v>
      </c>
      <c r="H7219" s="16">
        <f t="shared" ca="1" si="120"/>
        <v>4.9798657877517499E-2</v>
      </c>
    </row>
    <row r="7220" spans="7:8" x14ac:dyDescent="0.35">
      <c r="G7220" s="215">
        <v>7213</v>
      </c>
      <c r="H7220" s="16">
        <f t="shared" ca="1" si="120"/>
        <v>-2.1773205365407423E-4</v>
      </c>
    </row>
    <row r="7221" spans="7:8" x14ac:dyDescent="0.35">
      <c r="G7221" s="215">
        <v>7214</v>
      </c>
      <c r="H7221" s="16">
        <f t="shared" ca="1" si="120"/>
        <v>6.5249579704760086E-2</v>
      </c>
    </row>
    <row r="7222" spans="7:8" x14ac:dyDescent="0.35">
      <c r="G7222" s="215">
        <v>7215</v>
      </c>
      <c r="H7222" s="16">
        <f t="shared" ca="1" si="120"/>
        <v>6.2693718781413291E-2</v>
      </c>
    </row>
    <row r="7223" spans="7:8" x14ac:dyDescent="0.35">
      <c r="G7223" s="215">
        <v>7216</v>
      </c>
      <c r="H7223" s="16">
        <f t="shared" ca="1" si="120"/>
        <v>0.11906405425180963</v>
      </c>
    </row>
    <row r="7224" spans="7:8" x14ac:dyDescent="0.35">
      <c r="G7224" s="215">
        <v>7217</v>
      </c>
      <c r="H7224" s="16">
        <f t="shared" ca="1" si="120"/>
        <v>-6.5232826182608478E-2</v>
      </c>
    </row>
    <row r="7225" spans="7:8" x14ac:dyDescent="0.35">
      <c r="G7225" s="215">
        <v>7218</v>
      </c>
      <c r="H7225" s="16">
        <f t="shared" ca="1" si="120"/>
        <v>9.2699327411964294E-2</v>
      </c>
    </row>
    <row r="7226" spans="7:8" x14ac:dyDescent="0.35">
      <c r="G7226" s="215">
        <v>7219</v>
      </c>
      <c r="H7226" s="16">
        <f t="shared" ca="1" si="120"/>
        <v>-0.1103883159112572</v>
      </c>
    </row>
    <row r="7227" spans="7:8" x14ac:dyDescent="0.35">
      <c r="G7227" s="215">
        <v>7220</v>
      </c>
      <c r="H7227" s="16">
        <f t="shared" ca="1" si="120"/>
        <v>-2.800435610256417E-2</v>
      </c>
    </row>
    <row r="7228" spans="7:8" x14ac:dyDescent="0.35">
      <c r="G7228" s="215">
        <v>7221</v>
      </c>
      <c r="H7228" s="16">
        <f t="shared" ca="1" si="120"/>
        <v>0.13147660268825859</v>
      </c>
    </row>
    <row r="7229" spans="7:8" x14ac:dyDescent="0.35">
      <c r="G7229" s="215">
        <v>7222</v>
      </c>
      <c r="H7229" s="16">
        <f t="shared" ca="1" si="120"/>
        <v>0.13852668114841549</v>
      </c>
    </row>
    <row r="7230" spans="7:8" x14ac:dyDescent="0.35">
      <c r="G7230" s="215">
        <v>7223</v>
      </c>
      <c r="H7230" s="16">
        <f t="shared" ca="1" si="120"/>
        <v>8.7615199577379371E-2</v>
      </c>
    </row>
    <row r="7231" spans="7:8" x14ac:dyDescent="0.35">
      <c r="G7231" s="215">
        <v>7224</v>
      </c>
      <c r="H7231" s="16">
        <f t="shared" ca="1" si="120"/>
        <v>7.8135203532405939E-2</v>
      </c>
    </row>
    <row r="7232" spans="7:8" x14ac:dyDescent="0.35">
      <c r="G7232" s="215">
        <v>7225</v>
      </c>
      <c r="H7232" s="16">
        <f t="shared" ca="1" si="120"/>
        <v>0.13523712096867022</v>
      </c>
    </row>
    <row r="7233" spans="7:8" x14ac:dyDescent="0.35">
      <c r="G7233" s="215">
        <v>7226</v>
      </c>
      <c r="H7233" s="16">
        <f t="shared" ca="1" si="120"/>
        <v>2.9942433410450837E-2</v>
      </c>
    </row>
    <row r="7234" spans="7:8" x14ac:dyDescent="0.35">
      <c r="G7234" s="215">
        <v>7227</v>
      </c>
      <c r="H7234" s="16">
        <f t="shared" ca="1" si="120"/>
        <v>-2.0729876828595971E-3</v>
      </c>
    </row>
    <row r="7235" spans="7:8" x14ac:dyDescent="0.35">
      <c r="G7235" s="215">
        <v>7228</v>
      </c>
      <c r="H7235" s="16">
        <f t="shared" ca="1" si="120"/>
        <v>4.2534689549052568E-2</v>
      </c>
    </row>
    <row r="7236" spans="7:8" x14ac:dyDescent="0.35">
      <c r="G7236" s="215">
        <v>7229</v>
      </c>
      <c r="H7236" s="16">
        <f t="shared" ca="1" si="120"/>
        <v>-7.0737479252314626E-4</v>
      </c>
    </row>
    <row r="7237" spans="7:8" x14ac:dyDescent="0.35">
      <c r="G7237" s="215">
        <v>7230</v>
      </c>
      <c r="H7237" s="16">
        <f t="shared" ca="1" si="120"/>
        <v>2.4366008251642438E-2</v>
      </c>
    </row>
    <row r="7238" spans="7:8" x14ac:dyDescent="0.35">
      <c r="G7238" s="215">
        <v>7231</v>
      </c>
      <c r="H7238" s="16">
        <f t="shared" ca="1" si="120"/>
        <v>-0.1182446100599043</v>
      </c>
    </row>
    <row r="7239" spans="7:8" x14ac:dyDescent="0.35">
      <c r="G7239" s="215">
        <v>7232</v>
      </c>
      <c r="H7239" s="16">
        <f t="shared" ca="1" si="120"/>
        <v>1.6399424710604522E-2</v>
      </c>
    </row>
    <row r="7240" spans="7:8" x14ac:dyDescent="0.35">
      <c r="G7240" s="215">
        <v>7233</v>
      </c>
      <c r="H7240" s="16">
        <f t="shared" ref="H7240:H7303" ca="1" si="121">_xlfn.NORM.INV(RAND(),M$10,M$11)</f>
        <v>-2.0860053266200457E-2</v>
      </c>
    </row>
    <row r="7241" spans="7:8" x14ac:dyDescent="0.35">
      <c r="G7241" s="215">
        <v>7234</v>
      </c>
      <c r="H7241" s="16">
        <f t="shared" ca="1" si="121"/>
        <v>2.844958144488046E-2</v>
      </c>
    </row>
    <row r="7242" spans="7:8" x14ac:dyDescent="0.35">
      <c r="G7242" s="215">
        <v>7235</v>
      </c>
      <c r="H7242" s="16">
        <f t="shared" ca="1" si="121"/>
        <v>1.0233799092972182E-2</v>
      </c>
    </row>
    <row r="7243" spans="7:8" x14ac:dyDescent="0.35">
      <c r="G7243" s="215">
        <v>7236</v>
      </c>
      <c r="H7243" s="16">
        <f t="shared" ca="1" si="121"/>
        <v>-9.109516551922911E-2</v>
      </c>
    </row>
    <row r="7244" spans="7:8" x14ac:dyDescent="0.35">
      <c r="G7244" s="215">
        <v>7237</v>
      </c>
      <c r="H7244" s="16">
        <f t="shared" ca="1" si="121"/>
        <v>2.0932899270372042E-2</v>
      </c>
    </row>
    <row r="7245" spans="7:8" x14ac:dyDescent="0.35">
      <c r="G7245" s="215">
        <v>7238</v>
      </c>
      <c r="H7245" s="16">
        <f t="shared" ca="1" si="121"/>
        <v>6.2147654923983706E-2</v>
      </c>
    </row>
    <row r="7246" spans="7:8" x14ac:dyDescent="0.35">
      <c r="G7246" s="215">
        <v>7239</v>
      </c>
      <c r="H7246" s="16">
        <f t="shared" ca="1" si="121"/>
        <v>-6.836177356083388E-2</v>
      </c>
    </row>
    <row r="7247" spans="7:8" x14ac:dyDescent="0.35">
      <c r="G7247" s="215">
        <v>7240</v>
      </c>
      <c r="H7247" s="16">
        <f t="shared" ca="1" si="121"/>
        <v>2.0214204297802782E-2</v>
      </c>
    </row>
    <row r="7248" spans="7:8" x14ac:dyDescent="0.35">
      <c r="G7248" s="215">
        <v>7241</v>
      </c>
      <c r="H7248" s="16">
        <f t="shared" ca="1" si="121"/>
        <v>-7.2849792233876082E-2</v>
      </c>
    </row>
    <row r="7249" spans="7:8" x14ac:dyDescent="0.35">
      <c r="G7249" s="215">
        <v>7242</v>
      </c>
      <c r="H7249" s="16">
        <f t="shared" ca="1" si="121"/>
        <v>-2.3257845604411111E-4</v>
      </c>
    </row>
    <row r="7250" spans="7:8" x14ac:dyDescent="0.35">
      <c r="G7250" s="215">
        <v>7243</v>
      </c>
      <c r="H7250" s="16">
        <f t="shared" ca="1" si="121"/>
        <v>-4.4027905404993573E-3</v>
      </c>
    </row>
    <row r="7251" spans="7:8" x14ac:dyDescent="0.35">
      <c r="G7251" s="215">
        <v>7244</v>
      </c>
      <c r="H7251" s="16">
        <f t="shared" ca="1" si="121"/>
        <v>-7.246808917572127E-2</v>
      </c>
    </row>
    <row r="7252" spans="7:8" x14ac:dyDescent="0.35">
      <c r="G7252" s="215">
        <v>7245</v>
      </c>
      <c r="H7252" s="16">
        <f t="shared" ca="1" si="121"/>
        <v>8.6921768897198527E-3</v>
      </c>
    </row>
    <row r="7253" spans="7:8" x14ac:dyDescent="0.35">
      <c r="G7253" s="215">
        <v>7246</v>
      </c>
      <c r="H7253" s="16">
        <f t="shared" ca="1" si="121"/>
        <v>0.14690757844531047</v>
      </c>
    </row>
    <row r="7254" spans="7:8" x14ac:dyDescent="0.35">
      <c r="G7254" s="215">
        <v>7247</v>
      </c>
      <c r="H7254" s="16">
        <f t="shared" ca="1" si="121"/>
        <v>4.8332126285745527E-2</v>
      </c>
    </row>
    <row r="7255" spans="7:8" x14ac:dyDescent="0.35">
      <c r="G7255" s="215">
        <v>7248</v>
      </c>
      <c r="H7255" s="16">
        <f t="shared" ca="1" si="121"/>
        <v>2.339456708528832E-2</v>
      </c>
    </row>
    <row r="7256" spans="7:8" x14ac:dyDescent="0.35">
      <c r="G7256" s="215">
        <v>7249</v>
      </c>
      <c r="H7256" s="16">
        <f t="shared" ca="1" si="121"/>
        <v>5.5557495421239944E-2</v>
      </c>
    </row>
    <row r="7257" spans="7:8" x14ac:dyDescent="0.35">
      <c r="G7257" s="215">
        <v>7250</v>
      </c>
      <c r="H7257" s="16">
        <f t="shared" ca="1" si="121"/>
        <v>4.513096133676639E-2</v>
      </c>
    </row>
    <row r="7258" spans="7:8" x14ac:dyDescent="0.35">
      <c r="G7258" s="215">
        <v>7251</v>
      </c>
      <c r="H7258" s="16">
        <f t="shared" ca="1" si="121"/>
        <v>0.16356389481093686</v>
      </c>
    </row>
    <row r="7259" spans="7:8" x14ac:dyDescent="0.35">
      <c r="G7259" s="215">
        <v>7252</v>
      </c>
      <c r="H7259" s="16">
        <f t="shared" ca="1" si="121"/>
        <v>9.396315031678075E-2</v>
      </c>
    </row>
    <row r="7260" spans="7:8" x14ac:dyDescent="0.35">
      <c r="G7260" s="215">
        <v>7253</v>
      </c>
      <c r="H7260" s="16">
        <f t="shared" ca="1" si="121"/>
        <v>-6.2736397690468779E-2</v>
      </c>
    </row>
    <row r="7261" spans="7:8" x14ac:dyDescent="0.35">
      <c r="G7261" s="215">
        <v>7254</v>
      </c>
      <c r="H7261" s="16">
        <f t="shared" ca="1" si="121"/>
        <v>0.12381110464128274</v>
      </c>
    </row>
    <row r="7262" spans="7:8" x14ac:dyDescent="0.35">
      <c r="G7262" s="215">
        <v>7255</v>
      </c>
      <c r="H7262" s="16">
        <f t="shared" ca="1" si="121"/>
        <v>-1.0715946588364125E-2</v>
      </c>
    </row>
    <row r="7263" spans="7:8" x14ac:dyDescent="0.35">
      <c r="G7263" s="215">
        <v>7256</v>
      </c>
      <c r="H7263" s="16">
        <f t="shared" ca="1" si="121"/>
        <v>-0.11918204779301073</v>
      </c>
    </row>
    <row r="7264" spans="7:8" x14ac:dyDescent="0.35">
      <c r="G7264" s="215">
        <v>7257</v>
      </c>
      <c r="H7264" s="16">
        <f t="shared" ca="1" si="121"/>
        <v>0.22663672302315466</v>
      </c>
    </row>
    <row r="7265" spans="7:8" x14ac:dyDescent="0.35">
      <c r="G7265" s="215">
        <v>7258</v>
      </c>
      <c r="H7265" s="16">
        <f t="shared" ca="1" si="121"/>
        <v>7.28049898705799E-2</v>
      </c>
    </row>
    <row r="7266" spans="7:8" x14ac:dyDescent="0.35">
      <c r="G7266" s="215">
        <v>7259</v>
      </c>
      <c r="H7266" s="16">
        <f t="shared" ca="1" si="121"/>
        <v>0.10146792402921979</v>
      </c>
    </row>
    <row r="7267" spans="7:8" x14ac:dyDescent="0.35">
      <c r="G7267" s="215">
        <v>7260</v>
      </c>
      <c r="H7267" s="16">
        <f t="shared" ca="1" si="121"/>
        <v>9.7282974844143978E-3</v>
      </c>
    </row>
    <row r="7268" spans="7:8" x14ac:dyDescent="0.35">
      <c r="G7268" s="215">
        <v>7261</v>
      </c>
      <c r="H7268" s="16">
        <f t="shared" ca="1" si="121"/>
        <v>5.7929367515645119E-2</v>
      </c>
    </row>
    <row r="7269" spans="7:8" x14ac:dyDescent="0.35">
      <c r="G7269" s="215">
        <v>7262</v>
      </c>
      <c r="H7269" s="16">
        <f t="shared" ca="1" si="121"/>
        <v>8.7197121679395945E-2</v>
      </c>
    </row>
    <row r="7270" spans="7:8" x14ac:dyDescent="0.35">
      <c r="G7270" s="215">
        <v>7263</v>
      </c>
      <c r="H7270" s="16">
        <f t="shared" ca="1" si="121"/>
        <v>4.7865346797403965E-2</v>
      </c>
    </row>
    <row r="7271" spans="7:8" x14ac:dyDescent="0.35">
      <c r="G7271" s="215">
        <v>7264</v>
      </c>
      <c r="H7271" s="16">
        <f t="shared" ca="1" si="121"/>
        <v>3.8892864703816719E-2</v>
      </c>
    </row>
    <row r="7272" spans="7:8" x14ac:dyDescent="0.35">
      <c r="G7272" s="215">
        <v>7265</v>
      </c>
      <c r="H7272" s="16">
        <f t="shared" ca="1" si="121"/>
        <v>0.12233937690386378</v>
      </c>
    </row>
    <row r="7273" spans="7:8" x14ac:dyDescent="0.35">
      <c r="G7273" s="215">
        <v>7266</v>
      </c>
      <c r="H7273" s="16">
        <f t="shared" ca="1" si="121"/>
        <v>2.4348054667215971E-2</v>
      </c>
    </row>
    <row r="7274" spans="7:8" x14ac:dyDescent="0.35">
      <c r="G7274" s="215">
        <v>7267</v>
      </c>
      <c r="H7274" s="16">
        <f t="shared" ca="1" si="121"/>
        <v>-5.8427191540495367E-3</v>
      </c>
    </row>
    <row r="7275" spans="7:8" x14ac:dyDescent="0.35">
      <c r="G7275" s="215">
        <v>7268</v>
      </c>
      <c r="H7275" s="16">
        <f t="shared" ca="1" si="121"/>
        <v>-8.3801322824655008E-3</v>
      </c>
    </row>
    <row r="7276" spans="7:8" x14ac:dyDescent="0.35">
      <c r="G7276" s="215">
        <v>7269</v>
      </c>
      <c r="H7276" s="16">
        <f t="shared" ca="1" si="121"/>
        <v>9.7298410578249464E-2</v>
      </c>
    </row>
    <row r="7277" spans="7:8" x14ac:dyDescent="0.35">
      <c r="G7277" s="215">
        <v>7270</v>
      </c>
      <c r="H7277" s="16">
        <f t="shared" ca="1" si="121"/>
        <v>7.5305876899320986E-2</v>
      </c>
    </row>
    <row r="7278" spans="7:8" x14ac:dyDescent="0.35">
      <c r="G7278" s="215">
        <v>7271</v>
      </c>
      <c r="H7278" s="16">
        <f t="shared" ca="1" si="121"/>
        <v>2.8420343736901905E-2</v>
      </c>
    </row>
    <row r="7279" spans="7:8" x14ac:dyDescent="0.35">
      <c r="G7279" s="215">
        <v>7272</v>
      </c>
      <c r="H7279" s="16">
        <f t="shared" ca="1" si="121"/>
        <v>-8.2315548239378561E-2</v>
      </c>
    </row>
    <row r="7280" spans="7:8" x14ac:dyDescent="0.35">
      <c r="G7280" s="215">
        <v>7273</v>
      </c>
      <c r="H7280" s="16">
        <f t="shared" ca="1" si="121"/>
        <v>9.7169903055426624E-2</v>
      </c>
    </row>
    <row r="7281" spans="7:8" x14ac:dyDescent="0.35">
      <c r="G7281" s="215">
        <v>7274</v>
      </c>
      <c r="H7281" s="16">
        <f t="shared" ca="1" si="121"/>
        <v>7.5638416468860145E-2</v>
      </c>
    </row>
    <row r="7282" spans="7:8" x14ac:dyDescent="0.35">
      <c r="G7282" s="215">
        <v>7275</v>
      </c>
      <c r="H7282" s="16">
        <f t="shared" ca="1" si="121"/>
        <v>-3.7022763965585417E-2</v>
      </c>
    </row>
    <row r="7283" spans="7:8" x14ac:dyDescent="0.35">
      <c r="G7283" s="215">
        <v>7276</v>
      </c>
      <c r="H7283" s="16">
        <f t="shared" ca="1" si="121"/>
        <v>6.5831092480425124E-2</v>
      </c>
    </row>
    <row r="7284" spans="7:8" x14ac:dyDescent="0.35">
      <c r="G7284" s="215">
        <v>7277</v>
      </c>
      <c r="H7284" s="16">
        <f t="shared" ca="1" si="121"/>
        <v>8.3570582299806559E-2</v>
      </c>
    </row>
    <row r="7285" spans="7:8" x14ac:dyDescent="0.35">
      <c r="G7285" s="215">
        <v>7278</v>
      </c>
      <c r="H7285" s="16">
        <f t="shared" ca="1" si="121"/>
        <v>-6.7841050247972684E-2</v>
      </c>
    </row>
    <row r="7286" spans="7:8" x14ac:dyDescent="0.35">
      <c r="G7286" s="215">
        <v>7279</v>
      </c>
      <c r="H7286" s="16">
        <f t="shared" ca="1" si="121"/>
        <v>6.3138010496572444E-4</v>
      </c>
    </row>
    <row r="7287" spans="7:8" x14ac:dyDescent="0.35">
      <c r="G7287" s="215">
        <v>7280</v>
      </c>
      <c r="H7287" s="16">
        <f t="shared" ca="1" si="121"/>
        <v>0.20368013181056588</v>
      </c>
    </row>
    <row r="7288" spans="7:8" x14ac:dyDescent="0.35">
      <c r="G7288" s="215">
        <v>7281</v>
      </c>
      <c r="H7288" s="16">
        <f t="shared" ca="1" si="121"/>
        <v>-0.11250623196541723</v>
      </c>
    </row>
    <row r="7289" spans="7:8" x14ac:dyDescent="0.35">
      <c r="G7289" s="215">
        <v>7282</v>
      </c>
      <c r="H7289" s="16">
        <f t="shared" ca="1" si="121"/>
        <v>2.0322526739733601E-2</v>
      </c>
    </row>
    <row r="7290" spans="7:8" x14ac:dyDescent="0.35">
      <c r="G7290" s="215">
        <v>7283</v>
      </c>
      <c r="H7290" s="16">
        <f t="shared" ca="1" si="121"/>
        <v>-3.834848968797884E-2</v>
      </c>
    </row>
    <row r="7291" spans="7:8" x14ac:dyDescent="0.35">
      <c r="G7291" s="215">
        <v>7284</v>
      </c>
      <c r="H7291" s="16">
        <f t="shared" ca="1" si="121"/>
        <v>6.4714667847680547E-4</v>
      </c>
    </row>
    <row r="7292" spans="7:8" x14ac:dyDescent="0.35">
      <c r="G7292" s="215">
        <v>7285</v>
      </c>
      <c r="H7292" s="16">
        <f t="shared" ca="1" si="121"/>
        <v>0.10640586316042641</v>
      </c>
    </row>
    <row r="7293" spans="7:8" x14ac:dyDescent="0.35">
      <c r="G7293" s="215">
        <v>7286</v>
      </c>
      <c r="H7293" s="16">
        <f t="shared" ca="1" si="121"/>
        <v>8.3017360108339336E-2</v>
      </c>
    </row>
    <row r="7294" spans="7:8" x14ac:dyDescent="0.35">
      <c r="G7294" s="215">
        <v>7287</v>
      </c>
      <c r="H7294" s="16">
        <f t="shared" ca="1" si="121"/>
        <v>2.4723439942634168E-2</v>
      </c>
    </row>
    <row r="7295" spans="7:8" x14ac:dyDescent="0.35">
      <c r="G7295" s="215">
        <v>7288</v>
      </c>
      <c r="H7295" s="16">
        <f t="shared" ca="1" si="121"/>
        <v>-0.10907249279885467</v>
      </c>
    </row>
    <row r="7296" spans="7:8" x14ac:dyDescent="0.35">
      <c r="G7296" s="215">
        <v>7289</v>
      </c>
      <c r="H7296" s="16">
        <f t="shared" ca="1" si="121"/>
        <v>-0.10553116369803615</v>
      </c>
    </row>
    <row r="7297" spans="7:8" x14ac:dyDescent="0.35">
      <c r="G7297" s="215">
        <v>7290</v>
      </c>
      <c r="H7297" s="16">
        <f t="shared" ca="1" si="121"/>
        <v>2.2768296437196245E-2</v>
      </c>
    </row>
    <row r="7298" spans="7:8" x14ac:dyDescent="0.35">
      <c r="G7298" s="215">
        <v>7291</v>
      </c>
      <c r="H7298" s="16">
        <f t="shared" ca="1" si="121"/>
        <v>-3.4010431861228055E-2</v>
      </c>
    </row>
    <row r="7299" spans="7:8" x14ac:dyDescent="0.35">
      <c r="G7299" s="215">
        <v>7292</v>
      </c>
      <c r="H7299" s="16">
        <f t="shared" ca="1" si="121"/>
        <v>7.2838959076355694E-2</v>
      </c>
    </row>
    <row r="7300" spans="7:8" x14ac:dyDescent="0.35">
      <c r="G7300" s="215">
        <v>7293</v>
      </c>
      <c r="H7300" s="16">
        <f t="shared" ca="1" si="121"/>
        <v>-8.1011277840199292E-2</v>
      </c>
    </row>
    <row r="7301" spans="7:8" x14ac:dyDescent="0.35">
      <c r="G7301" s="215">
        <v>7294</v>
      </c>
      <c r="H7301" s="16">
        <f t="shared" ca="1" si="121"/>
        <v>2.9730875681015401E-2</v>
      </c>
    </row>
    <row r="7302" spans="7:8" x14ac:dyDescent="0.35">
      <c r="G7302" s="215">
        <v>7295</v>
      </c>
      <c r="H7302" s="16">
        <f t="shared" ca="1" si="121"/>
        <v>4.1320995048339082E-2</v>
      </c>
    </row>
    <row r="7303" spans="7:8" x14ac:dyDescent="0.35">
      <c r="G7303" s="215">
        <v>7296</v>
      </c>
      <c r="H7303" s="16">
        <f t="shared" ca="1" si="121"/>
        <v>0.13397122530869185</v>
      </c>
    </row>
    <row r="7304" spans="7:8" x14ac:dyDescent="0.35">
      <c r="G7304" s="215">
        <v>7297</v>
      </c>
      <c r="H7304" s="16">
        <f t="shared" ref="H7304:H7367" ca="1" si="122">_xlfn.NORM.INV(RAND(),M$10,M$11)</f>
        <v>-6.9773037739603791E-2</v>
      </c>
    </row>
    <row r="7305" spans="7:8" x14ac:dyDescent="0.35">
      <c r="G7305" s="215">
        <v>7298</v>
      </c>
      <c r="H7305" s="16">
        <f t="shared" ca="1" si="122"/>
        <v>-3.6081907354602122E-2</v>
      </c>
    </row>
    <row r="7306" spans="7:8" x14ac:dyDescent="0.35">
      <c r="G7306" s="215">
        <v>7299</v>
      </c>
      <c r="H7306" s="16">
        <f t="shared" ca="1" si="122"/>
        <v>8.9985203483313472E-2</v>
      </c>
    </row>
    <row r="7307" spans="7:8" x14ac:dyDescent="0.35">
      <c r="G7307" s="215">
        <v>7300</v>
      </c>
      <c r="H7307" s="16">
        <f t="shared" ca="1" si="122"/>
        <v>-4.9912193788803919E-2</v>
      </c>
    </row>
    <row r="7308" spans="7:8" x14ac:dyDescent="0.35">
      <c r="G7308" s="215">
        <v>7301</v>
      </c>
      <c r="H7308" s="16">
        <f t="shared" ca="1" si="122"/>
        <v>0.16910310237921958</v>
      </c>
    </row>
    <row r="7309" spans="7:8" x14ac:dyDescent="0.35">
      <c r="G7309" s="215">
        <v>7302</v>
      </c>
      <c r="H7309" s="16">
        <f t="shared" ca="1" si="122"/>
        <v>-0.14062880607551445</v>
      </c>
    </row>
    <row r="7310" spans="7:8" x14ac:dyDescent="0.35">
      <c r="G7310" s="215">
        <v>7303</v>
      </c>
      <c r="H7310" s="16">
        <f t="shared" ca="1" si="122"/>
        <v>4.8098866904184578E-2</v>
      </c>
    </row>
    <row r="7311" spans="7:8" x14ac:dyDescent="0.35">
      <c r="G7311" s="215">
        <v>7304</v>
      </c>
      <c r="H7311" s="16">
        <f t="shared" ca="1" si="122"/>
        <v>3.0065234819280442E-2</v>
      </c>
    </row>
    <row r="7312" spans="7:8" x14ac:dyDescent="0.35">
      <c r="G7312" s="215">
        <v>7305</v>
      </c>
      <c r="H7312" s="16">
        <f t="shared" ca="1" si="122"/>
        <v>4.1724099531684003E-2</v>
      </c>
    </row>
    <row r="7313" spans="7:8" x14ac:dyDescent="0.35">
      <c r="G7313" s="215">
        <v>7306</v>
      </c>
      <c r="H7313" s="16">
        <f t="shared" ca="1" si="122"/>
        <v>1.8442120495025197E-2</v>
      </c>
    </row>
    <row r="7314" spans="7:8" x14ac:dyDescent="0.35">
      <c r="G7314" s="215">
        <v>7307</v>
      </c>
      <c r="H7314" s="16">
        <f t="shared" ca="1" si="122"/>
        <v>0.14121099389997255</v>
      </c>
    </row>
    <row r="7315" spans="7:8" x14ac:dyDescent="0.35">
      <c r="G7315" s="215">
        <v>7308</v>
      </c>
      <c r="H7315" s="16">
        <f t="shared" ca="1" si="122"/>
        <v>8.5157839383518008E-2</v>
      </c>
    </row>
    <row r="7316" spans="7:8" x14ac:dyDescent="0.35">
      <c r="G7316" s="215">
        <v>7309</v>
      </c>
      <c r="H7316" s="16">
        <f t="shared" ca="1" si="122"/>
        <v>0.15128057111424531</v>
      </c>
    </row>
    <row r="7317" spans="7:8" x14ac:dyDescent="0.35">
      <c r="G7317" s="215">
        <v>7310</v>
      </c>
      <c r="H7317" s="16">
        <f t="shared" ca="1" si="122"/>
        <v>-1.4069729291206118E-2</v>
      </c>
    </row>
    <row r="7318" spans="7:8" x14ac:dyDescent="0.35">
      <c r="G7318" s="215">
        <v>7311</v>
      </c>
      <c r="H7318" s="16">
        <f t="shared" ca="1" si="122"/>
        <v>2.0464056191557133E-2</v>
      </c>
    </row>
    <row r="7319" spans="7:8" x14ac:dyDescent="0.35">
      <c r="G7319" s="215">
        <v>7312</v>
      </c>
      <c r="H7319" s="16">
        <f t="shared" ca="1" si="122"/>
        <v>3.6562466449211371E-2</v>
      </c>
    </row>
    <row r="7320" spans="7:8" x14ac:dyDescent="0.35">
      <c r="G7320" s="215">
        <v>7313</v>
      </c>
      <c r="H7320" s="16">
        <f t="shared" ca="1" si="122"/>
        <v>-2.664685652933849E-2</v>
      </c>
    </row>
    <row r="7321" spans="7:8" x14ac:dyDescent="0.35">
      <c r="G7321" s="215">
        <v>7314</v>
      </c>
      <c r="H7321" s="16">
        <f t="shared" ca="1" si="122"/>
        <v>-8.9283329399524311E-2</v>
      </c>
    </row>
    <row r="7322" spans="7:8" x14ac:dyDescent="0.35">
      <c r="G7322" s="215">
        <v>7315</v>
      </c>
      <c r="H7322" s="16">
        <f t="shared" ca="1" si="122"/>
        <v>-1.7944136568181994E-2</v>
      </c>
    </row>
    <row r="7323" spans="7:8" x14ac:dyDescent="0.35">
      <c r="G7323" s="215">
        <v>7316</v>
      </c>
      <c r="H7323" s="16">
        <f t="shared" ca="1" si="122"/>
        <v>-4.8463055061141208E-2</v>
      </c>
    </row>
    <row r="7324" spans="7:8" x14ac:dyDescent="0.35">
      <c r="G7324" s="215">
        <v>7317</v>
      </c>
      <c r="H7324" s="16">
        <f t="shared" ca="1" si="122"/>
        <v>-1.2966055687491006E-2</v>
      </c>
    </row>
    <row r="7325" spans="7:8" x14ac:dyDescent="0.35">
      <c r="G7325" s="215">
        <v>7318</v>
      </c>
      <c r="H7325" s="16">
        <f t="shared" ca="1" si="122"/>
        <v>-7.6433126825982009E-2</v>
      </c>
    </row>
    <row r="7326" spans="7:8" x14ac:dyDescent="0.35">
      <c r="G7326" s="215">
        <v>7319</v>
      </c>
      <c r="H7326" s="16">
        <f t="shared" ca="1" si="122"/>
        <v>6.3759559969949045E-2</v>
      </c>
    </row>
    <row r="7327" spans="7:8" x14ac:dyDescent="0.35">
      <c r="G7327" s="215">
        <v>7320</v>
      </c>
      <c r="H7327" s="16">
        <f t="shared" ca="1" si="122"/>
        <v>3.0144311023284139E-2</v>
      </c>
    </row>
    <row r="7328" spans="7:8" x14ac:dyDescent="0.35">
      <c r="G7328" s="215">
        <v>7321</v>
      </c>
      <c r="H7328" s="16">
        <f t="shared" ca="1" si="122"/>
        <v>3.8307266221312267E-2</v>
      </c>
    </row>
    <row r="7329" spans="7:8" x14ac:dyDescent="0.35">
      <c r="G7329" s="215">
        <v>7322</v>
      </c>
      <c r="H7329" s="16">
        <f t="shared" ca="1" si="122"/>
        <v>-4.5464009284877552E-2</v>
      </c>
    </row>
    <row r="7330" spans="7:8" x14ac:dyDescent="0.35">
      <c r="G7330" s="215">
        <v>7323</v>
      </c>
      <c r="H7330" s="16">
        <f t="shared" ca="1" si="122"/>
        <v>6.7574063136590937E-2</v>
      </c>
    </row>
    <row r="7331" spans="7:8" x14ac:dyDescent="0.35">
      <c r="G7331" s="215">
        <v>7324</v>
      </c>
      <c r="H7331" s="16">
        <f t="shared" ca="1" si="122"/>
        <v>-8.2334644720603631E-2</v>
      </c>
    </row>
    <row r="7332" spans="7:8" x14ac:dyDescent="0.35">
      <c r="G7332" s="215">
        <v>7325</v>
      </c>
      <c r="H7332" s="16">
        <f t="shared" ca="1" si="122"/>
        <v>-9.2353357490903912E-2</v>
      </c>
    </row>
    <row r="7333" spans="7:8" x14ac:dyDescent="0.35">
      <c r="G7333" s="215">
        <v>7326</v>
      </c>
      <c r="H7333" s="16">
        <f t="shared" ca="1" si="122"/>
        <v>-9.6716980834096911E-2</v>
      </c>
    </row>
    <row r="7334" spans="7:8" x14ac:dyDescent="0.35">
      <c r="G7334" s="215">
        <v>7327</v>
      </c>
      <c r="H7334" s="16">
        <f t="shared" ca="1" si="122"/>
        <v>1.224056911348013E-2</v>
      </c>
    </row>
    <row r="7335" spans="7:8" x14ac:dyDescent="0.35">
      <c r="G7335" s="215">
        <v>7328</v>
      </c>
      <c r="H7335" s="16">
        <f t="shared" ca="1" si="122"/>
        <v>-0.12746887547963456</v>
      </c>
    </row>
    <row r="7336" spans="7:8" x14ac:dyDescent="0.35">
      <c r="G7336" s="215">
        <v>7329</v>
      </c>
      <c r="H7336" s="16">
        <f t="shared" ca="1" si="122"/>
        <v>0.11474996391019772</v>
      </c>
    </row>
    <row r="7337" spans="7:8" x14ac:dyDescent="0.35">
      <c r="G7337" s="215">
        <v>7330</v>
      </c>
      <c r="H7337" s="16">
        <f t="shared" ca="1" si="122"/>
        <v>0.11451127515730712</v>
      </c>
    </row>
    <row r="7338" spans="7:8" x14ac:dyDescent="0.35">
      <c r="G7338" s="215">
        <v>7331</v>
      </c>
      <c r="H7338" s="16">
        <f t="shared" ca="1" si="122"/>
        <v>1.5613140628090133E-2</v>
      </c>
    </row>
    <row r="7339" spans="7:8" x14ac:dyDescent="0.35">
      <c r="G7339" s="215">
        <v>7332</v>
      </c>
      <c r="H7339" s="16">
        <f t="shared" ca="1" si="122"/>
        <v>-1.8508059450060559E-2</v>
      </c>
    </row>
    <row r="7340" spans="7:8" x14ac:dyDescent="0.35">
      <c r="G7340" s="215">
        <v>7333</v>
      </c>
      <c r="H7340" s="16">
        <f t="shared" ca="1" si="122"/>
        <v>-3.4053572754955089E-2</v>
      </c>
    </row>
    <row r="7341" spans="7:8" x14ac:dyDescent="0.35">
      <c r="G7341" s="215">
        <v>7334</v>
      </c>
      <c r="H7341" s="16">
        <f t="shared" ca="1" si="122"/>
        <v>-0.14002564079080676</v>
      </c>
    </row>
    <row r="7342" spans="7:8" x14ac:dyDescent="0.35">
      <c r="G7342" s="215">
        <v>7335</v>
      </c>
      <c r="H7342" s="16">
        <f t="shared" ca="1" si="122"/>
        <v>0.11585254068459457</v>
      </c>
    </row>
    <row r="7343" spans="7:8" x14ac:dyDescent="0.35">
      <c r="G7343" s="215">
        <v>7336</v>
      </c>
      <c r="H7343" s="16">
        <f t="shared" ca="1" si="122"/>
        <v>-6.172975166836818E-2</v>
      </c>
    </row>
    <row r="7344" spans="7:8" x14ac:dyDescent="0.35">
      <c r="G7344" s="215">
        <v>7337</v>
      </c>
      <c r="H7344" s="16">
        <f t="shared" ca="1" si="122"/>
        <v>1.6171190319378796E-2</v>
      </c>
    </row>
    <row r="7345" spans="7:8" x14ac:dyDescent="0.35">
      <c r="G7345" s="215">
        <v>7338</v>
      </c>
      <c r="H7345" s="16">
        <f t="shared" ca="1" si="122"/>
        <v>5.470707121856698E-2</v>
      </c>
    </row>
    <row r="7346" spans="7:8" x14ac:dyDescent="0.35">
      <c r="G7346" s="215">
        <v>7339</v>
      </c>
      <c r="H7346" s="16">
        <f t="shared" ca="1" si="122"/>
        <v>-2.9186524093899689E-3</v>
      </c>
    </row>
    <row r="7347" spans="7:8" x14ac:dyDescent="0.35">
      <c r="G7347" s="215">
        <v>7340</v>
      </c>
      <c r="H7347" s="16">
        <f t="shared" ca="1" si="122"/>
        <v>6.5245904414451314E-2</v>
      </c>
    </row>
    <row r="7348" spans="7:8" x14ac:dyDescent="0.35">
      <c r="G7348" s="215">
        <v>7341</v>
      </c>
      <c r="H7348" s="16">
        <f t="shared" ca="1" si="122"/>
        <v>0.15854123166010339</v>
      </c>
    </row>
    <row r="7349" spans="7:8" x14ac:dyDescent="0.35">
      <c r="G7349" s="215">
        <v>7342</v>
      </c>
      <c r="H7349" s="16">
        <f t="shared" ca="1" si="122"/>
        <v>2.925040518109126E-2</v>
      </c>
    </row>
    <row r="7350" spans="7:8" x14ac:dyDescent="0.35">
      <c r="G7350" s="215">
        <v>7343</v>
      </c>
      <c r="H7350" s="16">
        <f t="shared" ca="1" si="122"/>
        <v>7.7061439269258916E-2</v>
      </c>
    </row>
    <row r="7351" spans="7:8" x14ac:dyDescent="0.35">
      <c r="G7351" s="215">
        <v>7344</v>
      </c>
      <c r="H7351" s="16">
        <f t="shared" ca="1" si="122"/>
        <v>9.1068463248815248E-2</v>
      </c>
    </row>
    <row r="7352" spans="7:8" x14ac:dyDescent="0.35">
      <c r="G7352" s="215">
        <v>7345</v>
      </c>
      <c r="H7352" s="16">
        <f t="shared" ca="1" si="122"/>
        <v>-0.13733076874573874</v>
      </c>
    </row>
    <row r="7353" spans="7:8" x14ac:dyDescent="0.35">
      <c r="G7353" s="215">
        <v>7346</v>
      </c>
      <c r="H7353" s="16">
        <f t="shared" ca="1" si="122"/>
        <v>6.2415654598741446E-2</v>
      </c>
    </row>
    <row r="7354" spans="7:8" x14ac:dyDescent="0.35">
      <c r="G7354" s="215">
        <v>7347</v>
      </c>
      <c r="H7354" s="16">
        <f t="shared" ca="1" si="122"/>
        <v>7.564903527920247E-2</v>
      </c>
    </row>
    <row r="7355" spans="7:8" x14ac:dyDescent="0.35">
      <c r="G7355" s="215">
        <v>7348</v>
      </c>
      <c r="H7355" s="16">
        <f t="shared" ca="1" si="122"/>
        <v>1.4539838082596814E-2</v>
      </c>
    </row>
    <row r="7356" spans="7:8" x14ac:dyDescent="0.35">
      <c r="G7356" s="215">
        <v>7349</v>
      </c>
      <c r="H7356" s="16">
        <f t="shared" ca="1" si="122"/>
        <v>1.1474272148192475E-2</v>
      </c>
    </row>
    <row r="7357" spans="7:8" x14ac:dyDescent="0.35">
      <c r="G7357" s="215">
        <v>7350</v>
      </c>
      <c r="H7357" s="16">
        <f t="shared" ca="1" si="122"/>
        <v>0.12693515044866799</v>
      </c>
    </row>
    <row r="7358" spans="7:8" x14ac:dyDescent="0.35">
      <c r="G7358" s="215">
        <v>7351</v>
      </c>
      <c r="H7358" s="16">
        <f t="shared" ca="1" si="122"/>
        <v>8.7182721677103087E-2</v>
      </c>
    </row>
    <row r="7359" spans="7:8" x14ac:dyDescent="0.35">
      <c r="G7359" s="215">
        <v>7352</v>
      </c>
      <c r="H7359" s="16">
        <f t="shared" ca="1" si="122"/>
        <v>6.7289880860262802E-2</v>
      </c>
    </row>
    <row r="7360" spans="7:8" x14ac:dyDescent="0.35">
      <c r="G7360" s="215">
        <v>7353</v>
      </c>
      <c r="H7360" s="16">
        <f t="shared" ca="1" si="122"/>
        <v>8.4693431672727859E-2</v>
      </c>
    </row>
    <row r="7361" spans="7:8" x14ac:dyDescent="0.35">
      <c r="G7361" s="215">
        <v>7354</v>
      </c>
      <c r="H7361" s="16">
        <f t="shared" ca="1" si="122"/>
        <v>-8.584156243455307E-3</v>
      </c>
    </row>
    <row r="7362" spans="7:8" x14ac:dyDescent="0.35">
      <c r="G7362" s="215">
        <v>7355</v>
      </c>
      <c r="H7362" s="16">
        <f t="shared" ca="1" si="122"/>
        <v>5.0892968692010015E-2</v>
      </c>
    </row>
    <row r="7363" spans="7:8" x14ac:dyDescent="0.35">
      <c r="G7363" s="215">
        <v>7356</v>
      </c>
      <c r="H7363" s="16">
        <f t="shared" ca="1" si="122"/>
        <v>-3.878151012009165E-2</v>
      </c>
    </row>
    <row r="7364" spans="7:8" x14ac:dyDescent="0.35">
      <c r="G7364" s="215">
        <v>7357</v>
      </c>
      <c r="H7364" s="16">
        <f t="shared" ca="1" si="122"/>
        <v>8.0396054522553606E-2</v>
      </c>
    </row>
    <row r="7365" spans="7:8" x14ac:dyDescent="0.35">
      <c r="G7365" s="215">
        <v>7358</v>
      </c>
      <c r="H7365" s="16">
        <f t="shared" ca="1" si="122"/>
        <v>0.12984904510282258</v>
      </c>
    </row>
    <row r="7366" spans="7:8" x14ac:dyDescent="0.35">
      <c r="G7366" s="215">
        <v>7359</v>
      </c>
      <c r="H7366" s="16">
        <f t="shared" ca="1" si="122"/>
        <v>-6.3661553652719916E-2</v>
      </c>
    </row>
    <row r="7367" spans="7:8" x14ac:dyDescent="0.35">
      <c r="G7367" s="215">
        <v>7360</v>
      </c>
      <c r="H7367" s="16">
        <f t="shared" ca="1" si="122"/>
        <v>9.022006931036318E-2</v>
      </c>
    </row>
    <row r="7368" spans="7:8" x14ac:dyDescent="0.35">
      <c r="G7368" s="215">
        <v>7361</v>
      </c>
      <c r="H7368" s="16">
        <f t="shared" ref="H7368:H7431" ca="1" si="123">_xlfn.NORM.INV(RAND(),M$10,M$11)</f>
        <v>8.0720309925292638E-2</v>
      </c>
    </row>
    <row r="7369" spans="7:8" x14ac:dyDescent="0.35">
      <c r="G7369" s="215">
        <v>7362</v>
      </c>
      <c r="H7369" s="16">
        <f t="shared" ca="1" si="123"/>
        <v>0.12349224088747265</v>
      </c>
    </row>
    <row r="7370" spans="7:8" x14ac:dyDescent="0.35">
      <c r="G7370" s="215">
        <v>7363</v>
      </c>
      <c r="H7370" s="16">
        <f t="shared" ca="1" si="123"/>
        <v>1.399451595644708E-2</v>
      </c>
    </row>
    <row r="7371" spans="7:8" x14ac:dyDescent="0.35">
      <c r="G7371" s="215">
        <v>7364</v>
      </c>
      <c r="H7371" s="16">
        <f t="shared" ca="1" si="123"/>
        <v>0.15691353502747304</v>
      </c>
    </row>
    <row r="7372" spans="7:8" x14ac:dyDescent="0.35">
      <c r="G7372" s="215">
        <v>7365</v>
      </c>
      <c r="H7372" s="16">
        <f t="shared" ca="1" si="123"/>
        <v>5.924563867091473E-2</v>
      </c>
    </row>
    <row r="7373" spans="7:8" x14ac:dyDescent="0.35">
      <c r="G7373" s="215">
        <v>7366</v>
      </c>
      <c r="H7373" s="16">
        <f t="shared" ca="1" si="123"/>
        <v>3.1999730214891192E-2</v>
      </c>
    </row>
    <row r="7374" spans="7:8" x14ac:dyDescent="0.35">
      <c r="G7374" s="215">
        <v>7367</v>
      </c>
      <c r="H7374" s="16">
        <f t="shared" ca="1" si="123"/>
        <v>-2.3558193513403009E-2</v>
      </c>
    </row>
    <row r="7375" spans="7:8" x14ac:dyDescent="0.35">
      <c r="G7375" s="215">
        <v>7368</v>
      </c>
      <c r="H7375" s="16">
        <f t="shared" ca="1" si="123"/>
        <v>0.14379880655450647</v>
      </c>
    </row>
    <row r="7376" spans="7:8" x14ac:dyDescent="0.35">
      <c r="G7376" s="215">
        <v>7369</v>
      </c>
      <c r="H7376" s="16">
        <f t="shared" ca="1" si="123"/>
        <v>8.0665436628490239E-2</v>
      </c>
    </row>
    <row r="7377" spans="7:8" x14ac:dyDescent="0.35">
      <c r="G7377" s="215">
        <v>7370</v>
      </c>
      <c r="H7377" s="16">
        <f t="shared" ca="1" si="123"/>
        <v>0.20493977949724107</v>
      </c>
    </row>
    <row r="7378" spans="7:8" x14ac:dyDescent="0.35">
      <c r="G7378" s="215">
        <v>7371</v>
      </c>
      <c r="H7378" s="16">
        <f t="shared" ca="1" si="123"/>
        <v>-3.7879956055263952E-2</v>
      </c>
    </row>
    <row r="7379" spans="7:8" x14ac:dyDescent="0.35">
      <c r="G7379" s="215">
        <v>7372</v>
      </c>
      <c r="H7379" s="16">
        <f t="shared" ca="1" si="123"/>
        <v>-6.4872228673970078E-2</v>
      </c>
    </row>
    <row r="7380" spans="7:8" x14ac:dyDescent="0.35">
      <c r="G7380" s="215">
        <v>7373</v>
      </c>
      <c r="H7380" s="16">
        <f t="shared" ca="1" si="123"/>
        <v>2.2770144026222142E-2</v>
      </c>
    </row>
    <row r="7381" spans="7:8" x14ac:dyDescent="0.35">
      <c r="G7381" s="215">
        <v>7374</v>
      </c>
      <c r="H7381" s="16">
        <f t="shared" ca="1" si="123"/>
        <v>-5.1586424681408533E-2</v>
      </c>
    </row>
    <row r="7382" spans="7:8" x14ac:dyDescent="0.35">
      <c r="G7382" s="215">
        <v>7375</v>
      </c>
      <c r="H7382" s="16">
        <f t="shared" ca="1" si="123"/>
        <v>-3.9092225565786023E-2</v>
      </c>
    </row>
    <row r="7383" spans="7:8" x14ac:dyDescent="0.35">
      <c r="G7383" s="215">
        <v>7376</v>
      </c>
      <c r="H7383" s="16">
        <f t="shared" ca="1" si="123"/>
        <v>5.5645691372501221E-2</v>
      </c>
    </row>
    <row r="7384" spans="7:8" x14ac:dyDescent="0.35">
      <c r="G7384" s="215">
        <v>7377</v>
      </c>
      <c r="H7384" s="16">
        <f t="shared" ca="1" si="123"/>
        <v>-8.6470008525603714E-2</v>
      </c>
    </row>
    <row r="7385" spans="7:8" x14ac:dyDescent="0.35">
      <c r="G7385" s="215">
        <v>7378</v>
      </c>
      <c r="H7385" s="16">
        <f t="shared" ca="1" si="123"/>
        <v>-0.12251279262345036</v>
      </c>
    </row>
    <row r="7386" spans="7:8" x14ac:dyDescent="0.35">
      <c r="G7386" s="215">
        <v>7379</v>
      </c>
      <c r="H7386" s="16">
        <f t="shared" ca="1" si="123"/>
        <v>0.14554684046325794</v>
      </c>
    </row>
    <row r="7387" spans="7:8" x14ac:dyDescent="0.35">
      <c r="G7387" s="215">
        <v>7380</v>
      </c>
      <c r="H7387" s="16">
        <f t="shared" ca="1" si="123"/>
        <v>5.3175508109454313E-3</v>
      </c>
    </row>
    <row r="7388" spans="7:8" x14ac:dyDescent="0.35">
      <c r="G7388" s="215">
        <v>7381</v>
      </c>
      <c r="H7388" s="16">
        <f t="shared" ca="1" si="123"/>
        <v>5.1908818780705718E-2</v>
      </c>
    </row>
    <row r="7389" spans="7:8" x14ac:dyDescent="0.35">
      <c r="G7389" s="215">
        <v>7382</v>
      </c>
      <c r="H7389" s="16">
        <f t="shared" ca="1" si="123"/>
        <v>0.1002058242986152</v>
      </c>
    </row>
    <row r="7390" spans="7:8" x14ac:dyDescent="0.35">
      <c r="G7390" s="215">
        <v>7383</v>
      </c>
      <c r="H7390" s="16">
        <f t="shared" ca="1" si="123"/>
        <v>2.6737993440908311E-2</v>
      </c>
    </row>
    <row r="7391" spans="7:8" x14ac:dyDescent="0.35">
      <c r="G7391" s="215">
        <v>7384</v>
      </c>
      <c r="H7391" s="16">
        <f t="shared" ca="1" si="123"/>
        <v>3.967798745376297E-2</v>
      </c>
    </row>
    <row r="7392" spans="7:8" x14ac:dyDescent="0.35">
      <c r="G7392" s="215">
        <v>7385</v>
      </c>
      <c r="H7392" s="16">
        <f t="shared" ca="1" si="123"/>
        <v>0.10765181201212209</v>
      </c>
    </row>
    <row r="7393" spans="7:8" x14ac:dyDescent="0.35">
      <c r="G7393" s="215">
        <v>7386</v>
      </c>
      <c r="H7393" s="16">
        <f t="shared" ca="1" si="123"/>
        <v>2.7562776856756878E-2</v>
      </c>
    </row>
    <row r="7394" spans="7:8" x14ac:dyDescent="0.35">
      <c r="G7394" s="215">
        <v>7387</v>
      </c>
      <c r="H7394" s="16">
        <f t="shared" ca="1" si="123"/>
        <v>7.6772125454084822E-2</v>
      </c>
    </row>
    <row r="7395" spans="7:8" x14ac:dyDescent="0.35">
      <c r="G7395" s="215">
        <v>7388</v>
      </c>
      <c r="H7395" s="16">
        <f t="shared" ca="1" si="123"/>
        <v>-4.0851233714048835E-2</v>
      </c>
    </row>
    <row r="7396" spans="7:8" x14ac:dyDescent="0.35">
      <c r="G7396" s="215">
        <v>7389</v>
      </c>
      <c r="H7396" s="16">
        <f t="shared" ca="1" si="123"/>
        <v>2.3215948315924502E-2</v>
      </c>
    </row>
    <row r="7397" spans="7:8" x14ac:dyDescent="0.35">
      <c r="G7397" s="215">
        <v>7390</v>
      </c>
      <c r="H7397" s="16">
        <f t="shared" ca="1" si="123"/>
        <v>-0.15006026692110189</v>
      </c>
    </row>
    <row r="7398" spans="7:8" x14ac:dyDescent="0.35">
      <c r="G7398" s="215">
        <v>7391</v>
      </c>
      <c r="H7398" s="16">
        <f t="shared" ca="1" si="123"/>
        <v>3.4278266781899026E-2</v>
      </c>
    </row>
    <row r="7399" spans="7:8" x14ac:dyDescent="0.35">
      <c r="G7399" s="215">
        <v>7392</v>
      </c>
      <c r="H7399" s="16">
        <f t="shared" ca="1" si="123"/>
        <v>-1.8018641573541667E-2</v>
      </c>
    </row>
    <row r="7400" spans="7:8" x14ac:dyDescent="0.35">
      <c r="G7400" s="215">
        <v>7393</v>
      </c>
      <c r="H7400" s="16">
        <f t="shared" ca="1" si="123"/>
        <v>2.3499222833774688E-2</v>
      </c>
    </row>
    <row r="7401" spans="7:8" x14ac:dyDescent="0.35">
      <c r="G7401" s="215">
        <v>7394</v>
      </c>
      <c r="H7401" s="16">
        <f t="shared" ca="1" si="123"/>
        <v>-2.8649147678917939E-2</v>
      </c>
    </row>
    <row r="7402" spans="7:8" x14ac:dyDescent="0.35">
      <c r="G7402" s="215">
        <v>7395</v>
      </c>
      <c r="H7402" s="16">
        <f t="shared" ca="1" si="123"/>
        <v>-5.4057849122196758E-2</v>
      </c>
    </row>
    <row r="7403" spans="7:8" x14ac:dyDescent="0.35">
      <c r="G7403" s="215">
        <v>7396</v>
      </c>
      <c r="H7403" s="16">
        <f t="shared" ca="1" si="123"/>
        <v>5.0689601186584346E-2</v>
      </c>
    </row>
    <row r="7404" spans="7:8" x14ac:dyDescent="0.35">
      <c r="G7404" s="215">
        <v>7397</v>
      </c>
      <c r="H7404" s="16">
        <f t="shared" ca="1" si="123"/>
        <v>-2.4320484375844453E-2</v>
      </c>
    </row>
    <row r="7405" spans="7:8" x14ac:dyDescent="0.35">
      <c r="G7405" s="215">
        <v>7398</v>
      </c>
      <c r="H7405" s="16">
        <f t="shared" ca="1" si="123"/>
        <v>-5.0418835631850817E-2</v>
      </c>
    </row>
    <row r="7406" spans="7:8" x14ac:dyDescent="0.35">
      <c r="G7406" s="215">
        <v>7399</v>
      </c>
      <c r="H7406" s="16">
        <f t="shared" ca="1" si="123"/>
        <v>-3.502161544915311E-2</v>
      </c>
    </row>
    <row r="7407" spans="7:8" x14ac:dyDescent="0.35">
      <c r="G7407" s="215">
        <v>7400</v>
      </c>
      <c r="H7407" s="16">
        <f t="shared" ca="1" si="123"/>
        <v>3.4775404799963765E-2</v>
      </c>
    </row>
    <row r="7408" spans="7:8" x14ac:dyDescent="0.35">
      <c r="G7408" s="215">
        <v>7401</v>
      </c>
      <c r="H7408" s="16">
        <f t="shared" ca="1" si="123"/>
        <v>6.8461476802306728E-2</v>
      </c>
    </row>
    <row r="7409" spans="7:8" x14ac:dyDescent="0.35">
      <c r="G7409" s="215">
        <v>7402</v>
      </c>
      <c r="H7409" s="16">
        <f t="shared" ca="1" si="123"/>
        <v>1.9791800438486121E-2</v>
      </c>
    </row>
    <row r="7410" spans="7:8" x14ac:dyDescent="0.35">
      <c r="G7410" s="215">
        <v>7403</v>
      </c>
      <c r="H7410" s="16">
        <f t="shared" ca="1" si="123"/>
        <v>7.2144192989196193E-2</v>
      </c>
    </row>
    <row r="7411" spans="7:8" x14ac:dyDescent="0.35">
      <c r="G7411" s="215">
        <v>7404</v>
      </c>
      <c r="H7411" s="16">
        <f t="shared" ca="1" si="123"/>
        <v>2.8955105890822591E-3</v>
      </c>
    </row>
    <row r="7412" spans="7:8" x14ac:dyDescent="0.35">
      <c r="G7412" s="215">
        <v>7405</v>
      </c>
      <c r="H7412" s="16">
        <f t="shared" ca="1" si="123"/>
        <v>0.11197539426632828</v>
      </c>
    </row>
    <row r="7413" spans="7:8" x14ac:dyDescent="0.35">
      <c r="G7413" s="215">
        <v>7406</v>
      </c>
      <c r="H7413" s="16">
        <f t="shared" ca="1" si="123"/>
        <v>2.2845572929849664E-2</v>
      </c>
    </row>
    <row r="7414" spans="7:8" x14ac:dyDescent="0.35">
      <c r="G7414" s="215">
        <v>7407</v>
      </c>
      <c r="H7414" s="16">
        <f t="shared" ca="1" si="123"/>
        <v>9.651855526505217E-3</v>
      </c>
    </row>
    <row r="7415" spans="7:8" x14ac:dyDescent="0.35">
      <c r="G7415" s="215">
        <v>7408</v>
      </c>
      <c r="H7415" s="16">
        <f t="shared" ca="1" si="123"/>
        <v>4.4944655696868667E-3</v>
      </c>
    </row>
    <row r="7416" spans="7:8" x14ac:dyDescent="0.35">
      <c r="G7416" s="215">
        <v>7409</v>
      </c>
      <c r="H7416" s="16">
        <f t="shared" ca="1" si="123"/>
        <v>-4.9052643369013313E-2</v>
      </c>
    </row>
    <row r="7417" spans="7:8" x14ac:dyDescent="0.35">
      <c r="G7417" s="215">
        <v>7410</v>
      </c>
      <c r="H7417" s="16">
        <f t="shared" ca="1" si="123"/>
        <v>-5.4616533452002125E-2</v>
      </c>
    </row>
    <row r="7418" spans="7:8" x14ac:dyDescent="0.35">
      <c r="G7418" s="215">
        <v>7411</v>
      </c>
      <c r="H7418" s="16">
        <f t="shared" ca="1" si="123"/>
        <v>7.2522980035609724E-2</v>
      </c>
    </row>
    <row r="7419" spans="7:8" x14ac:dyDescent="0.35">
      <c r="G7419" s="215">
        <v>7412</v>
      </c>
      <c r="H7419" s="16">
        <f t="shared" ca="1" si="123"/>
        <v>0.11738415422578768</v>
      </c>
    </row>
    <row r="7420" spans="7:8" x14ac:dyDescent="0.35">
      <c r="G7420" s="215">
        <v>7413</v>
      </c>
      <c r="H7420" s="16">
        <f t="shared" ca="1" si="123"/>
        <v>-3.5641160554354089E-3</v>
      </c>
    </row>
    <row r="7421" spans="7:8" x14ac:dyDescent="0.35">
      <c r="G7421" s="215">
        <v>7414</v>
      </c>
      <c r="H7421" s="16">
        <f t="shared" ca="1" si="123"/>
        <v>-6.3319973530546733E-2</v>
      </c>
    </row>
    <row r="7422" spans="7:8" x14ac:dyDescent="0.35">
      <c r="G7422" s="215">
        <v>7415</v>
      </c>
      <c r="H7422" s="16">
        <f t="shared" ca="1" si="123"/>
        <v>-1.2246403766036851E-2</v>
      </c>
    </row>
    <row r="7423" spans="7:8" x14ac:dyDescent="0.35">
      <c r="G7423" s="215">
        <v>7416</v>
      </c>
      <c r="H7423" s="16">
        <f t="shared" ca="1" si="123"/>
        <v>-5.6556140841476643E-2</v>
      </c>
    </row>
    <row r="7424" spans="7:8" x14ac:dyDescent="0.35">
      <c r="G7424" s="215">
        <v>7417</v>
      </c>
      <c r="H7424" s="16">
        <f t="shared" ca="1" si="123"/>
        <v>-1.5087705832327488E-2</v>
      </c>
    </row>
    <row r="7425" spans="7:8" x14ac:dyDescent="0.35">
      <c r="G7425" s="215">
        <v>7418</v>
      </c>
      <c r="H7425" s="16">
        <f t="shared" ca="1" si="123"/>
        <v>4.261937655131727E-2</v>
      </c>
    </row>
    <row r="7426" spans="7:8" x14ac:dyDescent="0.35">
      <c r="G7426" s="215">
        <v>7419</v>
      </c>
      <c r="H7426" s="16">
        <f t="shared" ca="1" si="123"/>
        <v>-3.5905424969434149E-2</v>
      </c>
    </row>
    <row r="7427" spans="7:8" x14ac:dyDescent="0.35">
      <c r="G7427" s="215">
        <v>7420</v>
      </c>
      <c r="H7427" s="16">
        <f t="shared" ca="1" si="123"/>
        <v>-2.5949707677073868E-2</v>
      </c>
    </row>
    <row r="7428" spans="7:8" x14ac:dyDescent="0.35">
      <c r="G7428" s="215">
        <v>7421</v>
      </c>
      <c r="H7428" s="16">
        <f t="shared" ca="1" si="123"/>
        <v>3.8713903091452589E-2</v>
      </c>
    </row>
    <row r="7429" spans="7:8" x14ac:dyDescent="0.35">
      <c r="G7429" s="215">
        <v>7422</v>
      </c>
      <c r="H7429" s="16">
        <f t="shared" ca="1" si="123"/>
        <v>6.3387887989998906E-2</v>
      </c>
    </row>
    <row r="7430" spans="7:8" x14ac:dyDescent="0.35">
      <c r="G7430" s="215">
        <v>7423</v>
      </c>
      <c r="H7430" s="16">
        <f t="shared" ca="1" si="123"/>
        <v>-0.10889695357258386</v>
      </c>
    </row>
    <row r="7431" spans="7:8" x14ac:dyDescent="0.35">
      <c r="G7431" s="215">
        <v>7424</v>
      </c>
      <c r="H7431" s="16">
        <f t="shared" ca="1" si="123"/>
        <v>-3.3567633686287235E-2</v>
      </c>
    </row>
    <row r="7432" spans="7:8" x14ac:dyDescent="0.35">
      <c r="G7432" s="215">
        <v>7425</v>
      </c>
      <c r="H7432" s="16">
        <f t="shared" ref="H7432:H7495" ca="1" si="124">_xlfn.NORM.INV(RAND(),M$10,M$11)</f>
        <v>3.6157374552561142E-2</v>
      </c>
    </row>
    <row r="7433" spans="7:8" x14ac:dyDescent="0.35">
      <c r="G7433" s="215">
        <v>7426</v>
      </c>
      <c r="H7433" s="16">
        <f t="shared" ca="1" si="124"/>
        <v>1.7109692811894308E-3</v>
      </c>
    </row>
    <row r="7434" spans="7:8" x14ac:dyDescent="0.35">
      <c r="G7434" s="215">
        <v>7427</v>
      </c>
      <c r="H7434" s="16">
        <f t="shared" ca="1" si="124"/>
        <v>1.33482731647951E-2</v>
      </c>
    </row>
    <row r="7435" spans="7:8" x14ac:dyDescent="0.35">
      <c r="G7435" s="215">
        <v>7428</v>
      </c>
      <c r="H7435" s="16">
        <f t="shared" ca="1" si="124"/>
        <v>-6.6765931562711017E-3</v>
      </c>
    </row>
    <row r="7436" spans="7:8" x14ac:dyDescent="0.35">
      <c r="G7436" s="215">
        <v>7429</v>
      </c>
      <c r="H7436" s="16">
        <f t="shared" ca="1" si="124"/>
        <v>7.8576617159580059E-2</v>
      </c>
    </row>
    <row r="7437" spans="7:8" x14ac:dyDescent="0.35">
      <c r="G7437" s="215">
        <v>7430</v>
      </c>
      <c r="H7437" s="16">
        <f t="shared" ca="1" si="124"/>
        <v>1.693546510248875E-3</v>
      </c>
    </row>
    <row r="7438" spans="7:8" x14ac:dyDescent="0.35">
      <c r="G7438" s="215">
        <v>7431</v>
      </c>
      <c r="H7438" s="16">
        <f t="shared" ca="1" si="124"/>
        <v>5.7804042866791222E-2</v>
      </c>
    </row>
    <row r="7439" spans="7:8" x14ac:dyDescent="0.35">
      <c r="G7439" s="215">
        <v>7432</v>
      </c>
      <c r="H7439" s="16">
        <f t="shared" ca="1" si="124"/>
        <v>-2.1381708003259146E-2</v>
      </c>
    </row>
    <row r="7440" spans="7:8" x14ac:dyDescent="0.35">
      <c r="G7440" s="215">
        <v>7433</v>
      </c>
      <c r="H7440" s="16">
        <f t="shared" ca="1" si="124"/>
        <v>1.4378866322897126E-2</v>
      </c>
    </row>
    <row r="7441" spans="7:8" x14ac:dyDescent="0.35">
      <c r="G7441" s="215">
        <v>7434</v>
      </c>
      <c r="H7441" s="16">
        <f t="shared" ca="1" si="124"/>
        <v>8.3412984487003461E-2</v>
      </c>
    </row>
    <row r="7442" spans="7:8" x14ac:dyDescent="0.35">
      <c r="G7442" s="215">
        <v>7435</v>
      </c>
      <c r="H7442" s="16">
        <f t="shared" ca="1" si="124"/>
        <v>5.9023653736612239E-2</v>
      </c>
    </row>
    <row r="7443" spans="7:8" x14ac:dyDescent="0.35">
      <c r="G7443" s="215">
        <v>7436</v>
      </c>
      <c r="H7443" s="16">
        <f t="shared" ca="1" si="124"/>
        <v>-0.16820511531125659</v>
      </c>
    </row>
    <row r="7444" spans="7:8" x14ac:dyDescent="0.35">
      <c r="G7444" s="215">
        <v>7437</v>
      </c>
      <c r="H7444" s="16">
        <f t="shared" ca="1" si="124"/>
        <v>-0.13709054426390033</v>
      </c>
    </row>
    <row r="7445" spans="7:8" x14ac:dyDescent="0.35">
      <c r="G7445" s="215">
        <v>7438</v>
      </c>
      <c r="H7445" s="16">
        <f t="shared" ca="1" si="124"/>
        <v>-3.1489111179619181E-2</v>
      </c>
    </row>
    <row r="7446" spans="7:8" x14ac:dyDescent="0.35">
      <c r="G7446" s="215">
        <v>7439</v>
      </c>
      <c r="H7446" s="16">
        <f t="shared" ca="1" si="124"/>
        <v>0.11569039341349872</v>
      </c>
    </row>
    <row r="7447" spans="7:8" x14ac:dyDescent="0.35">
      <c r="G7447" s="215">
        <v>7440</v>
      </c>
      <c r="H7447" s="16">
        <f t="shared" ca="1" si="124"/>
        <v>4.7898460373334464E-2</v>
      </c>
    </row>
    <row r="7448" spans="7:8" x14ac:dyDescent="0.35">
      <c r="G7448" s="215">
        <v>7441</v>
      </c>
      <c r="H7448" s="16">
        <f t="shared" ca="1" si="124"/>
        <v>6.6140338622351608E-2</v>
      </c>
    </row>
    <row r="7449" spans="7:8" x14ac:dyDescent="0.35">
      <c r="G7449" s="215">
        <v>7442</v>
      </c>
      <c r="H7449" s="16">
        <f t="shared" ca="1" si="124"/>
        <v>-1.2018620059621388E-2</v>
      </c>
    </row>
    <row r="7450" spans="7:8" x14ac:dyDescent="0.35">
      <c r="G7450" s="215">
        <v>7443</v>
      </c>
      <c r="H7450" s="16">
        <f t="shared" ca="1" si="124"/>
        <v>4.0408580871667422E-3</v>
      </c>
    </row>
    <row r="7451" spans="7:8" x14ac:dyDescent="0.35">
      <c r="G7451" s="215">
        <v>7444</v>
      </c>
      <c r="H7451" s="16">
        <f t="shared" ca="1" si="124"/>
        <v>-0.10392699732601245</v>
      </c>
    </row>
    <row r="7452" spans="7:8" x14ac:dyDescent="0.35">
      <c r="G7452" s="215">
        <v>7445</v>
      </c>
      <c r="H7452" s="16">
        <f t="shared" ca="1" si="124"/>
        <v>-1.138497458302239E-2</v>
      </c>
    </row>
    <row r="7453" spans="7:8" x14ac:dyDescent="0.35">
      <c r="G7453" s="215">
        <v>7446</v>
      </c>
      <c r="H7453" s="16">
        <f t="shared" ca="1" si="124"/>
        <v>0.12733838294169395</v>
      </c>
    </row>
    <row r="7454" spans="7:8" x14ac:dyDescent="0.35">
      <c r="G7454" s="215">
        <v>7447</v>
      </c>
      <c r="H7454" s="16">
        <f t="shared" ca="1" si="124"/>
        <v>8.1723586691331646E-2</v>
      </c>
    </row>
    <row r="7455" spans="7:8" x14ac:dyDescent="0.35">
      <c r="G7455" s="215">
        <v>7448</v>
      </c>
      <c r="H7455" s="16">
        <f t="shared" ca="1" si="124"/>
        <v>0.11126816743355904</v>
      </c>
    </row>
    <row r="7456" spans="7:8" x14ac:dyDescent="0.35">
      <c r="G7456" s="215">
        <v>7449</v>
      </c>
      <c r="H7456" s="16">
        <f t="shared" ca="1" si="124"/>
        <v>4.5631422765926646E-3</v>
      </c>
    </row>
    <row r="7457" spans="7:8" x14ac:dyDescent="0.35">
      <c r="G7457" s="215">
        <v>7450</v>
      </c>
      <c r="H7457" s="16">
        <f t="shared" ca="1" si="124"/>
        <v>-1.6400574370474343E-2</v>
      </c>
    </row>
    <row r="7458" spans="7:8" x14ac:dyDescent="0.35">
      <c r="G7458" s="215">
        <v>7451</v>
      </c>
      <c r="H7458" s="16">
        <f t="shared" ca="1" si="124"/>
        <v>0.14366255233905073</v>
      </c>
    </row>
    <row r="7459" spans="7:8" x14ac:dyDescent="0.35">
      <c r="G7459" s="215">
        <v>7452</v>
      </c>
      <c r="H7459" s="16">
        <f t="shared" ca="1" si="124"/>
        <v>-3.4912426091659732E-3</v>
      </c>
    </row>
    <row r="7460" spans="7:8" x14ac:dyDescent="0.35">
      <c r="G7460" s="215">
        <v>7453</v>
      </c>
      <c r="H7460" s="16">
        <f t="shared" ca="1" si="124"/>
        <v>-7.142321822173664E-2</v>
      </c>
    </row>
    <row r="7461" spans="7:8" x14ac:dyDescent="0.35">
      <c r="G7461" s="215">
        <v>7454</v>
      </c>
      <c r="H7461" s="16">
        <f t="shared" ca="1" si="124"/>
        <v>0.11737250535857945</v>
      </c>
    </row>
    <row r="7462" spans="7:8" x14ac:dyDescent="0.35">
      <c r="G7462" s="215">
        <v>7455</v>
      </c>
      <c r="H7462" s="16">
        <f t="shared" ca="1" si="124"/>
        <v>0.1002559841815569</v>
      </c>
    </row>
    <row r="7463" spans="7:8" x14ac:dyDescent="0.35">
      <c r="G7463" s="215">
        <v>7456</v>
      </c>
      <c r="H7463" s="16">
        <f t="shared" ca="1" si="124"/>
        <v>4.4850368392229611E-2</v>
      </c>
    </row>
    <row r="7464" spans="7:8" x14ac:dyDescent="0.35">
      <c r="G7464" s="215">
        <v>7457</v>
      </c>
      <c r="H7464" s="16">
        <f t="shared" ca="1" si="124"/>
        <v>1.2642091444282225E-2</v>
      </c>
    </row>
    <row r="7465" spans="7:8" x14ac:dyDescent="0.35">
      <c r="G7465" s="215">
        <v>7458</v>
      </c>
      <c r="H7465" s="16">
        <f t="shared" ca="1" si="124"/>
        <v>-2.0834715417206617E-2</v>
      </c>
    </row>
    <row r="7466" spans="7:8" x14ac:dyDescent="0.35">
      <c r="G7466" s="215">
        <v>7459</v>
      </c>
      <c r="H7466" s="16">
        <f t="shared" ca="1" si="124"/>
        <v>7.7959362998516232E-2</v>
      </c>
    </row>
    <row r="7467" spans="7:8" x14ac:dyDescent="0.35">
      <c r="G7467" s="215">
        <v>7460</v>
      </c>
      <c r="H7467" s="16">
        <f t="shared" ca="1" si="124"/>
        <v>-4.9189526314127527E-2</v>
      </c>
    </row>
    <row r="7468" spans="7:8" x14ac:dyDescent="0.35">
      <c r="G7468" s="215">
        <v>7461</v>
      </c>
      <c r="H7468" s="16">
        <f t="shared" ca="1" si="124"/>
        <v>8.2622752475579292E-2</v>
      </c>
    </row>
    <row r="7469" spans="7:8" x14ac:dyDescent="0.35">
      <c r="G7469" s="215">
        <v>7462</v>
      </c>
      <c r="H7469" s="16">
        <f t="shared" ca="1" si="124"/>
        <v>0.11864297369319766</v>
      </c>
    </row>
    <row r="7470" spans="7:8" x14ac:dyDescent="0.35">
      <c r="G7470" s="215">
        <v>7463</v>
      </c>
      <c r="H7470" s="16">
        <f t="shared" ca="1" si="124"/>
        <v>1.4484731673611854E-2</v>
      </c>
    </row>
    <row r="7471" spans="7:8" x14ac:dyDescent="0.35">
      <c r="G7471" s="215">
        <v>7464</v>
      </c>
      <c r="H7471" s="16">
        <f t="shared" ca="1" si="124"/>
        <v>-0.15582837066711461</v>
      </c>
    </row>
    <row r="7472" spans="7:8" x14ac:dyDescent="0.35">
      <c r="G7472" s="215">
        <v>7465</v>
      </c>
      <c r="H7472" s="16">
        <f t="shared" ca="1" si="124"/>
        <v>6.1658083410287112E-2</v>
      </c>
    </row>
    <row r="7473" spans="7:8" x14ac:dyDescent="0.35">
      <c r="G7473" s="215">
        <v>7466</v>
      </c>
      <c r="H7473" s="16">
        <f t="shared" ca="1" si="124"/>
        <v>2.1250364667643323E-2</v>
      </c>
    </row>
    <row r="7474" spans="7:8" x14ac:dyDescent="0.35">
      <c r="G7474" s="215">
        <v>7467</v>
      </c>
      <c r="H7474" s="16">
        <f t="shared" ca="1" si="124"/>
        <v>0.13962619245512942</v>
      </c>
    </row>
    <row r="7475" spans="7:8" x14ac:dyDescent="0.35">
      <c r="G7475" s="215">
        <v>7468</v>
      </c>
      <c r="H7475" s="16">
        <f t="shared" ca="1" si="124"/>
        <v>4.1432520619962845E-2</v>
      </c>
    </row>
    <row r="7476" spans="7:8" x14ac:dyDescent="0.35">
      <c r="G7476" s="215">
        <v>7469</v>
      </c>
      <c r="H7476" s="16">
        <f t="shared" ca="1" si="124"/>
        <v>0.14492443626865781</v>
      </c>
    </row>
    <row r="7477" spans="7:8" x14ac:dyDescent="0.35">
      <c r="G7477" s="215">
        <v>7470</v>
      </c>
      <c r="H7477" s="16">
        <f t="shared" ca="1" si="124"/>
        <v>-3.811784709555243E-3</v>
      </c>
    </row>
    <row r="7478" spans="7:8" x14ac:dyDescent="0.35">
      <c r="G7478" s="215">
        <v>7471</v>
      </c>
      <c r="H7478" s="16">
        <f t="shared" ca="1" si="124"/>
        <v>8.6235559832403164E-2</v>
      </c>
    </row>
    <row r="7479" spans="7:8" x14ac:dyDescent="0.35">
      <c r="G7479" s="215">
        <v>7472</v>
      </c>
      <c r="H7479" s="16">
        <f t="shared" ca="1" si="124"/>
        <v>0.20968014378644062</v>
      </c>
    </row>
    <row r="7480" spans="7:8" x14ac:dyDescent="0.35">
      <c r="G7480" s="215">
        <v>7473</v>
      </c>
      <c r="H7480" s="16">
        <f t="shared" ca="1" si="124"/>
        <v>4.8538530149280701E-3</v>
      </c>
    </row>
    <row r="7481" spans="7:8" x14ac:dyDescent="0.35">
      <c r="G7481" s="215">
        <v>7474</v>
      </c>
      <c r="H7481" s="16">
        <f t="shared" ca="1" si="124"/>
        <v>-0.1091399053317387</v>
      </c>
    </row>
    <row r="7482" spans="7:8" x14ac:dyDescent="0.35">
      <c r="G7482" s="215">
        <v>7475</v>
      </c>
      <c r="H7482" s="16">
        <f t="shared" ca="1" si="124"/>
        <v>4.473383629179542E-2</v>
      </c>
    </row>
    <row r="7483" spans="7:8" x14ac:dyDescent="0.35">
      <c r="G7483" s="215">
        <v>7476</v>
      </c>
      <c r="H7483" s="16">
        <f t="shared" ca="1" si="124"/>
        <v>3.3357081608540885E-3</v>
      </c>
    </row>
    <row r="7484" spans="7:8" x14ac:dyDescent="0.35">
      <c r="G7484" s="215">
        <v>7477</v>
      </c>
      <c r="H7484" s="16">
        <f t="shared" ca="1" si="124"/>
        <v>-1.6348063315446668E-2</v>
      </c>
    </row>
    <row r="7485" spans="7:8" x14ac:dyDescent="0.35">
      <c r="G7485" s="215">
        <v>7478</v>
      </c>
      <c r="H7485" s="16">
        <f t="shared" ca="1" si="124"/>
        <v>-1.0193353374753425E-5</v>
      </c>
    </row>
    <row r="7486" spans="7:8" x14ac:dyDescent="0.35">
      <c r="G7486" s="215">
        <v>7479</v>
      </c>
      <c r="H7486" s="16">
        <f t="shared" ca="1" si="124"/>
        <v>1.0815953485566687E-2</v>
      </c>
    </row>
    <row r="7487" spans="7:8" x14ac:dyDescent="0.35">
      <c r="G7487" s="215">
        <v>7480</v>
      </c>
      <c r="H7487" s="16">
        <f t="shared" ca="1" si="124"/>
        <v>-1.7957154404623955E-2</v>
      </c>
    </row>
    <row r="7488" spans="7:8" x14ac:dyDescent="0.35">
      <c r="G7488" s="215">
        <v>7481</v>
      </c>
      <c r="H7488" s="16">
        <f t="shared" ca="1" si="124"/>
        <v>4.9562860399919931E-2</v>
      </c>
    </row>
    <row r="7489" spans="7:8" x14ac:dyDescent="0.35">
      <c r="G7489" s="215">
        <v>7482</v>
      </c>
      <c r="H7489" s="16">
        <f t="shared" ca="1" si="124"/>
        <v>9.6964447247234922E-2</v>
      </c>
    </row>
    <row r="7490" spans="7:8" x14ac:dyDescent="0.35">
      <c r="G7490" s="215">
        <v>7483</v>
      </c>
      <c r="H7490" s="16">
        <f t="shared" ca="1" si="124"/>
        <v>0.16693098576871318</v>
      </c>
    </row>
    <row r="7491" spans="7:8" x14ac:dyDescent="0.35">
      <c r="G7491" s="215">
        <v>7484</v>
      </c>
      <c r="H7491" s="16">
        <f t="shared" ca="1" si="124"/>
        <v>-0.16474413741662569</v>
      </c>
    </row>
    <row r="7492" spans="7:8" x14ac:dyDescent="0.35">
      <c r="G7492" s="215">
        <v>7485</v>
      </c>
      <c r="H7492" s="16">
        <f t="shared" ca="1" si="124"/>
        <v>-0.11745166468910406</v>
      </c>
    </row>
    <row r="7493" spans="7:8" x14ac:dyDescent="0.35">
      <c r="G7493" s="215">
        <v>7486</v>
      </c>
      <c r="H7493" s="16">
        <f t="shared" ca="1" si="124"/>
        <v>-7.7371813890496341E-2</v>
      </c>
    </row>
    <row r="7494" spans="7:8" x14ac:dyDescent="0.35">
      <c r="G7494" s="215">
        <v>7487</v>
      </c>
      <c r="H7494" s="16">
        <f t="shared" ca="1" si="124"/>
        <v>1.6334929941156123E-2</v>
      </c>
    </row>
    <row r="7495" spans="7:8" x14ac:dyDescent="0.35">
      <c r="G7495" s="215">
        <v>7488</v>
      </c>
      <c r="H7495" s="16">
        <f t="shared" ca="1" si="124"/>
        <v>-3.2171787024990378E-2</v>
      </c>
    </row>
    <row r="7496" spans="7:8" x14ac:dyDescent="0.35">
      <c r="G7496" s="215">
        <v>7489</v>
      </c>
      <c r="H7496" s="16">
        <f t="shared" ref="H7496:H7559" ca="1" si="125">_xlfn.NORM.INV(RAND(),M$10,M$11)</f>
        <v>7.6103657708010905E-2</v>
      </c>
    </row>
    <row r="7497" spans="7:8" x14ac:dyDescent="0.35">
      <c r="G7497" s="215">
        <v>7490</v>
      </c>
      <c r="H7497" s="16">
        <f t="shared" ca="1" si="125"/>
        <v>-7.4216386793224981E-2</v>
      </c>
    </row>
    <row r="7498" spans="7:8" x14ac:dyDescent="0.35">
      <c r="G7498" s="215">
        <v>7491</v>
      </c>
      <c r="H7498" s="16">
        <f t="shared" ca="1" si="125"/>
        <v>4.5819491845720942E-2</v>
      </c>
    </row>
    <row r="7499" spans="7:8" x14ac:dyDescent="0.35">
      <c r="G7499" s="215">
        <v>7492</v>
      </c>
      <c r="H7499" s="16">
        <f t="shared" ca="1" si="125"/>
        <v>-2.1103159008853591E-2</v>
      </c>
    </row>
    <row r="7500" spans="7:8" x14ac:dyDescent="0.35">
      <c r="G7500" s="215">
        <v>7493</v>
      </c>
      <c r="H7500" s="16">
        <f t="shared" ca="1" si="125"/>
        <v>7.3875190999947715E-2</v>
      </c>
    </row>
    <row r="7501" spans="7:8" x14ac:dyDescent="0.35">
      <c r="G7501" s="215">
        <v>7494</v>
      </c>
      <c r="H7501" s="16">
        <f t="shared" ca="1" si="125"/>
        <v>2.7181523889945644E-2</v>
      </c>
    </row>
    <row r="7502" spans="7:8" x14ac:dyDescent="0.35">
      <c r="G7502" s="215">
        <v>7495</v>
      </c>
      <c r="H7502" s="16">
        <f t="shared" ca="1" si="125"/>
        <v>-7.9772629932443662E-2</v>
      </c>
    </row>
    <row r="7503" spans="7:8" x14ac:dyDescent="0.35">
      <c r="G7503" s="215">
        <v>7496</v>
      </c>
      <c r="H7503" s="16">
        <f t="shared" ca="1" si="125"/>
        <v>3.3875802993913601E-2</v>
      </c>
    </row>
    <row r="7504" spans="7:8" x14ac:dyDescent="0.35">
      <c r="G7504" s="215">
        <v>7497</v>
      </c>
      <c r="H7504" s="16">
        <f t="shared" ca="1" si="125"/>
        <v>4.432344080021472E-2</v>
      </c>
    </row>
    <row r="7505" spans="7:8" x14ac:dyDescent="0.35">
      <c r="G7505" s="215">
        <v>7498</v>
      </c>
      <c r="H7505" s="16">
        <f t="shared" ca="1" si="125"/>
        <v>-7.5400033214430173E-2</v>
      </c>
    </row>
    <row r="7506" spans="7:8" x14ac:dyDescent="0.35">
      <c r="G7506" s="215">
        <v>7499</v>
      </c>
      <c r="H7506" s="16">
        <f t="shared" ca="1" si="125"/>
        <v>-0.19491363891818725</v>
      </c>
    </row>
    <row r="7507" spans="7:8" x14ac:dyDescent="0.35">
      <c r="G7507" s="215">
        <v>7500</v>
      </c>
      <c r="H7507" s="16">
        <f t="shared" ca="1" si="125"/>
        <v>2.7326692317577429E-2</v>
      </c>
    </row>
    <row r="7508" spans="7:8" x14ac:dyDescent="0.35">
      <c r="G7508" s="215">
        <v>7501</v>
      </c>
      <c r="H7508" s="16">
        <f t="shared" ca="1" si="125"/>
        <v>-0.1031473519355333</v>
      </c>
    </row>
    <row r="7509" spans="7:8" x14ac:dyDescent="0.35">
      <c r="G7509" s="215">
        <v>7502</v>
      </c>
      <c r="H7509" s="16">
        <f t="shared" ca="1" si="125"/>
        <v>-1.4900217054765286E-2</v>
      </c>
    </row>
    <row r="7510" spans="7:8" x14ac:dyDescent="0.35">
      <c r="G7510" s="215">
        <v>7503</v>
      </c>
      <c r="H7510" s="16">
        <f t="shared" ca="1" si="125"/>
        <v>-3.7966033919041353E-2</v>
      </c>
    </row>
    <row r="7511" spans="7:8" x14ac:dyDescent="0.35">
      <c r="G7511" s="215">
        <v>7504</v>
      </c>
      <c r="H7511" s="16">
        <f t="shared" ca="1" si="125"/>
        <v>3.8071878221386218E-2</v>
      </c>
    </row>
    <row r="7512" spans="7:8" x14ac:dyDescent="0.35">
      <c r="G7512" s="215">
        <v>7505</v>
      </c>
      <c r="H7512" s="16">
        <f t="shared" ca="1" si="125"/>
        <v>-0.12538738599046989</v>
      </c>
    </row>
    <row r="7513" spans="7:8" x14ac:dyDescent="0.35">
      <c r="G7513" s="215">
        <v>7506</v>
      </c>
      <c r="H7513" s="16">
        <f t="shared" ca="1" si="125"/>
        <v>2.5732056391681545E-3</v>
      </c>
    </row>
    <row r="7514" spans="7:8" x14ac:dyDescent="0.35">
      <c r="G7514" s="215">
        <v>7507</v>
      </c>
      <c r="H7514" s="16">
        <f t="shared" ca="1" si="125"/>
        <v>5.6599771074253041E-2</v>
      </c>
    </row>
    <row r="7515" spans="7:8" x14ac:dyDescent="0.35">
      <c r="G7515" s="215">
        <v>7508</v>
      </c>
      <c r="H7515" s="16">
        <f t="shared" ca="1" si="125"/>
        <v>4.6202541573705916E-2</v>
      </c>
    </row>
    <row r="7516" spans="7:8" x14ac:dyDescent="0.35">
      <c r="G7516" s="215">
        <v>7509</v>
      </c>
      <c r="H7516" s="16">
        <f t="shared" ca="1" si="125"/>
        <v>-0.10314138302601969</v>
      </c>
    </row>
    <row r="7517" spans="7:8" x14ac:dyDescent="0.35">
      <c r="G7517" s="215">
        <v>7510</v>
      </c>
      <c r="H7517" s="16">
        <f t="shared" ca="1" si="125"/>
        <v>-4.2250796302232163E-2</v>
      </c>
    </row>
    <row r="7518" spans="7:8" x14ac:dyDescent="0.35">
      <c r="G7518" s="215">
        <v>7511</v>
      </c>
      <c r="H7518" s="16">
        <f t="shared" ca="1" si="125"/>
        <v>-6.5060002919629073E-2</v>
      </c>
    </row>
    <row r="7519" spans="7:8" x14ac:dyDescent="0.35">
      <c r="G7519" s="215">
        <v>7512</v>
      </c>
      <c r="H7519" s="16">
        <f t="shared" ca="1" si="125"/>
        <v>0.14030552355921636</v>
      </c>
    </row>
    <row r="7520" spans="7:8" x14ac:dyDescent="0.35">
      <c r="G7520" s="215">
        <v>7513</v>
      </c>
      <c r="H7520" s="16">
        <f t="shared" ca="1" si="125"/>
        <v>6.4786794594920887E-3</v>
      </c>
    </row>
    <row r="7521" spans="7:8" x14ac:dyDescent="0.35">
      <c r="G7521" s="215">
        <v>7514</v>
      </c>
      <c r="H7521" s="16">
        <f t="shared" ca="1" si="125"/>
        <v>7.7998298262516627E-2</v>
      </c>
    </row>
    <row r="7522" spans="7:8" x14ac:dyDescent="0.35">
      <c r="G7522" s="215">
        <v>7515</v>
      </c>
      <c r="H7522" s="16">
        <f t="shared" ca="1" si="125"/>
        <v>2.8714522859701653E-2</v>
      </c>
    </row>
    <row r="7523" spans="7:8" x14ac:dyDescent="0.35">
      <c r="G7523" s="215">
        <v>7516</v>
      </c>
      <c r="H7523" s="16">
        <f t="shared" ca="1" si="125"/>
        <v>7.8251915633000269E-3</v>
      </c>
    </row>
    <row r="7524" spans="7:8" x14ac:dyDescent="0.35">
      <c r="G7524" s="215">
        <v>7517</v>
      </c>
      <c r="H7524" s="16">
        <f t="shared" ca="1" si="125"/>
        <v>1.9827655765020887E-2</v>
      </c>
    </row>
    <row r="7525" spans="7:8" x14ac:dyDescent="0.35">
      <c r="G7525" s="215">
        <v>7518</v>
      </c>
      <c r="H7525" s="16">
        <f t="shared" ca="1" si="125"/>
        <v>-4.2058968567119021E-2</v>
      </c>
    </row>
    <row r="7526" spans="7:8" x14ac:dyDescent="0.35">
      <c r="G7526" s="215">
        <v>7519</v>
      </c>
      <c r="H7526" s="16">
        <f t="shared" ca="1" si="125"/>
        <v>5.2996827687479195E-2</v>
      </c>
    </row>
    <row r="7527" spans="7:8" x14ac:dyDescent="0.35">
      <c r="G7527" s="215">
        <v>7520</v>
      </c>
      <c r="H7527" s="16">
        <f t="shared" ca="1" si="125"/>
        <v>0.10043487309273394</v>
      </c>
    </row>
    <row r="7528" spans="7:8" x14ac:dyDescent="0.35">
      <c r="G7528" s="215">
        <v>7521</v>
      </c>
      <c r="H7528" s="16">
        <f t="shared" ca="1" si="125"/>
        <v>-5.0005333519221075E-3</v>
      </c>
    </row>
    <row r="7529" spans="7:8" x14ac:dyDescent="0.35">
      <c r="G7529" s="215">
        <v>7522</v>
      </c>
      <c r="H7529" s="16">
        <f t="shared" ca="1" si="125"/>
        <v>-0.10528452050458693</v>
      </c>
    </row>
    <row r="7530" spans="7:8" x14ac:dyDescent="0.35">
      <c r="G7530" s="215">
        <v>7523</v>
      </c>
      <c r="H7530" s="16">
        <f t="shared" ca="1" si="125"/>
        <v>9.3911182623700379E-2</v>
      </c>
    </row>
    <row r="7531" spans="7:8" x14ac:dyDescent="0.35">
      <c r="G7531" s="215">
        <v>7524</v>
      </c>
      <c r="H7531" s="16">
        <f t="shared" ca="1" si="125"/>
        <v>-7.4398432547756521E-2</v>
      </c>
    </row>
    <row r="7532" spans="7:8" x14ac:dyDescent="0.35">
      <c r="G7532" s="215">
        <v>7525</v>
      </c>
      <c r="H7532" s="16">
        <f t="shared" ca="1" si="125"/>
        <v>2.3208963162033844E-2</v>
      </c>
    </row>
    <row r="7533" spans="7:8" x14ac:dyDescent="0.35">
      <c r="G7533" s="215">
        <v>7526</v>
      </c>
      <c r="H7533" s="16">
        <f t="shared" ca="1" si="125"/>
        <v>-4.2345876276354832E-4</v>
      </c>
    </row>
    <row r="7534" spans="7:8" x14ac:dyDescent="0.35">
      <c r="G7534" s="215">
        <v>7527</v>
      </c>
      <c r="H7534" s="16">
        <f t="shared" ca="1" si="125"/>
        <v>8.4822332828994637E-2</v>
      </c>
    </row>
    <row r="7535" spans="7:8" x14ac:dyDescent="0.35">
      <c r="G7535" s="215">
        <v>7528</v>
      </c>
      <c r="H7535" s="16">
        <f t="shared" ca="1" si="125"/>
        <v>0.32165114070873152</v>
      </c>
    </row>
    <row r="7536" spans="7:8" x14ac:dyDescent="0.35">
      <c r="G7536" s="215">
        <v>7529</v>
      </c>
      <c r="H7536" s="16">
        <f t="shared" ca="1" si="125"/>
        <v>9.4544954748395041E-2</v>
      </c>
    </row>
    <row r="7537" spans="7:8" x14ac:dyDescent="0.35">
      <c r="G7537" s="215">
        <v>7530</v>
      </c>
      <c r="H7537" s="16">
        <f t="shared" ca="1" si="125"/>
        <v>3.8714564456404678E-2</v>
      </c>
    </row>
    <row r="7538" spans="7:8" x14ac:dyDescent="0.35">
      <c r="G7538" s="215">
        <v>7531</v>
      </c>
      <c r="H7538" s="16">
        <f t="shared" ca="1" si="125"/>
        <v>0.18954570777446514</v>
      </c>
    </row>
    <row r="7539" spans="7:8" x14ac:dyDescent="0.35">
      <c r="G7539" s="215">
        <v>7532</v>
      </c>
      <c r="H7539" s="16">
        <f t="shared" ca="1" si="125"/>
        <v>3.9041536900415626E-2</v>
      </c>
    </row>
    <row r="7540" spans="7:8" x14ac:dyDescent="0.35">
      <c r="G7540" s="215">
        <v>7533</v>
      </c>
      <c r="H7540" s="16">
        <f t="shared" ca="1" si="125"/>
        <v>8.5421820384516886E-2</v>
      </c>
    </row>
    <row r="7541" spans="7:8" x14ac:dyDescent="0.35">
      <c r="G7541" s="215">
        <v>7534</v>
      </c>
      <c r="H7541" s="16">
        <f t="shared" ca="1" si="125"/>
        <v>0.10349412785334454</v>
      </c>
    </row>
    <row r="7542" spans="7:8" x14ac:dyDescent="0.35">
      <c r="G7542" s="215">
        <v>7535</v>
      </c>
      <c r="H7542" s="16">
        <f t="shared" ca="1" si="125"/>
        <v>7.9598263785742307E-2</v>
      </c>
    </row>
    <row r="7543" spans="7:8" x14ac:dyDescent="0.35">
      <c r="G7543" s="215">
        <v>7536</v>
      </c>
      <c r="H7543" s="16">
        <f t="shared" ca="1" si="125"/>
        <v>8.1603714111095155E-2</v>
      </c>
    </row>
    <row r="7544" spans="7:8" x14ac:dyDescent="0.35">
      <c r="G7544" s="215">
        <v>7537</v>
      </c>
      <c r="H7544" s="16">
        <f t="shared" ca="1" si="125"/>
        <v>-8.9767980858703432E-3</v>
      </c>
    </row>
    <row r="7545" spans="7:8" x14ac:dyDescent="0.35">
      <c r="G7545" s="215">
        <v>7538</v>
      </c>
      <c r="H7545" s="16">
        <f t="shared" ca="1" si="125"/>
        <v>-1.1334732909434309E-2</v>
      </c>
    </row>
    <row r="7546" spans="7:8" x14ac:dyDescent="0.35">
      <c r="G7546" s="215">
        <v>7539</v>
      </c>
      <c r="H7546" s="16">
        <f t="shared" ca="1" si="125"/>
        <v>-4.3965863871946259E-2</v>
      </c>
    </row>
    <row r="7547" spans="7:8" x14ac:dyDescent="0.35">
      <c r="G7547" s="215">
        <v>7540</v>
      </c>
      <c r="H7547" s="16">
        <f t="shared" ca="1" si="125"/>
        <v>0.1211428669193686</v>
      </c>
    </row>
    <row r="7548" spans="7:8" x14ac:dyDescent="0.35">
      <c r="G7548" s="215">
        <v>7541</v>
      </c>
      <c r="H7548" s="16">
        <f t="shared" ca="1" si="125"/>
        <v>-0.11525720086389041</v>
      </c>
    </row>
    <row r="7549" spans="7:8" x14ac:dyDescent="0.35">
      <c r="G7549" s="215">
        <v>7542</v>
      </c>
      <c r="H7549" s="16">
        <f t="shared" ca="1" si="125"/>
        <v>-1.8576501592796606E-2</v>
      </c>
    </row>
    <row r="7550" spans="7:8" x14ac:dyDescent="0.35">
      <c r="G7550" s="215">
        <v>7543</v>
      </c>
      <c r="H7550" s="16">
        <f t="shared" ca="1" si="125"/>
        <v>3.2761296488512864E-2</v>
      </c>
    </row>
    <row r="7551" spans="7:8" x14ac:dyDescent="0.35">
      <c r="G7551" s="215">
        <v>7544</v>
      </c>
      <c r="H7551" s="16">
        <f t="shared" ca="1" si="125"/>
        <v>3.8244169717885787E-2</v>
      </c>
    </row>
    <row r="7552" spans="7:8" x14ac:dyDescent="0.35">
      <c r="G7552" s="215">
        <v>7545</v>
      </c>
      <c r="H7552" s="16">
        <f t="shared" ca="1" si="125"/>
        <v>-3.4988720845265317E-2</v>
      </c>
    </row>
    <row r="7553" spans="7:8" x14ac:dyDescent="0.35">
      <c r="G7553" s="215">
        <v>7546</v>
      </c>
      <c r="H7553" s="16">
        <f t="shared" ca="1" si="125"/>
        <v>0.13807721753936048</v>
      </c>
    </row>
    <row r="7554" spans="7:8" x14ac:dyDescent="0.35">
      <c r="G7554" s="215">
        <v>7547</v>
      </c>
      <c r="H7554" s="16">
        <f t="shared" ca="1" si="125"/>
        <v>-8.5430049109845349E-2</v>
      </c>
    </row>
    <row r="7555" spans="7:8" x14ac:dyDescent="0.35">
      <c r="G7555" s="215">
        <v>7548</v>
      </c>
      <c r="H7555" s="16">
        <f t="shared" ca="1" si="125"/>
        <v>0.14384242776854958</v>
      </c>
    </row>
    <row r="7556" spans="7:8" x14ac:dyDescent="0.35">
      <c r="G7556" s="215">
        <v>7549</v>
      </c>
      <c r="H7556" s="16">
        <f t="shared" ca="1" si="125"/>
        <v>-9.9944460777488184E-2</v>
      </c>
    </row>
    <row r="7557" spans="7:8" x14ac:dyDescent="0.35">
      <c r="G7557" s="215">
        <v>7550</v>
      </c>
      <c r="H7557" s="16">
        <f t="shared" ca="1" si="125"/>
        <v>9.0858238871173627E-2</v>
      </c>
    </row>
    <row r="7558" spans="7:8" x14ac:dyDescent="0.35">
      <c r="G7558" s="215">
        <v>7551</v>
      </c>
      <c r="H7558" s="16">
        <f t="shared" ca="1" si="125"/>
        <v>1.0720865107131487E-3</v>
      </c>
    </row>
    <row r="7559" spans="7:8" x14ac:dyDescent="0.35">
      <c r="G7559" s="215">
        <v>7552</v>
      </c>
      <c r="H7559" s="16">
        <f t="shared" ca="1" si="125"/>
        <v>5.8913270866250783E-2</v>
      </c>
    </row>
    <row r="7560" spans="7:8" x14ac:dyDescent="0.35">
      <c r="G7560" s="215">
        <v>7553</v>
      </c>
      <c r="H7560" s="16">
        <f t="shared" ref="H7560:H7623" ca="1" si="126">_xlfn.NORM.INV(RAND(),M$10,M$11)</f>
        <v>0.10316081902066808</v>
      </c>
    </row>
    <row r="7561" spans="7:8" x14ac:dyDescent="0.35">
      <c r="G7561" s="215">
        <v>7554</v>
      </c>
      <c r="H7561" s="16">
        <f t="shared" ca="1" si="126"/>
        <v>4.3853194606271365E-2</v>
      </c>
    </row>
    <row r="7562" spans="7:8" x14ac:dyDescent="0.35">
      <c r="G7562" s="215">
        <v>7555</v>
      </c>
      <c r="H7562" s="16">
        <f t="shared" ca="1" si="126"/>
        <v>7.2343808056521186E-2</v>
      </c>
    </row>
    <row r="7563" spans="7:8" x14ac:dyDescent="0.35">
      <c r="G7563" s="215">
        <v>7556</v>
      </c>
      <c r="H7563" s="16">
        <f t="shared" ca="1" si="126"/>
        <v>-1.2688246348057937E-2</v>
      </c>
    </row>
    <row r="7564" spans="7:8" x14ac:dyDescent="0.35">
      <c r="G7564" s="215">
        <v>7557</v>
      </c>
      <c r="H7564" s="16">
        <f t="shared" ca="1" si="126"/>
        <v>1.8335668473418651E-2</v>
      </c>
    </row>
    <row r="7565" spans="7:8" x14ac:dyDescent="0.35">
      <c r="G7565" s="215">
        <v>7558</v>
      </c>
      <c r="H7565" s="16">
        <f t="shared" ca="1" si="126"/>
        <v>-7.9165532055145107E-2</v>
      </c>
    </row>
    <row r="7566" spans="7:8" x14ac:dyDescent="0.35">
      <c r="G7566" s="215">
        <v>7559</v>
      </c>
      <c r="H7566" s="16">
        <f t="shared" ca="1" si="126"/>
        <v>7.4144252046970185E-2</v>
      </c>
    </row>
    <row r="7567" spans="7:8" x14ac:dyDescent="0.35">
      <c r="G7567" s="215">
        <v>7560</v>
      </c>
      <c r="H7567" s="16">
        <f t="shared" ca="1" si="126"/>
        <v>5.7489611778264615E-2</v>
      </c>
    </row>
    <row r="7568" spans="7:8" x14ac:dyDescent="0.35">
      <c r="G7568" s="215">
        <v>7561</v>
      </c>
      <c r="H7568" s="16">
        <f t="shared" ca="1" si="126"/>
        <v>1.0709993783740135E-2</v>
      </c>
    </row>
    <row r="7569" spans="7:8" x14ac:dyDescent="0.35">
      <c r="G7569" s="215">
        <v>7562</v>
      </c>
      <c r="H7569" s="16">
        <f t="shared" ca="1" si="126"/>
        <v>9.0519394824352478E-2</v>
      </c>
    </row>
    <row r="7570" spans="7:8" x14ac:dyDescent="0.35">
      <c r="G7570" s="215">
        <v>7563</v>
      </c>
      <c r="H7570" s="16">
        <f t="shared" ca="1" si="126"/>
        <v>-1.5919364199229413E-2</v>
      </c>
    </row>
    <row r="7571" spans="7:8" x14ac:dyDescent="0.35">
      <c r="G7571" s="215">
        <v>7564</v>
      </c>
      <c r="H7571" s="16">
        <f t="shared" ca="1" si="126"/>
        <v>-2.1872810808890208E-2</v>
      </c>
    </row>
    <row r="7572" spans="7:8" x14ac:dyDescent="0.35">
      <c r="G7572" s="215">
        <v>7565</v>
      </c>
      <c r="H7572" s="16">
        <f t="shared" ca="1" si="126"/>
        <v>-1.7783871466117002E-2</v>
      </c>
    </row>
    <row r="7573" spans="7:8" x14ac:dyDescent="0.35">
      <c r="G7573" s="215">
        <v>7566</v>
      </c>
      <c r="H7573" s="16">
        <f t="shared" ca="1" si="126"/>
        <v>-6.7889056038525047E-2</v>
      </c>
    </row>
    <row r="7574" spans="7:8" x14ac:dyDescent="0.35">
      <c r="G7574" s="215">
        <v>7567</v>
      </c>
      <c r="H7574" s="16">
        <f t="shared" ca="1" si="126"/>
        <v>-3.9852079046548472E-2</v>
      </c>
    </row>
    <row r="7575" spans="7:8" x14ac:dyDescent="0.35">
      <c r="G7575" s="215">
        <v>7568</v>
      </c>
      <c r="H7575" s="16">
        <f t="shared" ca="1" si="126"/>
        <v>0.10194014226889395</v>
      </c>
    </row>
    <row r="7576" spans="7:8" x14ac:dyDescent="0.35">
      <c r="G7576" s="215">
        <v>7569</v>
      </c>
      <c r="H7576" s="16">
        <f t="shared" ca="1" si="126"/>
        <v>-5.0091088862286942E-2</v>
      </c>
    </row>
    <row r="7577" spans="7:8" x14ac:dyDescent="0.35">
      <c r="G7577" s="215">
        <v>7570</v>
      </c>
      <c r="H7577" s="16">
        <f t="shared" ca="1" si="126"/>
        <v>2.5904945061982137E-2</v>
      </c>
    </row>
    <row r="7578" spans="7:8" x14ac:dyDescent="0.35">
      <c r="G7578" s="215">
        <v>7571</v>
      </c>
      <c r="H7578" s="16">
        <f t="shared" ca="1" si="126"/>
        <v>2.9295921363397873E-2</v>
      </c>
    </row>
    <row r="7579" spans="7:8" x14ac:dyDescent="0.35">
      <c r="G7579" s="215">
        <v>7572</v>
      </c>
      <c r="H7579" s="16">
        <f t="shared" ca="1" si="126"/>
        <v>-0.14044356060828886</v>
      </c>
    </row>
    <row r="7580" spans="7:8" x14ac:dyDescent="0.35">
      <c r="G7580" s="215">
        <v>7573</v>
      </c>
      <c r="H7580" s="16">
        <f t="shared" ca="1" si="126"/>
        <v>2.8282706575361236E-2</v>
      </c>
    </row>
    <row r="7581" spans="7:8" x14ac:dyDescent="0.35">
      <c r="G7581" s="215">
        <v>7574</v>
      </c>
      <c r="H7581" s="16">
        <f t="shared" ca="1" si="126"/>
        <v>-2.4649351268210527E-2</v>
      </c>
    </row>
    <row r="7582" spans="7:8" x14ac:dyDescent="0.35">
      <c r="G7582" s="215">
        <v>7575</v>
      </c>
      <c r="H7582" s="16">
        <f t="shared" ca="1" si="126"/>
        <v>-0.13741806324938846</v>
      </c>
    </row>
    <row r="7583" spans="7:8" x14ac:dyDescent="0.35">
      <c r="G7583" s="215">
        <v>7576</v>
      </c>
      <c r="H7583" s="16">
        <f t="shared" ca="1" si="126"/>
        <v>-2.5425720848236983E-2</v>
      </c>
    </row>
    <row r="7584" spans="7:8" x14ac:dyDescent="0.35">
      <c r="G7584" s="215">
        <v>7577</v>
      </c>
      <c r="H7584" s="16">
        <f t="shared" ca="1" si="126"/>
        <v>-3.3385312795119748E-2</v>
      </c>
    </row>
    <row r="7585" spans="7:8" x14ac:dyDescent="0.35">
      <c r="G7585" s="215">
        <v>7578</v>
      </c>
      <c r="H7585" s="16">
        <f t="shared" ca="1" si="126"/>
        <v>1.1917017764543273E-2</v>
      </c>
    </row>
    <row r="7586" spans="7:8" x14ac:dyDescent="0.35">
      <c r="G7586" s="215">
        <v>7579</v>
      </c>
      <c r="H7586" s="16">
        <f t="shared" ca="1" si="126"/>
        <v>2.8315893112263079E-2</v>
      </c>
    </row>
    <row r="7587" spans="7:8" x14ac:dyDescent="0.35">
      <c r="G7587" s="215">
        <v>7580</v>
      </c>
      <c r="H7587" s="16">
        <f t="shared" ca="1" si="126"/>
        <v>3.4012929068759107E-2</v>
      </c>
    </row>
    <row r="7588" spans="7:8" x14ac:dyDescent="0.35">
      <c r="G7588" s="215">
        <v>7581</v>
      </c>
      <c r="H7588" s="16">
        <f t="shared" ca="1" si="126"/>
        <v>5.1364578577552805E-2</v>
      </c>
    </row>
    <row r="7589" spans="7:8" x14ac:dyDescent="0.35">
      <c r="G7589" s="215">
        <v>7582</v>
      </c>
      <c r="H7589" s="16">
        <f t="shared" ca="1" si="126"/>
        <v>4.4578384555164427E-2</v>
      </c>
    </row>
    <row r="7590" spans="7:8" x14ac:dyDescent="0.35">
      <c r="G7590" s="215">
        <v>7583</v>
      </c>
      <c r="H7590" s="16">
        <f t="shared" ca="1" si="126"/>
        <v>-8.7519950388720291E-6</v>
      </c>
    </row>
    <row r="7591" spans="7:8" x14ac:dyDescent="0.35">
      <c r="G7591" s="215">
        <v>7584</v>
      </c>
      <c r="H7591" s="16">
        <f t="shared" ca="1" si="126"/>
        <v>0.10669174671274195</v>
      </c>
    </row>
    <row r="7592" spans="7:8" x14ac:dyDescent="0.35">
      <c r="G7592" s="215">
        <v>7585</v>
      </c>
      <c r="H7592" s="16">
        <f t="shared" ca="1" si="126"/>
        <v>-9.0878124749339526E-2</v>
      </c>
    </row>
    <row r="7593" spans="7:8" x14ac:dyDescent="0.35">
      <c r="G7593" s="215">
        <v>7586</v>
      </c>
      <c r="H7593" s="16">
        <f t="shared" ca="1" si="126"/>
        <v>6.2316730921423549E-2</v>
      </c>
    </row>
    <row r="7594" spans="7:8" x14ac:dyDescent="0.35">
      <c r="G7594" s="215">
        <v>7587</v>
      </c>
      <c r="H7594" s="16">
        <f t="shared" ca="1" si="126"/>
        <v>-1.1499588764048801E-2</v>
      </c>
    </row>
    <row r="7595" spans="7:8" x14ac:dyDescent="0.35">
      <c r="G7595" s="215">
        <v>7588</v>
      </c>
      <c r="H7595" s="16">
        <f t="shared" ca="1" si="126"/>
        <v>-0.12613266966351666</v>
      </c>
    </row>
    <row r="7596" spans="7:8" x14ac:dyDescent="0.35">
      <c r="G7596" s="215">
        <v>7589</v>
      </c>
      <c r="H7596" s="16">
        <f t="shared" ca="1" si="126"/>
        <v>4.0320024367681718E-3</v>
      </c>
    </row>
    <row r="7597" spans="7:8" x14ac:dyDescent="0.35">
      <c r="G7597" s="215">
        <v>7590</v>
      </c>
      <c r="H7597" s="16">
        <f t="shared" ca="1" si="126"/>
        <v>-5.2948160504886349E-3</v>
      </c>
    </row>
    <row r="7598" spans="7:8" x14ac:dyDescent="0.35">
      <c r="G7598" s="215">
        <v>7591</v>
      </c>
      <c r="H7598" s="16">
        <f t="shared" ca="1" si="126"/>
        <v>0.14171198324734297</v>
      </c>
    </row>
    <row r="7599" spans="7:8" x14ac:dyDescent="0.35">
      <c r="G7599" s="215">
        <v>7592</v>
      </c>
      <c r="H7599" s="16">
        <f t="shared" ca="1" si="126"/>
        <v>0.11092546875101443</v>
      </c>
    </row>
    <row r="7600" spans="7:8" x14ac:dyDescent="0.35">
      <c r="G7600" s="215">
        <v>7593</v>
      </c>
      <c r="H7600" s="16">
        <f t="shared" ca="1" si="126"/>
        <v>-1.2218949876769521E-2</v>
      </c>
    </row>
    <row r="7601" spans="7:8" x14ac:dyDescent="0.35">
      <c r="G7601" s="215">
        <v>7594</v>
      </c>
      <c r="H7601" s="16">
        <f t="shared" ca="1" si="126"/>
        <v>-8.7459643149883484E-2</v>
      </c>
    </row>
    <row r="7602" spans="7:8" x14ac:dyDescent="0.35">
      <c r="G7602" s="215">
        <v>7595</v>
      </c>
      <c r="H7602" s="16">
        <f t="shared" ca="1" si="126"/>
        <v>3.0034292399663123E-2</v>
      </c>
    </row>
    <row r="7603" spans="7:8" x14ac:dyDescent="0.35">
      <c r="G7603" s="215">
        <v>7596</v>
      </c>
      <c r="H7603" s="16">
        <f t="shared" ca="1" si="126"/>
        <v>7.4573559795971564E-2</v>
      </c>
    </row>
    <row r="7604" spans="7:8" x14ac:dyDescent="0.35">
      <c r="G7604" s="215">
        <v>7597</v>
      </c>
      <c r="H7604" s="16">
        <f t="shared" ca="1" si="126"/>
        <v>-8.0614956626774009E-5</v>
      </c>
    </row>
    <row r="7605" spans="7:8" x14ac:dyDescent="0.35">
      <c r="G7605" s="215">
        <v>7598</v>
      </c>
      <c r="H7605" s="16">
        <f t="shared" ca="1" si="126"/>
        <v>0.13154404990090676</v>
      </c>
    </row>
    <row r="7606" spans="7:8" x14ac:dyDescent="0.35">
      <c r="G7606" s="215">
        <v>7599</v>
      </c>
      <c r="H7606" s="16">
        <f t="shared" ca="1" si="126"/>
        <v>4.0011406101082864E-2</v>
      </c>
    </row>
    <row r="7607" spans="7:8" x14ac:dyDescent="0.35">
      <c r="G7607" s="215">
        <v>7600</v>
      </c>
      <c r="H7607" s="16">
        <f t="shared" ca="1" si="126"/>
        <v>1.7850523044551928E-2</v>
      </c>
    </row>
    <row r="7608" spans="7:8" x14ac:dyDescent="0.35">
      <c r="G7608" s="215">
        <v>7601</v>
      </c>
      <c r="H7608" s="16">
        <f t="shared" ca="1" si="126"/>
        <v>-3.3319078226980867E-2</v>
      </c>
    </row>
    <row r="7609" spans="7:8" x14ac:dyDescent="0.35">
      <c r="G7609" s="215">
        <v>7602</v>
      </c>
      <c r="H7609" s="16">
        <f t="shared" ca="1" si="126"/>
        <v>3.3761969996840849E-2</v>
      </c>
    </row>
    <row r="7610" spans="7:8" x14ac:dyDescent="0.35">
      <c r="G7610" s="215">
        <v>7603</v>
      </c>
      <c r="H7610" s="16">
        <f t="shared" ca="1" si="126"/>
        <v>1.7089001739098029E-2</v>
      </c>
    </row>
    <row r="7611" spans="7:8" x14ac:dyDescent="0.35">
      <c r="G7611" s="215">
        <v>7604</v>
      </c>
      <c r="H7611" s="16">
        <f t="shared" ca="1" si="126"/>
        <v>7.0445196183631181E-2</v>
      </c>
    </row>
    <row r="7612" spans="7:8" x14ac:dyDescent="0.35">
      <c r="G7612" s="215">
        <v>7605</v>
      </c>
      <c r="H7612" s="16">
        <f t="shared" ca="1" si="126"/>
        <v>-8.3924315503576714E-3</v>
      </c>
    </row>
    <row r="7613" spans="7:8" x14ac:dyDescent="0.35">
      <c r="G7613" s="215">
        <v>7606</v>
      </c>
      <c r="H7613" s="16">
        <f t="shared" ca="1" si="126"/>
        <v>2.7086229659372275E-2</v>
      </c>
    </row>
    <row r="7614" spans="7:8" x14ac:dyDescent="0.35">
      <c r="G7614" s="215">
        <v>7607</v>
      </c>
      <c r="H7614" s="16">
        <f t="shared" ca="1" si="126"/>
        <v>0.10560735489977477</v>
      </c>
    </row>
    <row r="7615" spans="7:8" x14ac:dyDescent="0.35">
      <c r="G7615" s="215">
        <v>7608</v>
      </c>
      <c r="H7615" s="16">
        <f t="shared" ca="1" si="126"/>
        <v>-1.0184462166262568E-2</v>
      </c>
    </row>
    <row r="7616" spans="7:8" x14ac:dyDescent="0.35">
      <c r="G7616" s="215">
        <v>7609</v>
      </c>
      <c r="H7616" s="16">
        <f t="shared" ca="1" si="126"/>
        <v>-0.12925712751730695</v>
      </c>
    </row>
    <row r="7617" spans="7:8" x14ac:dyDescent="0.35">
      <c r="G7617" s="215">
        <v>7610</v>
      </c>
      <c r="H7617" s="16">
        <f t="shared" ca="1" si="126"/>
        <v>-4.2923948833309133E-2</v>
      </c>
    </row>
    <row r="7618" spans="7:8" x14ac:dyDescent="0.35">
      <c r="G7618" s="215">
        <v>7611</v>
      </c>
      <c r="H7618" s="16">
        <f t="shared" ca="1" si="126"/>
        <v>0.12645674976632912</v>
      </c>
    </row>
    <row r="7619" spans="7:8" x14ac:dyDescent="0.35">
      <c r="G7619" s="215">
        <v>7612</v>
      </c>
      <c r="H7619" s="16">
        <f t="shared" ca="1" si="126"/>
        <v>-2.2766790435182777E-2</v>
      </c>
    </row>
    <row r="7620" spans="7:8" x14ac:dyDescent="0.35">
      <c r="G7620" s="215">
        <v>7613</v>
      </c>
      <c r="H7620" s="16">
        <f t="shared" ca="1" si="126"/>
        <v>3.3182146715270422E-2</v>
      </c>
    </row>
    <row r="7621" spans="7:8" x14ac:dyDescent="0.35">
      <c r="G7621" s="215">
        <v>7614</v>
      </c>
      <c r="H7621" s="16">
        <f t="shared" ca="1" si="126"/>
        <v>-1.6982093785289625E-2</v>
      </c>
    </row>
    <row r="7622" spans="7:8" x14ac:dyDescent="0.35">
      <c r="G7622" s="215">
        <v>7615</v>
      </c>
      <c r="H7622" s="16">
        <f t="shared" ca="1" si="126"/>
        <v>-2.2585039062751836E-3</v>
      </c>
    </row>
    <row r="7623" spans="7:8" x14ac:dyDescent="0.35">
      <c r="G7623" s="215">
        <v>7616</v>
      </c>
      <c r="H7623" s="16">
        <f t="shared" ca="1" si="126"/>
        <v>-0.12600774987733315</v>
      </c>
    </row>
    <row r="7624" spans="7:8" x14ac:dyDescent="0.35">
      <c r="G7624" s="215">
        <v>7617</v>
      </c>
      <c r="H7624" s="16">
        <f t="shared" ref="H7624:H7687" ca="1" si="127">_xlfn.NORM.INV(RAND(),M$10,M$11)</f>
        <v>-5.8045550397396201E-2</v>
      </c>
    </row>
    <row r="7625" spans="7:8" x14ac:dyDescent="0.35">
      <c r="G7625" s="215">
        <v>7618</v>
      </c>
      <c r="H7625" s="16">
        <f t="shared" ca="1" si="127"/>
        <v>2.5491353850973789E-2</v>
      </c>
    </row>
    <row r="7626" spans="7:8" x14ac:dyDescent="0.35">
      <c r="G7626" s="215">
        <v>7619</v>
      </c>
      <c r="H7626" s="16">
        <f t="shared" ca="1" si="127"/>
        <v>-2.6808532011988882E-2</v>
      </c>
    </row>
    <row r="7627" spans="7:8" x14ac:dyDescent="0.35">
      <c r="G7627" s="215">
        <v>7620</v>
      </c>
      <c r="H7627" s="16">
        <f t="shared" ca="1" si="127"/>
        <v>9.8199114941843316E-2</v>
      </c>
    </row>
    <row r="7628" spans="7:8" x14ac:dyDescent="0.35">
      <c r="G7628" s="215">
        <v>7621</v>
      </c>
      <c r="H7628" s="16">
        <f t="shared" ca="1" si="127"/>
        <v>9.9061053362141147E-2</v>
      </c>
    </row>
    <row r="7629" spans="7:8" x14ac:dyDescent="0.35">
      <c r="G7629" s="215">
        <v>7622</v>
      </c>
      <c r="H7629" s="16">
        <f t="shared" ca="1" si="127"/>
        <v>3.6331891379757571E-2</v>
      </c>
    </row>
    <row r="7630" spans="7:8" x14ac:dyDescent="0.35">
      <c r="G7630" s="215">
        <v>7623</v>
      </c>
      <c r="H7630" s="16">
        <f t="shared" ca="1" si="127"/>
        <v>0.1235875304448909</v>
      </c>
    </row>
    <row r="7631" spans="7:8" x14ac:dyDescent="0.35">
      <c r="G7631" s="215">
        <v>7624</v>
      </c>
      <c r="H7631" s="16">
        <f t="shared" ca="1" si="127"/>
        <v>0.14007276937474736</v>
      </c>
    </row>
    <row r="7632" spans="7:8" x14ac:dyDescent="0.35">
      <c r="G7632" s="215">
        <v>7625</v>
      </c>
      <c r="H7632" s="16">
        <f t="shared" ca="1" si="127"/>
        <v>3.9927325758498056E-2</v>
      </c>
    </row>
    <row r="7633" spans="7:8" x14ac:dyDescent="0.35">
      <c r="G7633" s="215">
        <v>7626</v>
      </c>
      <c r="H7633" s="16">
        <f t="shared" ca="1" si="127"/>
        <v>-1.0306238108379346E-2</v>
      </c>
    </row>
    <row r="7634" spans="7:8" x14ac:dyDescent="0.35">
      <c r="G7634" s="215">
        <v>7627</v>
      </c>
      <c r="H7634" s="16">
        <f t="shared" ca="1" si="127"/>
        <v>4.9219720611748632E-2</v>
      </c>
    </row>
    <row r="7635" spans="7:8" x14ac:dyDescent="0.35">
      <c r="G7635" s="215">
        <v>7628</v>
      </c>
      <c r="H7635" s="16">
        <f t="shared" ca="1" si="127"/>
        <v>-9.0085631310235725E-2</v>
      </c>
    </row>
    <row r="7636" spans="7:8" x14ac:dyDescent="0.35">
      <c r="G7636" s="215">
        <v>7629</v>
      </c>
      <c r="H7636" s="16">
        <f t="shared" ca="1" si="127"/>
        <v>-6.8886989685644467E-2</v>
      </c>
    </row>
    <row r="7637" spans="7:8" x14ac:dyDescent="0.35">
      <c r="G7637" s="215">
        <v>7630</v>
      </c>
      <c r="H7637" s="16">
        <f t="shared" ca="1" si="127"/>
        <v>0.14686635028173015</v>
      </c>
    </row>
    <row r="7638" spans="7:8" x14ac:dyDescent="0.35">
      <c r="G7638" s="215">
        <v>7631</v>
      </c>
      <c r="H7638" s="16">
        <f t="shared" ca="1" si="127"/>
        <v>-7.910221661155005E-2</v>
      </c>
    </row>
    <row r="7639" spans="7:8" x14ac:dyDescent="0.35">
      <c r="G7639" s="215">
        <v>7632</v>
      </c>
      <c r="H7639" s="16">
        <f t="shared" ca="1" si="127"/>
        <v>7.9365703477493558E-3</v>
      </c>
    </row>
    <row r="7640" spans="7:8" x14ac:dyDescent="0.35">
      <c r="G7640" s="215">
        <v>7633</v>
      </c>
      <c r="H7640" s="16">
        <f t="shared" ca="1" si="127"/>
        <v>3.4213243241560887E-2</v>
      </c>
    </row>
    <row r="7641" spans="7:8" x14ac:dyDescent="0.35">
      <c r="G7641" s="215">
        <v>7634</v>
      </c>
      <c r="H7641" s="16">
        <f t="shared" ca="1" si="127"/>
        <v>-6.1295128314008379E-2</v>
      </c>
    </row>
    <row r="7642" spans="7:8" x14ac:dyDescent="0.35">
      <c r="G7642" s="215">
        <v>7635</v>
      </c>
      <c r="H7642" s="16">
        <f t="shared" ca="1" si="127"/>
        <v>-1.6023090144300242E-2</v>
      </c>
    </row>
    <row r="7643" spans="7:8" x14ac:dyDescent="0.35">
      <c r="G7643" s="215">
        <v>7636</v>
      </c>
      <c r="H7643" s="16">
        <f t="shared" ca="1" si="127"/>
        <v>-3.4061418080270522E-2</v>
      </c>
    </row>
    <row r="7644" spans="7:8" x14ac:dyDescent="0.35">
      <c r="G7644" s="215">
        <v>7637</v>
      </c>
      <c r="H7644" s="16">
        <f t="shared" ca="1" si="127"/>
        <v>-5.5296058557989011E-2</v>
      </c>
    </row>
    <row r="7645" spans="7:8" x14ac:dyDescent="0.35">
      <c r="G7645" s="215">
        <v>7638</v>
      </c>
      <c r="H7645" s="16">
        <f t="shared" ca="1" si="127"/>
        <v>3.3314424360588964E-2</v>
      </c>
    </row>
    <row r="7646" spans="7:8" x14ac:dyDescent="0.35">
      <c r="G7646" s="215">
        <v>7639</v>
      </c>
      <c r="H7646" s="16">
        <f t="shared" ca="1" si="127"/>
        <v>-3.039957944681702E-2</v>
      </c>
    </row>
    <row r="7647" spans="7:8" x14ac:dyDescent="0.35">
      <c r="G7647" s="215">
        <v>7640</v>
      </c>
      <c r="H7647" s="16">
        <f t="shared" ca="1" si="127"/>
        <v>5.527891203380772E-2</v>
      </c>
    </row>
    <row r="7648" spans="7:8" x14ac:dyDescent="0.35">
      <c r="G7648" s="215">
        <v>7641</v>
      </c>
      <c r="H7648" s="16">
        <f t="shared" ca="1" si="127"/>
        <v>-6.8791533537733013E-2</v>
      </c>
    </row>
    <row r="7649" spans="7:8" x14ac:dyDescent="0.35">
      <c r="G7649" s="215">
        <v>7642</v>
      </c>
      <c r="H7649" s="16">
        <f t="shared" ca="1" si="127"/>
        <v>1.397293023410435E-2</v>
      </c>
    </row>
    <row r="7650" spans="7:8" x14ac:dyDescent="0.35">
      <c r="G7650" s="215">
        <v>7643</v>
      </c>
      <c r="H7650" s="16">
        <f t="shared" ca="1" si="127"/>
        <v>4.1007383553412928E-2</v>
      </c>
    </row>
    <row r="7651" spans="7:8" x14ac:dyDescent="0.35">
      <c r="G7651" s="215">
        <v>7644</v>
      </c>
      <c r="H7651" s="16">
        <f t="shared" ca="1" si="127"/>
        <v>-9.5187044479368293E-2</v>
      </c>
    </row>
    <row r="7652" spans="7:8" x14ac:dyDescent="0.35">
      <c r="G7652" s="215">
        <v>7645</v>
      </c>
      <c r="H7652" s="16">
        <f t="shared" ca="1" si="127"/>
        <v>-3.546928697017844E-2</v>
      </c>
    </row>
    <row r="7653" spans="7:8" x14ac:dyDescent="0.35">
      <c r="G7653" s="215">
        <v>7646</v>
      </c>
      <c r="H7653" s="16">
        <f t="shared" ca="1" si="127"/>
        <v>6.4884288921126354E-2</v>
      </c>
    </row>
    <row r="7654" spans="7:8" x14ac:dyDescent="0.35">
      <c r="G7654" s="215">
        <v>7647</v>
      </c>
      <c r="H7654" s="16">
        <f t="shared" ca="1" si="127"/>
        <v>-0.10227263088032072</v>
      </c>
    </row>
    <row r="7655" spans="7:8" x14ac:dyDescent="0.35">
      <c r="G7655" s="215">
        <v>7648</v>
      </c>
      <c r="H7655" s="16">
        <f t="shared" ca="1" si="127"/>
        <v>6.9661770157421768E-2</v>
      </c>
    </row>
    <row r="7656" spans="7:8" x14ac:dyDescent="0.35">
      <c r="G7656" s="215">
        <v>7649</v>
      </c>
      <c r="H7656" s="16">
        <f t="shared" ca="1" si="127"/>
        <v>-1.2504510548868961E-2</v>
      </c>
    </row>
    <row r="7657" spans="7:8" x14ac:dyDescent="0.35">
      <c r="G7657" s="215">
        <v>7650</v>
      </c>
      <c r="H7657" s="16">
        <f t="shared" ca="1" si="127"/>
        <v>0.1937129792364051</v>
      </c>
    </row>
    <row r="7658" spans="7:8" x14ac:dyDescent="0.35">
      <c r="G7658" s="215">
        <v>7651</v>
      </c>
      <c r="H7658" s="16">
        <f t="shared" ca="1" si="127"/>
        <v>0.11117648516858114</v>
      </c>
    </row>
    <row r="7659" spans="7:8" x14ac:dyDescent="0.35">
      <c r="G7659" s="215">
        <v>7652</v>
      </c>
      <c r="H7659" s="16">
        <f t="shared" ca="1" si="127"/>
        <v>1.3207118653564033E-4</v>
      </c>
    </row>
    <row r="7660" spans="7:8" x14ac:dyDescent="0.35">
      <c r="G7660" s="215">
        <v>7653</v>
      </c>
      <c r="H7660" s="16">
        <f t="shared" ca="1" si="127"/>
        <v>-0.10786929053271545</v>
      </c>
    </row>
    <row r="7661" spans="7:8" x14ac:dyDescent="0.35">
      <c r="G7661" s="215">
        <v>7654</v>
      </c>
      <c r="H7661" s="16">
        <f t="shared" ca="1" si="127"/>
        <v>-2.0480074149943201E-2</v>
      </c>
    </row>
    <row r="7662" spans="7:8" x14ac:dyDescent="0.35">
      <c r="G7662" s="215">
        <v>7655</v>
      </c>
      <c r="H7662" s="16">
        <f t="shared" ca="1" si="127"/>
        <v>0.17790499493020565</v>
      </c>
    </row>
    <row r="7663" spans="7:8" x14ac:dyDescent="0.35">
      <c r="G7663" s="215">
        <v>7656</v>
      </c>
      <c r="H7663" s="16">
        <f t="shared" ca="1" si="127"/>
        <v>9.9397071821383895E-2</v>
      </c>
    </row>
    <row r="7664" spans="7:8" x14ac:dyDescent="0.35">
      <c r="G7664" s="215">
        <v>7657</v>
      </c>
      <c r="H7664" s="16">
        <f t="shared" ca="1" si="127"/>
        <v>-0.14260526569029999</v>
      </c>
    </row>
    <row r="7665" spans="7:8" x14ac:dyDescent="0.35">
      <c r="G7665" s="215">
        <v>7658</v>
      </c>
      <c r="H7665" s="16">
        <f t="shared" ca="1" si="127"/>
        <v>0.1784259015149508</v>
      </c>
    </row>
    <row r="7666" spans="7:8" x14ac:dyDescent="0.35">
      <c r="G7666" s="215">
        <v>7659</v>
      </c>
      <c r="H7666" s="16">
        <f t="shared" ca="1" si="127"/>
        <v>-1.4876111603188732E-2</v>
      </c>
    </row>
    <row r="7667" spans="7:8" x14ac:dyDescent="0.35">
      <c r="G7667" s="215">
        <v>7660</v>
      </c>
      <c r="H7667" s="16">
        <f t="shared" ca="1" si="127"/>
        <v>5.0579917909123001E-2</v>
      </c>
    </row>
    <row r="7668" spans="7:8" x14ac:dyDescent="0.35">
      <c r="G7668" s="215">
        <v>7661</v>
      </c>
      <c r="H7668" s="16">
        <f t="shared" ca="1" si="127"/>
        <v>0.13706357355534937</v>
      </c>
    </row>
    <row r="7669" spans="7:8" x14ac:dyDescent="0.35">
      <c r="G7669" s="215">
        <v>7662</v>
      </c>
      <c r="H7669" s="16">
        <f t="shared" ca="1" si="127"/>
        <v>5.1173101032675333E-2</v>
      </c>
    </row>
    <row r="7670" spans="7:8" x14ac:dyDescent="0.35">
      <c r="G7670" s="215">
        <v>7663</v>
      </c>
      <c r="H7670" s="16">
        <f t="shared" ca="1" si="127"/>
        <v>-3.4119236369481318E-2</v>
      </c>
    </row>
    <row r="7671" spans="7:8" x14ac:dyDescent="0.35">
      <c r="G7671" s="215">
        <v>7664</v>
      </c>
      <c r="H7671" s="16">
        <f t="shared" ca="1" si="127"/>
        <v>2.1793535362454285E-2</v>
      </c>
    </row>
    <row r="7672" spans="7:8" x14ac:dyDescent="0.35">
      <c r="G7672" s="215">
        <v>7665</v>
      </c>
      <c r="H7672" s="16">
        <f t="shared" ca="1" si="127"/>
        <v>0.15783911249596069</v>
      </c>
    </row>
    <row r="7673" spans="7:8" x14ac:dyDescent="0.35">
      <c r="G7673" s="215">
        <v>7666</v>
      </c>
      <c r="H7673" s="16">
        <f t="shared" ca="1" si="127"/>
        <v>-5.5427763653321492E-3</v>
      </c>
    </row>
    <row r="7674" spans="7:8" x14ac:dyDescent="0.35">
      <c r="G7674" s="215">
        <v>7667</v>
      </c>
      <c r="H7674" s="16">
        <f t="shared" ca="1" si="127"/>
        <v>-7.6993854458085903E-2</v>
      </c>
    </row>
    <row r="7675" spans="7:8" x14ac:dyDescent="0.35">
      <c r="G7675" s="215">
        <v>7668</v>
      </c>
      <c r="H7675" s="16">
        <f t="shared" ca="1" si="127"/>
        <v>-8.7739664978113821E-2</v>
      </c>
    </row>
    <row r="7676" spans="7:8" x14ac:dyDescent="0.35">
      <c r="G7676" s="215">
        <v>7669</v>
      </c>
      <c r="H7676" s="16">
        <f t="shared" ca="1" si="127"/>
        <v>4.3886652307660659E-2</v>
      </c>
    </row>
    <row r="7677" spans="7:8" x14ac:dyDescent="0.35">
      <c r="G7677" s="215">
        <v>7670</v>
      </c>
      <c r="H7677" s="16">
        <f t="shared" ca="1" si="127"/>
        <v>8.1059341840460986E-2</v>
      </c>
    </row>
    <row r="7678" spans="7:8" x14ac:dyDescent="0.35">
      <c r="G7678" s="215">
        <v>7671</v>
      </c>
      <c r="H7678" s="16">
        <f t="shared" ca="1" si="127"/>
        <v>-8.5629945185103903E-2</v>
      </c>
    </row>
    <row r="7679" spans="7:8" x14ac:dyDescent="0.35">
      <c r="G7679" s="215">
        <v>7672</v>
      </c>
      <c r="H7679" s="16">
        <f t="shared" ca="1" si="127"/>
        <v>3.1958926091201371E-2</v>
      </c>
    </row>
    <row r="7680" spans="7:8" x14ac:dyDescent="0.35">
      <c r="G7680" s="215">
        <v>7673</v>
      </c>
      <c r="H7680" s="16">
        <f t="shared" ca="1" si="127"/>
        <v>-7.8485645704037932E-2</v>
      </c>
    </row>
    <row r="7681" spans="7:8" x14ac:dyDescent="0.35">
      <c r="G7681" s="215">
        <v>7674</v>
      </c>
      <c r="H7681" s="16">
        <f t="shared" ca="1" si="127"/>
        <v>-1.7924660118870197E-2</v>
      </c>
    </row>
    <row r="7682" spans="7:8" x14ac:dyDescent="0.35">
      <c r="G7682" s="215">
        <v>7675</v>
      </c>
      <c r="H7682" s="16">
        <f t="shared" ca="1" si="127"/>
        <v>-4.9574799800476604E-2</v>
      </c>
    </row>
    <row r="7683" spans="7:8" x14ac:dyDescent="0.35">
      <c r="G7683" s="215">
        <v>7676</v>
      </c>
      <c r="H7683" s="16">
        <f t="shared" ca="1" si="127"/>
        <v>-0.17736095051976569</v>
      </c>
    </row>
    <row r="7684" spans="7:8" x14ac:dyDescent="0.35">
      <c r="G7684" s="215">
        <v>7677</v>
      </c>
      <c r="H7684" s="16">
        <f t="shared" ca="1" si="127"/>
        <v>-5.1792614462249559E-2</v>
      </c>
    </row>
    <row r="7685" spans="7:8" x14ac:dyDescent="0.35">
      <c r="G7685" s="215">
        <v>7678</v>
      </c>
      <c r="H7685" s="16">
        <f t="shared" ca="1" si="127"/>
        <v>0.14232698778071826</v>
      </c>
    </row>
    <row r="7686" spans="7:8" x14ac:dyDescent="0.35">
      <c r="G7686" s="215">
        <v>7679</v>
      </c>
      <c r="H7686" s="16">
        <f t="shared" ca="1" si="127"/>
        <v>4.0749470871267027E-2</v>
      </c>
    </row>
    <row r="7687" spans="7:8" x14ac:dyDescent="0.35">
      <c r="G7687" s="215">
        <v>7680</v>
      </c>
      <c r="H7687" s="16">
        <f t="shared" ca="1" si="127"/>
        <v>1.5890238327833945E-2</v>
      </c>
    </row>
    <row r="7688" spans="7:8" x14ac:dyDescent="0.35">
      <c r="G7688" s="215">
        <v>7681</v>
      </c>
      <c r="H7688" s="16">
        <f t="shared" ref="H7688:H7751" ca="1" si="128">_xlfn.NORM.INV(RAND(),M$10,M$11)</f>
        <v>0.10977257488873567</v>
      </c>
    </row>
    <row r="7689" spans="7:8" x14ac:dyDescent="0.35">
      <c r="G7689" s="215">
        <v>7682</v>
      </c>
      <c r="H7689" s="16">
        <f t="shared" ca="1" si="128"/>
        <v>5.7971078709568538E-2</v>
      </c>
    </row>
    <row r="7690" spans="7:8" x14ac:dyDescent="0.35">
      <c r="G7690" s="215">
        <v>7683</v>
      </c>
      <c r="H7690" s="16">
        <f t="shared" ca="1" si="128"/>
        <v>2.9039459615618646E-2</v>
      </c>
    </row>
    <row r="7691" spans="7:8" x14ac:dyDescent="0.35">
      <c r="G7691" s="215">
        <v>7684</v>
      </c>
      <c r="H7691" s="16">
        <f t="shared" ca="1" si="128"/>
        <v>3.881766742782955E-3</v>
      </c>
    </row>
    <row r="7692" spans="7:8" x14ac:dyDescent="0.35">
      <c r="G7692" s="215">
        <v>7685</v>
      </c>
      <c r="H7692" s="16">
        <f t="shared" ca="1" si="128"/>
        <v>7.9799646454105796E-2</v>
      </c>
    </row>
    <row r="7693" spans="7:8" x14ac:dyDescent="0.35">
      <c r="G7693" s="215">
        <v>7686</v>
      </c>
      <c r="H7693" s="16">
        <f t="shared" ca="1" si="128"/>
        <v>3.6698786508442618E-2</v>
      </c>
    </row>
    <row r="7694" spans="7:8" x14ac:dyDescent="0.35">
      <c r="G7694" s="215">
        <v>7687</v>
      </c>
      <c r="H7694" s="16">
        <f t="shared" ca="1" si="128"/>
        <v>4.4591931652182559E-2</v>
      </c>
    </row>
    <row r="7695" spans="7:8" x14ac:dyDescent="0.35">
      <c r="G7695" s="215">
        <v>7688</v>
      </c>
      <c r="H7695" s="16">
        <f t="shared" ca="1" si="128"/>
        <v>1.8306293300004009E-2</v>
      </c>
    </row>
    <row r="7696" spans="7:8" x14ac:dyDescent="0.35">
      <c r="G7696" s="215">
        <v>7689</v>
      </c>
      <c r="H7696" s="16">
        <f t="shared" ca="1" si="128"/>
        <v>8.0014993866769177E-2</v>
      </c>
    </row>
    <row r="7697" spans="7:8" x14ac:dyDescent="0.35">
      <c r="G7697" s="215">
        <v>7690</v>
      </c>
      <c r="H7697" s="16">
        <f t="shared" ca="1" si="128"/>
        <v>0.12179964250709203</v>
      </c>
    </row>
    <row r="7698" spans="7:8" x14ac:dyDescent="0.35">
      <c r="G7698" s="215">
        <v>7691</v>
      </c>
      <c r="H7698" s="16">
        <f t="shared" ca="1" si="128"/>
        <v>8.4084917442411033E-3</v>
      </c>
    </row>
    <row r="7699" spans="7:8" x14ac:dyDescent="0.35">
      <c r="G7699" s="215">
        <v>7692</v>
      </c>
      <c r="H7699" s="16">
        <f t="shared" ca="1" si="128"/>
        <v>-9.3955410877309728E-2</v>
      </c>
    </row>
    <row r="7700" spans="7:8" x14ac:dyDescent="0.35">
      <c r="G7700" s="215">
        <v>7693</v>
      </c>
      <c r="H7700" s="16">
        <f t="shared" ca="1" si="128"/>
        <v>6.9533744139058523E-2</v>
      </c>
    </row>
    <row r="7701" spans="7:8" x14ac:dyDescent="0.35">
      <c r="G7701" s="215">
        <v>7694</v>
      </c>
      <c r="H7701" s="16">
        <f t="shared" ca="1" si="128"/>
        <v>-2.2723994251721374E-2</v>
      </c>
    </row>
    <row r="7702" spans="7:8" x14ac:dyDescent="0.35">
      <c r="G7702" s="215">
        <v>7695</v>
      </c>
      <c r="H7702" s="16">
        <f t="shared" ca="1" si="128"/>
        <v>-1.8163848200028795E-2</v>
      </c>
    </row>
    <row r="7703" spans="7:8" x14ac:dyDescent="0.35">
      <c r="G7703" s="215">
        <v>7696</v>
      </c>
      <c r="H7703" s="16">
        <f t="shared" ca="1" si="128"/>
        <v>-2.7093567056465189E-2</v>
      </c>
    </row>
    <row r="7704" spans="7:8" x14ac:dyDescent="0.35">
      <c r="G7704" s="215">
        <v>7697</v>
      </c>
      <c r="H7704" s="16">
        <f t="shared" ca="1" si="128"/>
        <v>9.6463020176859204E-2</v>
      </c>
    </row>
    <row r="7705" spans="7:8" x14ac:dyDescent="0.35">
      <c r="G7705" s="215">
        <v>7698</v>
      </c>
      <c r="H7705" s="16">
        <f t="shared" ca="1" si="128"/>
        <v>-0.11144023350857217</v>
      </c>
    </row>
    <row r="7706" spans="7:8" x14ac:dyDescent="0.35">
      <c r="G7706" s="215">
        <v>7699</v>
      </c>
      <c r="H7706" s="16">
        <f t="shared" ca="1" si="128"/>
        <v>-7.453462067851347E-3</v>
      </c>
    </row>
    <row r="7707" spans="7:8" x14ac:dyDescent="0.35">
      <c r="G7707" s="215">
        <v>7700</v>
      </c>
      <c r="H7707" s="16">
        <f t="shared" ca="1" si="128"/>
        <v>2.6497012458969495E-2</v>
      </c>
    </row>
    <row r="7708" spans="7:8" x14ac:dyDescent="0.35">
      <c r="G7708" s="215">
        <v>7701</v>
      </c>
      <c r="H7708" s="16">
        <f t="shared" ca="1" si="128"/>
        <v>-2.7296625416778787E-2</v>
      </c>
    </row>
    <row r="7709" spans="7:8" x14ac:dyDescent="0.35">
      <c r="G7709" s="215">
        <v>7702</v>
      </c>
      <c r="H7709" s="16">
        <f t="shared" ca="1" si="128"/>
        <v>-7.2842999295955904E-2</v>
      </c>
    </row>
    <row r="7710" spans="7:8" x14ac:dyDescent="0.35">
      <c r="G7710" s="215">
        <v>7703</v>
      </c>
      <c r="H7710" s="16">
        <f t="shared" ca="1" si="128"/>
        <v>5.9727943704795339E-2</v>
      </c>
    </row>
    <row r="7711" spans="7:8" x14ac:dyDescent="0.35">
      <c r="G7711" s="215">
        <v>7704</v>
      </c>
      <c r="H7711" s="16">
        <f t="shared" ca="1" si="128"/>
        <v>7.035874556496946E-2</v>
      </c>
    </row>
    <row r="7712" spans="7:8" x14ac:dyDescent="0.35">
      <c r="G7712" s="215">
        <v>7705</v>
      </c>
      <c r="H7712" s="16">
        <f t="shared" ca="1" si="128"/>
        <v>-4.6218665405045628E-2</v>
      </c>
    </row>
    <row r="7713" spans="7:8" x14ac:dyDescent="0.35">
      <c r="G7713" s="215">
        <v>7706</v>
      </c>
      <c r="H7713" s="16">
        <f t="shared" ca="1" si="128"/>
        <v>1.1162596069598874E-2</v>
      </c>
    </row>
    <row r="7714" spans="7:8" x14ac:dyDescent="0.35">
      <c r="G7714" s="215">
        <v>7707</v>
      </c>
      <c r="H7714" s="16">
        <f t="shared" ca="1" si="128"/>
        <v>-0.105755506583965</v>
      </c>
    </row>
    <row r="7715" spans="7:8" x14ac:dyDescent="0.35">
      <c r="G7715" s="215">
        <v>7708</v>
      </c>
      <c r="H7715" s="16">
        <f t="shared" ca="1" si="128"/>
        <v>7.9987801596709707E-2</v>
      </c>
    </row>
    <row r="7716" spans="7:8" x14ac:dyDescent="0.35">
      <c r="G7716" s="215">
        <v>7709</v>
      </c>
      <c r="H7716" s="16">
        <f t="shared" ca="1" si="128"/>
        <v>4.0908322283376805E-2</v>
      </c>
    </row>
    <row r="7717" spans="7:8" x14ac:dyDescent="0.35">
      <c r="G7717" s="215">
        <v>7710</v>
      </c>
      <c r="H7717" s="16">
        <f t="shared" ca="1" si="128"/>
        <v>3.5210497887099304E-2</v>
      </c>
    </row>
    <row r="7718" spans="7:8" x14ac:dyDescent="0.35">
      <c r="G7718" s="215">
        <v>7711</v>
      </c>
      <c r="H7718" s="16">
        <f t="shared" ca="1" si="128"/>
        <v>2.2579198971897741E-2</v>
      </c>
    </row>
    <row r="7719" spans="7:8" x14ac:dyDescent="0.35">
      <c r="G7719" s="215">
        <v>7712</v>
      </c>
      <c r="H7719" s="16">
        <f t="shared" ca="1" si="128"/>
        <v>-7.9614737182636966E-2</v>
      </c>
    </row>
    <row r="7720" spans="7:8" x14ac:dyDescent="0.35">
      <c r="G7720" s="215">
        <v>7713</v>
      </c>
      <c r="H7720" s="16">
        <f t="shared" ca="1" si="128"/>
        <v>-1.0763633893731469E-2</v>
      </c>
    </row>
    <row r="7721" spans="7:8" x14ac:dyDescent="0.35">
      <c r="G7721" s="215">
        <v>7714</v>
      </c>
      <c r="H7721" s="16">
        <f t="shared" ca="1" si="128"/>
        <v>0.13228929785523105</v>
      </c>
    </row>
    <row r="7722" spans="7:8" x14ac:dyDescent="0.35">
      <c r="G7722" s="215">
        <v>7715</v>
      </c>
      <c r="H7722" s="16">
        <f t="shared" ca="1" si="128"/>
        <v>8.3831921640475648E-2</v>
      </c>
    </row>
    <row r="7723" spans="7:8" x14ac:dyDescent="0.35">
      <c r="G7723" s="215">
        <v>7716</v>
      </c>
      <c r="H7723" s="16">
        <f t="shared" ca="1" si="128"/>
        <v>-9.0382706247889535E-2</v>
      </c>
    </row>
    <row r="7724" spans="7:8" x14ac:dyDescent="0.35">
      <c r="G7724" s="215">
        <v>7717</v>
      </c>
      <c r="H7724" s="16">
        <f t="shared" ca="1" si="128"/>
        <v>3.3544161190752562E-2</v>
      </c>
    </row>
    <row r="7725" spans="7:8" x14ac:dyDescent="0.35">
      <c r="G7725" s="215">
        <v>7718</v>
      </c>
      <c r="H7725" s="16">
        <f t="shared" ca="1" si="128"/>
        <v>-1.6567952049674744E-2</v>
      </c>
    </row>
    <row r="7726" spans="7:8" x14ac:dyDescent="0.35">
      <c r="G7726" s="215">
        <v>7719</v>
      </c>
      <c r="H7726" s="16">
        <f t="shared" ca="1" si="128"/>
        <v>8.3179475564738783E-3</v>
      </c>
    </row>
    <row r="7727" spans="7:8" x14ac:dyDescent="0.35">
      <c r="G7727" s="215">
        <v>7720</v>
      </c>
      <c r="H7727" s="16">
        <f t="shared" ca="1" si="128"/>
        <v>-6.0322401829182339E-3</v>
      </c>
    </row>
    <row r="7728" spans="7:8" x14ac:dyDescent="0.35">
      <c r="G7728" s="215">
        <v>7721</v>
      </c>
      <c r="H7728" s="16">
        <f t="shared" ca="1" si="128"/>
        <v>0.14299471055062238</v>
      </c>
    </row>
    <row r="7729" spans="7:8" x14ac:dyDescent="0.35">
      <c r="G7729" s="215">
        <v>7722</v>
      </c>
      <c r="H7729" s="16">
        <f t="shared" ca="1" si="128"/>
        <v>-3.1255721921454843E-2</v>
      </c>
    </row>
    <row r="7730" spans="7:8" x14ac:dyDescent="0.35">
      <c r="G7730" s="215">
        <v>7723</v>
      </c>
      <c r="H7730" s="16">
        <f t="shared" ca="1" si="128"/>
        <v>6.8569459496641144E-2</v>
      </c>
    </row>
    <row r="7731" spans="7:8" x14ac:dyDescent="0.35">
      <c r="G7731" s="215">
        <v>7724</v>
      </c>
      <c r="H7731" s="16">
        <f t="shared" ca="1" si="128"/>
        <v>3.5523292460071215E-2</v>
      </c>
    </row>
    <row r="7732" spans="7:8" x14ac:dyDescent="0.35">
      <c r="G7732" s="215">
        <v>7725</v>
      </c>
      <c r="H7732" s="16">
        <f t="shared" ca="1" si="128"/>
        <v>-0.13798228365228571</v>
      </c>
    </row>
    <row r="7733" spans="7:8" x14ac:dyDescent="0.35">
      <c r="G7733" s="215">
        <v>7726</v>
      </c>
      <c r="H7733" s="16">
        <f t="shared" ca="1" si="128"/>
        <v>-1.9525386407168391E-3</v>
      </c>
    </row>
    <row r="7734" spans="7:8" x14ac:dyDescent="0.35">
      <c r="G7734" s="215">
        <v>7727</v>
      </c>
      <c r="H7734" s="16">
        <f t="shared" ca="1" si="128"/>
        <v>-2.9214267545422844E-2</v>
      </c>
    </row>
    <row r="7735" spans="7:8" x14ac:dyDescent="0.35">
      <c r="G7735" s="215">
        <v>7728</v>
      </c>
      <c r="H7735" s="16">
        <f t="shared" ca="1" si="128"/>
        <v>0.1372622279028736</v>
      </c>
    </row>
    <row r="7736" spans="7:8" x14ac:dyDescent="0.35">
      <c r="G7736" s="215">
        <v>7729</v>
      </c>
      <c r="H7736" s="16">
        <f t="shared" ca="1" si="128"/>
        <v>-1.0249267055663289E-2</v>
      </c>
    </row>
    <row r="7737" spans="7:8" x14ac:dyDescent="0.35">
      <c r="G7737" s="215">
        <v>7730</v>
      </c>
      <c r="H7737" s="16">
        <f t="shared" ca="1" si="128"/>
        <v>5.5197040208084414E-2</v>
      </c>
    </row>
    <row r="7738" spans="7:8" x14ac:dyDescent="0.35">
      <c r="G7738" s="215">
        <v>7731</v>
      </c>
      <c r="H7738" s="16">
        <f t="shared" ca="1" si="128"/>
        <v>1.5918160985012253E-2</v>
      </c>
    </row>
    <row r="7739" spans="7:8" x14ac:dyDescent="0.35">
      <c r="G7739" s="215">
        <v>7732</v>
      </c>
      <c r="H7739" s="16">
        <f t="shared" ca="1" si="128"/>
        <v>-2.0840373934281276E-2</v>
      </c>
    </row>
    <row r="7740" spans="7:8" x14ac:dyDescent="0.35">
      <c r="G7740" s="215">
        <v>7733</v>
      </c>
      <c r="H7740" s="16">
        <f t="shared" ca="1" si="128"/>
        <v>0.10254720211710788</v>
      </c>
    </row>
    <row r="7741" spans="7:8" x14ac:dyDescent="0.35">
      <c r="G7741" s="215">
        <v>7734</v>
      </c>
      <c r="H7741" s="16">
        <f t="shared" ca="1" si="128"/>
        <v>-5.3771461290309699E-2</v>
      </c>
    </row>
    <row r="7742" spans="7:8" x14ac:dyDescent="0.35">
      <c r="G7742" s="215">
        <v>7735</v>
      </c>
      <c r="H7742" s="16">
        <f t="shared" ca="1" si="128"/>
        <v>2.0506419590940454E-2</v>
      </c>
    </row>
    <row r="7743" spans="7:8" x14ac:dyDescent="0.35">
      <c r="G7743" s="215">
        <v>7736</v>
      </c>
      <c r="H7743" s="16">
        <f t="shared" ca="1" si="128"/>
        <v>-0.10148842388565825</v>
      </c>
    </row>
    <row r="7744" spans="7:8" x14ac:dyDescent="0.35">
      <c r="G7744" s="215">
        <v>7737</v>
      </c>
      <c r="H7744" s="16">
        <f t="shared" ca="1" si="128"/>
        <v>4.3631944321876996E-2</v>
      </c>
    </row>
    <row r="7745" spans="7:8" x14ac:dyDescent="0.35">
      <c r="G7745" s="215">
        <v>7738</v>
      </c>
      <c r="H7745" s="16">
        <f t="shared" ca="1" si="128"/>
        <v>3.1326617071195259E-2</v>
      </c>
    </row>
    <row r="7746" spans="7:8" x14ac:dyDescent="0.35">
      <c r="G7746" s="215">
        <v>7739</v>
      </c>
      <c r="H7746" s="16">
        <f t="shared" ca="1" si="128"/>
        <v>-3.6558583058579536E-2</v>
      </c>
    </row>
    <row r="7747" spans="7:8" x14ac:dyDescent="0.35">
      <c r="G7747" s="215">
        <v>7740</v>
      </c>
      <c r="H7747" s="16">
        <f t="shared" ca="1" si="128"/>
        <v>6.2596991401070737E-2</v>
      </c>
    </row>
    <row r="7748" spans="7:8" x14ac:dyDescent="0.35">
      <c r="G7748" s="215">
        <v>7741</v>
      </c>
      <c r="H7748" s="16">
        <f t="shared" ca="1" si="128"/>
        <v>0.12740522459981746</v>
      </c>
    </row>
    <row r="7749" spans="7:8" x14ac:dyDescent="0.35">
      <c r="G7749" s="215">
        <v>7742</v>
      </c>
      <c r="H7749" s="16">
        <f t="shared" ca="1" si="128"/>
        <v>-4.392317812631015E-2</v>
      </c>
    </row>
    <row r="7750" spans="7:8" x14ac:dyDescent="0.35">
      <c r="G7750" s="215">
        <v>7743</v>
      </c>
      <c r="H7750" s="16">
        <f t="shared" ca="1" si="128"/>
        <v>0.13006737359313134</v>
      </c>
    </row>
    <row r="7751" spans="7:8" x14ac:dyDescent="0.35">
      <c r="G7751" s="215">
        <v>7744</v>
      </c>
      <c r="H7751" s="16">
        <f t="shared" ca="1" si="128"/>
        <v>-4.7131723924089403E-2</v>
      </c>
    </row>
    <row r="7752" spans="7:8" x14ac:dyDescent="0.35">
      <c r="G7752" s="215">
        <v>7745</v>
      </c>
      <c r="H7752" s="16">
        <f t="shared" ref="H7752:H7815" ca="1" si="129">_xlfn.NORM.INV(RAND(),M$10,M$11)</f>
        <v>-4.3588688720585397E-2</v>
      </c>
    </row>
    <row r="7753" spans="7:8" x14ac:dyDescent="0.35">
      <c r="G7753" s="215">
        <v>7746</v>
      </c>
      <c r="H7753" s="16">
        <f t="shared" ca="1" si="129"/>
        <v>-9.8743832627862002E-2</v>
      </c>
    </row>
    <row r="7754" spans="7:8" x14ac:dyDescent="0.35">
      <c r="G7754" s="215">
        <v>7747</v>
      </c>
      <c r="H7754" s="16">
        <f t="shared" ca="1" si="129"/>
        <v>-0.15651660089269873</v>
      </c>
    </row>
    <row r="7755" spans="7:8" x14ac:dyDescent="0.35">
      <c r="G7755" s="215">
        <v>7748</v>
      </c>
      <c r="H7755" s="16">
        <f t="shared" ca="1" si="129"/>
        <v>-7.4017137060146662E-2</v>
      </c>
    </row>
    <row r="7756" spans="7:8" x14ac:dyDescent="0.35">
      <c r="G7756" s="215">
        <v>7749</v>
      </c>
      <c r="H7756" s="16">
        <f t="shared" ca="1" si="129"/>
        <v>-7.1792606679904364E-2</v>
      </c>
    </row>
    <row r="7757" spans="7:8" x14ac:dyDescent="0.35">
      <c r="G7757" s="215">
        <v>7750</v>
      </c>
      <c r="H7757" s="16">
        <f t="shared" ca="1" si="129"/>
        <v>-7.8386515567387932E-2</v>
      </c>
    </row>
    <row r="7758" spans="7:8" x14ac:dyDescent="0.35">
      <c r="G7758" s="215">
        <v>7751</v>
      </c>
      <c r="H7758" s="16">
        <f t="shared" ca="1" si="129"/>
        <v>-2.2691894818559741E-2</v>
      </c>
    </row>
    <row r="7759" spans="7:8" x14ac:dyDescent="0.35">
      <c r="G7759" s="215">
        <v>7752</v>
      </c>
      <c r="H7759" s="16">
        <f t="shared" ca="1" si="129"/>
        <v>3.6684059828031287E-2</v>
      </c>
    </row>
    <row r="7760" spans="7:8" x14ac:dyDescent="0.35">
      <c r="G7760" s="215">
        <v>7753</v>
      </c>
      <c r="H7760" s="16">
        <f t="shared" ca="1" si="129"/>
        <v>3.4440674838767775E-2</v>
      </c>
    </row>
    <row r="7761" spans="7:8" x14ac:dyDescent="0.35">
      <c r="G7761" s="215">
        <v>7754</v>
      </c>
      <c r="H7761" s="16">
        <f t="shared" ca="1" si="129"/>
        <v>4.0477970149679229E-2</v>
      </c>
    </row>
    <row r="7762" spans="7:8" x14ac:dyDescent="0.35">
      <c r="G7762" s="215">
        <v>7755</v>
      </c>
      <c r="H7762" s="16">
        <f t="shared" ca="1" si="129"/>
        <v>-9.9784180016084245E-3</v>
      </c>
    </row>
    <row r="7763" spans="7:8" x14ac:dyDescent="0.35">
      <c r="G7763" s="215">
        <v>7756</v>
      </c>
      <c r="H7763" s="16">
        <f t="shared" ca="1" si="129"/>
        <v>-0.12526432477301047</v>
      </c>
    </row>
    <row r="7764" spans="7:8" x14ac:dyDescent="0.35">
      <c r="G7764" s="215">
        <v>7757</v>
      </c>
      <c r="H7764" s="16">
        <f t="shared" ca="1" si="129"/>
        <v>-1.4719445152957034E-2</v>
      </c>
    </row>
    <row r="7765" spans="7:8" x14ac:dyDescent="0.35">
      <c r="G7765" s="215">
        <v>7758</v>
      </c>
      <c r="H7765" s="16">
        <f t="shared" ca="1" si="129"/>
        <v>-2.2930607250396622E-2</v>
      </c>
    </row>
    <row r="7766" spans="7:8" x14ac:dyDescent="0.35">
      <c r="G7766" s="215">
        <v>7759</v>
      </c>
      <c r="H7766" s="16">
        <f t="shared" ca="1" si="129"/>
        <v>2.9434608215303342E-2</v>
      </c>
    </row>
    <row r="7767" spans="7:8" x14ac:dyDescent="0.35">
      <c r="G7767" s="215">
        <v>7760</v>
      </c>
      <c r="H7767" s="16">
        <f t="shared" ca="1" si="129"/>
        <v>7.6532888526342395E-3</v>
      </c>
    </row>
    <row r="7768" spans="7:8" x14ac:dyDescent="0.35">
      <c r="G7768" s="215">
        <v>7761</v>
      </c>
      <c r="H7768" s="16">
        <f t="shared" ca="1" si="129"/>
        <v>7.7720188496833639E-3</v>
      </c>
    </row>
    <row r="7769" spans="7:8" x14ac:dyDescent="0.35">
      <c r="G7769" s="215">
        <v>7762</v>
      </c>
      <c r="H7769" s="16">
        <f t="shared" ca="1" si="129"/>
        <v>7.9061512780650919E-3</v>
      </c>
    </row>
    <row r="7770" spans="7:8" x14ac:dyDescent="0.35">
      <c r="G7770" s="215">
        <v>7763</v>
      </c>
      <c r="H7770" s="16">
        <f t="shared" ca="1" si="129"/>
        <v>-5.8022267189862781E-2</v>
      </c>
    </row>
    <row r="7771" spans="7:8" x14ac:dyDescent="0.35">
      <c r="G7771" s="215">
        <v>7764</v>
      </c>
      <c r="H7771" s="16">
        <f t="shared" ca="1" si="129"/>
        <v>3.5219509909565627E-2</v>
      </c>
    </row>
    <row r="7772" spans="7:8" x14ac:dyDescent="0.35">
      <c r="G7772" s="215">
        <v>7765</v>
      </c>
      <c r="H7772" s="16">
        <f t="shared" ca="1" si="129"/>
        <v>-2.4998239059134206E-3</v>
      </c>
    </row>
    <row r="7773" spans="7:8" x14ac:dyDescent="0.35">
      <c r="G7773" s="215">
        <v>7766</v>
      </c>
      <c r="H7773" s="16">
        <f t="shared" ca="1" si="129"/>
        <v>5.1327370895743352E-2</v>
      </c>
    </row>
    <row r="7774" spans="7:8" x14ac:dyDescent="0.35">
      <c r="G7774" s="215">
        <v>7767</v>
      </c>
      <c r="H7774" s="16">
        <f t="shared" ca="1" si="129"/>
        <v>-0.12352781689492101</v>
      </c>
    </row>
    <row r="7775" spans="7:8" x14ac:dyDescent="0.35">
      <c r="G7775" s="215">
        <v>7768</v>
      </c>
      <c r="H7775" s="16">
        <f t="shared" ca="1" si="129"/>
        <v>-2.9909706732962022E-2</v>
      </c>
    </row>
    <row r="7776" spans="7:8" x14ac:dyDescent="0.35">
      <c r="G7776" s="215">
        <v>7769</v>
      </c>
      <c r="H7776" s="16">
        <f t="shared" ca="1" si="129"/>
        <v>-1.8924517522620077E-2</v>
      </c>
    </row>
    <row r="7777" spans="7:8" x14ac:dyDescent="0.35">
      <c r="G7777" s="215">
        <v>7770</v>
      </c>
      <c r="H7777" s="16">
        <f t="shared" ca="1" si="129"/>
        <v>-1.288091687033957E-2</v>
      </c>
    </row>
    <row r="7778" spans="7:8" x14ac:dyDescent="0.35">
      <c r="G7778" s="215">
        <v>7771</v>
      </c>
      <c r="H7778" s="16">
        <f t="shared" ca="1" si="129"/>
        <v>-5.5107843829526867E-2</v>
      </c>
    </row>
    <row r="7779" spans="7:8" x14ac:dyDescent="0.35">
      <c r="G7779" s="215">
        <v>7772</v>
      </c>
      <c r="H7779" s="16">
        <f t="shared" ca="1" si="129"/>
        <v>3.1566709321477329E-2</v>
      </c>
    </row>
    <row r="7780" spans="7:8" x14ac:dyDescent="0.35">
      <c r="G7780" s="215">
        <v>7773</v>
      </c>
      <c r="H7780" s="16">
        <f t="shared" ca="1" si="129"/>
        <v>5.5201122413944138E-3</v>
      </c>
    </row>
    <row r="7781" spans="7:8" x14ac:dyDescent="0.35">
      <c r="G7781" s="215">
        <v>7774</v>
      </c>
      <c r="H7781" s="16">
        <f t="shared" ca="1" si="129"/>
        <v>-1.2276401573078528E-2</v>
      </c>
    </row>
    <row r="7782" spans="7:8" x14ac:dyDescent="0.35">
      <c r="G7782" s="215">
        <v>7775</v>
      </c>
      <c r="H7782" s="16">
        <f t="shared" ca="1" si="129"/>
        <v>1.8667511646208331E-2</v>
      </c>
    </row>
    <row r="7783" spans="7:8" x14ac:dyDescent="0.35">
      <c r="G7783" s="215">
        <v>7776</v>
      </c>
      <c r="H7783" s="16">
        <f t="shared" ca="1" si="129"/>
        <v>-0.18219009190402335</v>
      </c>
    </row>
    <row r="7784" spans="7:8" x14ac:dyDescent="0.35">
      <c r="G7784" s="215">
        <v>7777</v>
      </c>
      <c r="H7784" s="16">
        <f t="shared" ca="1" si="129"/>
        <v>2.8995576683839095E-2</v>
      </c>
    </row>
    <row r="7785" spans="7:8" x14ac:dyDescent="0.35">
      <c r="G7785" s="215">
        <v>7778</v>
      </c>
      <c r="H7785" s="16">
        <f t="shared" ca="1" si="129"/>
        <v>2.0743534545266888E-2</v>
      </c>
    </row>
    <row r="7786" spans="7:8" x14ac:dyDescent="0.35">
      <c r="G7786" s="215">
        <v>7779</v>
      </c>
      <c r="H7786" s="16">
        <f t="shared" ca="1" si="129"/>
        <v>-2.8878274682462814E-2</v>
      </c>
    </row>
    <row r="7787" spans="7:8" x14ac:dyDescent="0.35">
      <c r="G7787" s="215">
        <v>7780</v>
      </c>
      <c r="H7787" s="16">
        <f t="shared" ca="1" si="129"/>
        <v>-8.9585851624380639E-2</v>
      </c>
    </row>
    <row r="7788" spans="7:8" x14ac:dyDescent="0.35">
      <c r="G7788" s="215">
        <v>7781</v>
      </c>
      <c r="H7788" s="16">
        <f t="shared" ca="1" si="129"/>
        <v>-3.4208569180374127E-2</v>
      </c>
    </row>
    <row r="7789" spans="7:8" x14ac:dyDescent="0.35">
      <c r="G7789" s="215">
        <v>7782</v>
      </c>
      <c r="H7789" s="16">
        <f t="shared" ca="1" si="129"/>
        <v>-4.2301819477303187E-2</v>
      </c>
    </row>
    <row r="7790" spans="7:8" x14ac:dyDescent="0.35">
      <c r="G7790" s="215">
        <v>7783</v>
      </c>
      <c r="H7790" s="16">
        <f t="shared" ca="1" si="129"/>
        <v>-2.0867292776119369E-2</v>
      </c>
    </row>
    <row r="7791" spans="7:8" x14ac:dyDescent="0.35">
      <c r="G7791" s="215">
        <v>7784</v>
      </c>
      <c r="H7791" s="16">
        <f t="shared" ca="1" si="129"/>
        <v>-5.071452645571399E-3</v>
      </c>
    </row>
    <row r="7792" spans="7:8" x14ac:dyDescent="0.35">
      <c r="G7792" s="215">
        <v>7785</v>
      </c>
      <c r="H7792" s="16">
        <f t="shared" ca="1" si="129"/>
        <v>-3.6982749702694578E-2</v>
      </c>
    </row>
    <row r="7793" spans="7:8" x14ac:dyDescent="0.35">
      <c r="G7793" s="215">
        <v>7786</v>
      </c>
      <c r="H7793" s="16">
        <f t="shared" ca="1" si="129"/>
        <v>7.6183532974290938E-2</v>
      </c>
    </row>
    <row r="7794" spans="7:8" x14ac:dyDescent="0.35">
      <c r="G7794" s="215">
        <v>7787</v>
      </c>
      <c r="H7794" s="16">
        <f t="shared" ca="1" si="129"/>
        <v>0.15447291713251779</v>
      </c>
    </row>
    <row r="7795" spans="7:8" x14ac:dyDescent="0.35">
      <c r="G7795" s="215">
        <v>7788</v>
      </c>
      <c r="H7795" s="16">
        <f t="shared" ca="1" si="129"/>
        <v>2.8751642373327245E-2</v>
      </c>
    </row>
    <row r="7796" spans="7:8" x14ac:dyDescent="0.35">
      <c r="G7796" s="215">
        <v>7789</v>
      </c>
      <c r="H7796" s="16">
        <f t="shared" ca="1" si="129"/>
        <v>2.1910772138753299E-2</v>
      </c>
    </row>
    <row r="7797" spans="7:8" x14ac:dyDescent="0.35">
      <c r="G7797" s="215">
        <v>7790</v>
      </c>
      <c r="H7797" s="16">
        <f t="shared" ca="1" si="129"/>
        <v>-8.5407582066589285E-3</v>
      </c>
    </row>
    <row r="7798" spans="7:8" x14ac:dyDescent="0.35">
      <c r="G7798" s="215">
        <v>7791</v>
      </c>
      <c r="H7798" s="16">
        <f t="shared" ca="1" si="129"/>
        <v>5.1401121007100009E-2</v>
      </c>
    </row>
    <row r="7799" spans="7:8" x14ac:dyDescent="0.35">
      <c r="G7799" s="215">
        <v>7792</v>
      </c>
      <c r="H7799" s="16">
        <f t="shared" ca="1" si="129"/>
        <v>-0.11193411026025925</v>
      </c>
    </row>
    <row r="7800" spans="7:8" x14ac:dyDescent="0.35">
      <c r="G7800" s="215">
        <v>7793</v>
      </c>
      <c r="H7800" s="16">
        <f t="shared" ca="1" si="129"/>
        <v>-2.9671794144530902E-3</v>
      </c>
    </row>
    <row r="7801" spans="7:8" x14ac:dyDescent="0.35">
      <c r="G7801" s="215">
        <v>7794</v>
      </c>
      <c r="H7801" s="16">
        <f t="shared" ca="1" si="129"/>
        <v>-0.11981428711865127</v>
      </c>
    </row>
    <row r="7802" spans="7:8" x14ac:dyDescent="0.35">
      <c r="G7802" s="215">
        <v>7795</v>
      </c>
      <c r="H7802" s="16">
        <f t="shared" ca="1" si="129"/>
        <v>5.3362998129736711E-3</v>
      </c>
    </row>
    <row r="7803" spans="7:8" x14ac:dyDescent="0.35">
      <c r="G7803" s="215">
        <v>7796</v>
      </c>
      <c r="H7803" s="16">
        <f t="shared" ca="1" si="129"/>
        <v>5.3291921718140983E-2</v>
      </c>
    </row>
    <row r="7804" spans="7:8" x14ac:dyDescent="0.35">
      <c r="G7804" s="215">
        <v>7797</v>
      </c>
      <c r="H7804" s="16">
        <f t="shared" ca="1" si="129"/>
        <v>5.5437755682120587E-2</v>
      </c>
    </row>
    <row r="7805" spans="7:8" x14ac:dyDescent="0.35">
      <c r="G7805" s="215">
        <v>7798</v>
      </c>
      <c r="H7805" s="16">
        <f t="shared" ca="1" si="129"/>
        <v>5.4296826687779479E-2</v>
      </c>
    </row>
    <row r="7806" spans="7:8" x14ac:dyDescent="0.35">
      <c r="G7806" s="215">
        <v>7799</v>
      </c>
      <c r="H7806" s="16">
        <f t="shared" ca="1" si="129"/>
        <v>4.2782618020400665E-3</v>
      </c>
    </row>
    <row r="7807" spans="7:8" x14ac:dyDescent="0.35">
      <c r="G7807" s="215">
        <v>7800</v>
      </c>
      <c r="H7807" s="16">
        <f t="shared" ca="1" si="129"/>
        <v>0.13838133300929706</v>
      </c>
    </row>
    <row r="7808" spans="7:8" x14ac:dyDescent="0.35">
      <c r="G7808" s="215">
        <v>7801</v>
      </c>
      <c r="H7808" s="16">
        <f t="shared" ca="1" si="129"/>
        <v>-8.8158272376026095E-2</v>
      </c>
    </row>
    <row r="7809" spans="7:8" x14ac:dyDescent="0.35">
      <c r="G7809" s="215">
        <v>7802</v>
      </c>
      <c r="H7809" s="16">
        <f t="shared" ca="1" si="129"/>
        <v>-0.10523471108918787</v>
      </c>
    </row>
    <row r="7810" spans="7:8" x14ac:dyDescent="0.35">
      <c r="G7810" s="215">
        <v>7803</v>
      </c>
      <c r="H7810" s="16">
        <f t="shared" ca="1" si="129"/>
        <v>-4.3763608445079968E-2</v>
      </c>
    </row>
    <row r="7811" spans="7:8" x14ac:dyDescent="0.35">
      <c r="G7811" s="215">
        <v>7804</v>
      </c>
      <c r="H7811" s="16">
        <f t="shared" ca="1" si="129"/>
        <v>0.11673732984064897</v>
      </c>
    </row>
    <row r="7812" spans="7:8" x14ac:dyDescent="0.35">
      <c r="G7812" s="215">
        <v>7805</v>
      </c>
      <c r="H7812" s="16">
        <f t="shared" ca="1" si="129"/>
        <v>-0.12050037067250641</v>
      </c>
    </row>
    <row r="7813" spans="7:8" x14ac:dyDescent="0.35">
      <c r="G7813" s="215">
        <v>7806</v>
      </c>
      <c r="H7813" s="16">
        <f t="shared" ca="1" si="129"/>
        <v>-5.5855031432663474E-2</v>
      </c>
    </row>
    <row r="7814" spans="7:8" x14ac:dyDescent="0.35">
      <c r="G7814" s="215">
        <v>7807</v>
      </c>
      <c r="H7814" s="16">
        <f t="shared" ca="1" si="129"/>
        <v>9.8720253074669279E-2</v>
      </c>
    </row>
    <row r="7815" spans="7:8" x14ac:dyDescent="0.35">
      <c r="G7815" s="215">
        <v>7808</v>
      </c>
      <c r="H7815" s="16">
        <f t="shared" ca="1" si="129"/>
        <v>0.18050432327399354</v>
      </c>
    </row>
    <row r="7816" spans="7:8" x14ac:dyDescent="0.35">
      <c r="G7816" s="215">
        <v>7809</v>
      </c>
      <c r="H7816" s="16">
        <f t="shared" ref="H7816:H7879" ca="1" si="130">_xlfn.NORM.INV(RAND(),M$10,M$11)</f>
        <v>0.12586452265043094</v>
      </c>
    </row>
    <row r="7817" spans="7:8" x14ac:dyDescent="0.35">
      <c r="G7817" s="215">
        <v>7810</v>
      </c>
      <c r="H7817" s="16">
        <f t="shared" ca="1" si="130"/>
        <v>-1.9394787604650385E-2</v>
      </c>
    </row>
    <row r="7818" spans="7:8" x14ac:dyDescent="0.35">
      <c r="G7818" s="215">
        <v>7811</v>
      </c>
      <c r="H7818" s="16">
        <f t="shared" ca="1" si="130"/>
        <v>-0.15520054515221995</v>
      </c>
    </row>
    <row r="7819" spans="7:8" x14ac:dyDescent="0.35">
      <c r="G7819" s="215">
        <v>7812</v>
      </c>
      <c r="H7819" s="16">
        <f t="shared" ca="1" si="130"/>
        <v>8.9848320426698741E-2</v>
      </c>
    </row>
    <row r="7820" spans="7:8" x14ac:dyDescent="0.35">
      <c r="G7820" s="215">
        <v>7813</v>
      </c>
      <c r="H7820" s="16">
        <f t="shared" ca="1" si="130"/>
        <v>5.4151558363421531E-2</v>
      </c>
    </row>
    <row r="7821" spans="7:8" x14ac:dyDescent="0.35">
      <c r="G7821" s="215">
        <v>7814</v>
      </c>
      <c r="H7821" s="16">
        <f t="shared" ca="1" si="130"/>
        <v>2.3672125893020528E-2</v>
      </c>
    </row>
    <row r="7822" spans="7:8" x14ac:dyDescent="0.35">
      <c r="G7822" s="215">
        <v>7815</v>
      </c>
      <c r="H7822" s="16">
        <f t="shared" ca="1" si="130"/>
        <v>-0.10382518519449016</v>
      </c>
    </row>
    <row r="7823" spans="7:8" x14ac:dyDescent="0.35">
      <c r="G7823" s="215">
        <v>7816</v>
      </c>
      <c r="H7823" s="16">
        <f t="shared" ca="1" si="130"/>
        <v>-5.8548141840292153E-2</v>
      </c>
    </row>
    <row r="7824" spans="7:8" x14ac:dyDescent="0.35">
      <c r="G7824" s="215">
        <v>7817</v>
      </c>
      <c r="H7824" s="16">
        <f t="shared" ca="1" si="130"/>
        <v>4.8856060727968165E-2</v>
      </c>
    </row>
    <row r="7825" spans="7:8" x14ac:dyDescent="0.35">
      <c r="G7825" s="215">
        <v>7818</v>
      </c>
      <c r="H7825" s="16">
        <f t="shared" ca="1" si="130"/>
        <v>-0.12232432792400258</v>
      </c>
    </row>
    <row r="7826" spans="7:8" x14ac:dyDescent="0.35">
      <c r="G7826" s="215">
        <v>7819</v>
      </c>
      <c r="H7826" s="16">
        <f t="shared" ca="1" si="130"/>
        <v>-1.3436318075035786E-2</v>
      </c>
    </row>
    <row r="7827" spans="7:8" x14ac:dyDescent="0.35">
      <c r="G7827" s="215">
        <v>7820</v>
      </c>
      <c r="H7827" s="16">
        <f t="shared" ca="1" si="130"/>
        <v>-3.4274026838077051E-2</v>
      </c>
    </row>
    <row r="7828" spans="7:8" x14ac:dyDescent="0.35">
      <c r="G7828" s="215">
        <v>7821</v>
      </c>
      <c r="H7828" s="16">
        <f t="shared" ca="1" si="130"/>
        <v>3.334905967530058E-2</v>
      </c>
    </row>
    <row r="7829" spans="7:8" x14ac:dyDescent="0.35">
      <c r="G7829" s="215">
        <v>7822</v>
      </c>
      <c r="H7829" s="16">
        <f t="shared" ca="1" si="130"/>
        <v>1.6978768203008563E-2</v>
      </c>
    </row>
    <row r="7830" spans="7:8" x14ac:dyDescent="0.35">
      <c r="G7830" s="215">
        <v>7823</v>
      </c>
      <c r="H7830" s="16">
        <f t="shared" ca="1" si="130"/>
        <v>1.8413741695876201E-2</v>
      </c>
    </row>
    <row r="7831" spans="7:8" x14ac:dyDescent="0.35">
      <c r="G7831" s="215">
        <v>7824</v>
      </c>
      <c r="H7831" s="16">
        <f t="shared" ca="1" si="130"/>
        <v>-7.0242385103552921E-2</v>
      </c>
    </row>
    <row r="7832" spans="7:8" x14ac:dyDescent="0.35">
      <c r="G7832" s="215">
        <v>7825</v>
      </c>
      <c r="H7832" s="16">
        <f t="shared" ca="1" si="130"/>
        <v>-1.7387159050564767E-2</v>
      </c>
    </row>
    <row r="7833" spans="7:8" x14ac:dyDescent="0.35">
      <c r="G7833" s="215">
        <v>7826</v>
      </c>
      <c r="H7833" s="16">
        <f t="shared" ca="1" si="130"/>
        <v>7.5135440301011283E-2</v>
      </c>
    </row>
    <row r="7834" spans="7:8" x14ac:dyDescent="0.35">
      <c r="G7834" s="215">
        <v>7827</v>
      </c>
      <c r="H7834" s="16">
        <f t="shared" ca="1" si="130"/>
        <v>0.15793859276782432</v>
      </c>
    </row>
    <row r="7835" spans="7:8" x14ac:dyDescent="0.35">
      <c r="G7835" s="215">
        <v>7828</v>
      </c>
      <c r="H7835" s="16">
        <f t="shared" ca="1" si="130"/>
        <v>3.884493856371133E-2</v>
      </c>
    </row>
    <row r="7836" spans="7:8" x14ac:dyDescent="0.35">
      <c r="G7836" s="215">
        <v>7829</v>
      </c>
      <c r="H7836" s="16">
        <f t="shared" ca="1" si="130"/>
        <v>8.0212295586049573E-2</v>
      </c>
    </row>
    <row r="7837" spans="7:8" x14ac:dyDescent="0.35">
      <c r="G7837" s="215">
        <v>7830</v>
      </c>
      <c r="H7837" s="16">
        <f t="shared" ca="1" si="130"/>
        <v>-4.8435053678508047E-2</v>
      </c>
    </row>
    <row r="7838" spans="7:8" x14ac:dyDescent="0.35">
      <c r="G7838" s="215">
        <v>7831</v>
      </c>
      <c r="H7838" s="16">
        <f t="shared" ca="1" si="130"/>
        <v>6.762226729910728E-2</v>
      </c>
    </row>
    <row r="7839" spans="7:8" x14ac:dyDescent="0.35">
      <c r="G7839" s="215">
        <v>7832</v>
      </c>
      <c r="H7839" s="16">
        <f t="shared" ca="1" si="130"/>
        <v>3.5663171188713941E-2</v>
      </c>
    </row>
    <row r="7840" spans="7:8" x14ac:dyDescent="0.35">
      <c r="G7840" s="215">
        <v>7833</v>
      </c>
      <c r="H7840" s="16">
        <f t="shared" ca="1" si="130"/>
        <v>-7.5141216846619729E-2</v>
      </c>
    </row>
    <row r="7841" spans="7:8" x14ac:dyDescent="0.35">
      <c r="G7841" s="215">
        <v>7834</v>
      </c>
      <c r="H7841" s="16">
        <f t="shared" ca="1" si="130"/>
        <v>0.10751528895902178</v>
      </c>
    </row>
    <row r="7842" spans="7:8" x14ac:dyDescent="0.35">
      <c r="G7842" s="215">
        <v>7835</v>
      </c>
      <c r="H7842" s="16">
        <f t="shared" ca="1" si="130"/>
        <v>5.1188225955696678E-2</v>
      </c>
    </row>
    <row r="7843" spans="7:8" x14ac:dyDescent="0.35">
      <c r="G7843" s="215">
        <v>7836</v>
      </c>
      <c r="H7843" s="16">
        <f t="shared" ca="1" si="130"/>
        <v>-2.4955173655624368E-2</v>
      </c>
    </row>
    <row r="7844" spans="7:8" x14ac:dyDescent="0.35">
      <c r="G7844" s="215">
        <v>7837</v>
      </c>
      <c r="H7844" s="16">
        <f t="shared" ca="1" si="130"/>
        <v>-0.10000137810564418</v>
      </c>
    </row>
    <row r="7845" spans="7:8" x14ac:dyDescent="0.35">
      <c r="G7845" s="215">
        <v>7838</v>
      </c>
      <c r="H7845" s="16">
        <f t="shared" ca="1" si="130"/>
        <v>6.672737793419771E-2</v>
      </c>
    </row>
    <row r="7846" spans="7:8" x14ac:dyDescent="0.35">
      <c r="G7846" s="215">
        <v>7839</v>
      </c>
      <c r="H7846" s="16">
        <f t="shared" ca="1" si="130"/>
        <v>-2.8247911993071983E-2</v>
      </c>
    </row>
    <row r="7847" spans="7:8" x14ac:dyDescent="0.35">
      <c r="G7847" s="215">
        <v>7840</v>
      </c>
      <c r="H7847" s="16">
        <f t="shared" ca="1" si="130"/>
        <v>-2.7889232011045501E-3</v>
      </c>
    </row>
    <row r="7848" spans="7:8" x14ac:dyDescent="0.35">
      <c r="G7848" s="215">
        <v>7841</v>
      </c>
      <c r="H7848" s="16">
        <f t="shared" ca="1" si="130"/>
        <v>0.12917756755115156</v>
      </c>
    </row>
    <row r="7849" spans="7:8" x14ac:dyDescent="0.35">
      <c r="G7849" s="215">
        <v>7842</v>
      </c>
      <c r="H7849" s="16">
        <f t="shared" ca="1" si="130"/>
        <v>-4.8083341367579427E-2</v>
      </c>
    </row>
    <row r="7850" spans="7:8" x14ac:dyDescent="0.35">
      <c r="G7850" s="215">
        <v>7843</v>
      </c>
      <c r="H7850" s="16">
        <f t="shared" ca="1" si="130"/>
        <v>6.4807036431282564E-2</v>
      </c>
    </row>
    <row r="7851" spans="7:8" x14ac:dyDescent="0.35">
      <c r="G7851" s="215">
        <v>7844</v>
      </c>
      <c r="H7851" s="16">
        <f t="shared" ca="1" si="130"/>
        <v>-9.0153446346909506E-3</v>
      </c>
    </row>
    <row r="7852" spans="7:8" x14ac:dyDescent="0.35">
      <c r="G7852" s="215">
        <v>7845</v>
      </c>
      <c r="H7852" s="16">
        <f t="shared" ca="1" si="130"/>
        <v>0.11873668923727394</v>
      </c>
    </row>
    <row r="7853" spans="7:8" x14ac:dyDescent="0.35">
      <c r="G7853" s="215">
        <v>7846</v>
      </c>
      <c r="H7853" s="16">
        <f t="shared" ca="1" si="130"/>
        <v>0.12954905238093789</v>
      </c>
    </row>
    <row r="7854" spans="7:8" x14ac:dyDescent="0.35">
      <c r="G7854" s="215">
        <v>7847</v>
      </c>
      <c r="H7854" s="16">
        <f t="shared" ca="1" si="130"/>
        <v>0.17312133137425398</v>
      </c>
    </row>
    <row r="7855" spans="7:8" x14ac:dyDescent="0.35">
      <c r="G7855" s="215">
        <v>7848</v>
      </c>
      <c r="H7855" s="16">
        <f t="shared" ca="1" si="130"/>
        <v>5.0968465063538887E-2</v>
      </c>
    </row>
    <row r="7856" spans="7:8" x14ac:dyDescent="0.35">
      <c r="G7856" s="215">
        <v>7849</v>
      </c>
      <c r="H7856" s="16">
        <f t="shared" ca="1" si="130"/>
        <v>-2.5788736629305465E-2</v>
      </c>
    </row>
    <row r="7857" spans="7:8" x14ac:dyDescent="0.35">
      <c r="G7857" s="215">
        <v>7850</v>
      </c>
      <c r="H7857" s="16">
        <f t="shared" ca="1" si="130"/>
        <v>-5.388416429702611E-2</v>
      </c>
    </row>
    <row r="7858" spans="7:8" x14ac:dyDescent="0.35">
      <c r="G7858" s="215">
        <v>7851</v>
      </c>
      <c r="H7858" s="16">
        <f t="shared" ca="1" si="130"/>
        <v>7.9052382063308294E-2</v>
      </c>
    </row>
    <row r="7859" spans="7:8" x14ac:dyDescent="0.35">
      <c r="G7859" s="215">
        <v>7852</v>
      </c>
      <c r="H7859" s="16">
        <f t="shared" ca="1" si="130"/>
        <v>-5.2091994573426822E-2</v>
      </c>
    </row>
    <row r="7860" spans="7:8" x14ac:dyDescent="0.35">
      <c r="G7860" s="215">
        <v>7853</v>
      </c>
      <c r="H7860" s="16">
        <f t="shared" ca="1" si="130"/>
        <v>4.9352357167235447E-2</v>
      </c>
    </row>
    <row r="7861" spans="7:8" x14ac:dyDescent="0.35">
      <c r="G7861" s="215">
        <v>7854</v>
      </c>
      <c r="H7861" s="16">
        <f t="shared" ca="1" si="130"/>
        <v>-5.55561453478087E-2</v>
      </c>
    </row>
    <row r="7862" spans="7:8" x14ac:dyDescent="0.35">
      <c r="G7862" s="215">
        <v>7855</v>
      </c>
      <c r="H7862" s="16">
        <f t="shared" ca="1" si="130"/>
        <v>-8.7124365919359112E-2</v>
      </c>
    </row>
    <row r="7863" spans="7:8" x14ac:dyDescent="0.35">
      <c r="G7863" s="215">
        <v>7856</v>
      </c>
      <c r="H7863" s="16">
        <f t="shared" ca="1" si="130"/>
        <v>3.0548550626553071E-2</v>
      </c>
    </row>
    <row r="7864" spans="7:8" x14ac:dyDescent="0.35">
      <c r="G7864" s="215">
        <v>7857</v>
      </c>
      <c r="H7864" s="16">
        <f t="shared" ca="1" si="130"/>
        <v>2.1370730049819469E-3</v>
      </c>
    </row>
    <row r="7865" spans="7:8" x14ac:dyDescent="0.35">
      <c r="G7865" s="215">
        <v>7858</v>
      </c>
      <c r="H7865" s="16">
        <f t="shared" ca="1" si="130"/>
        <v>6.8131072046228078E-2</v>
      </c>
    </row>
    <row r="7866" spans="7:8" x14ac:dyDescent="0.35">
      <c r="G7866" s="215">
        <v>7859</v>
      </c>
      <c r="H7866" s="16">
        <f t="shared" ca="1" si="130"/>
        <v>5.1666011041024529E-2</v>
      </c>
    </row>
    <row r="7867" spans="7:8" x14ac:dyDescent="0.35">
      <c r="G7867" s="215">
        <v>7860</v>
      </c>
      <c r="H7867" s="16">
        <f t="shared" ca="1" si="130"/>
        <v>2.688878727621417E-2</v>
      </c>
    </row>
    <row r="7868" spans="7:8" x14ac:dyDescent="0.35">
      <c r="G7868" s="215">
        <v>7861</v>
      </c>
      <c r="H7868" s="16">
        <f t="shared" ca="1" si="130"/>
        <v>0.12452759990462092</v>
      </c>
    </row>
    <row r="7869" spans="7:8" x14ac:dyDescent="0.35">
      <c r="G7869" s="215">
        <v>7862</v>
      </c>
      <c r="H7869" s="16">
        <f t="shared" ca="1" si="130"/>
        <v>-3.5700410476033305E-3</v>
      </c>
    </row>
    <row r="7870" spans="7:8" x14ac:dyDescent="0.35">
      <c r="G7870" s="215">
        <v>7863</v>
      </c>
      <c r="H7870" s="16">
        <f t="shared" ca="1" si="130"/>
        <v>-0.11173086081588805</v>
      </c>
    </row>
    <row r="7871" spans="7:8" x14ac:dyDescent="0.35">
      <c r="G7871" s="215">
        <v>7864</v>
      </c>
      <c r="H7871" s="16">
        <f t="shared" ca="1" si="130"/>
        <v>0.14854704868266397</v>
      </c>
    </row>
    <row r="7872" spans="7:8" x14ac:dyDescent="0.35">
      <c r="G7872" s="215">
        <v>7865</v>
      </c>
      <c r="H7872" s="16">
        <f t="shared" ca="1" si="130"/>
        <v>1.5600921187073211E-2</v>
      </c>
    </row>
    <row r="7873" spans="7:8" x14ac:dyDescent="0.35">
      <c r="G7873" s="215">
        <v>7866</v>
      </c>
      <c r="H7873" s="16">
        <f t="shared" ca="1" si="130"/>
        <v>0.14555854114128003</v>
      </c>
    </row>
    <row r="7874" spans="7:8" x14ac:dyDescent="0.35">
      <c r="G7874" s="215">
        <v>7867</v>
      </c>
      <c r="H7874" s="16">
        <f t="shared" ca="1" si="130"/>
        <v>-5.8965267206664659E-2</v>
      </c>
    </row>
    <row r="7875" spans="7:8" x14ac:dyDescent="0.35">
      <c r="G7875" s="215">
        <v>7868</v>
      </c>
      <c r="H7875" s="16">
        <f t="shared" ca="1" si="130"/>
        <v>-8.9329772283134254E-3</v>
      </c>
    </row>
    <row r="7876" spans="7:8" x14ac:dyDescent="0.35">
      <c r="G7876" s="215">
        <v>7869</v>
      </c>
      <c r="H7876" s="16">
        <f t="shared" ca="1" si="130"/>
        <v>8.9225468050119619E-2</v>
      </c>
    </row>
    <row r="7877" spans="7:8" x14ac:dyDescent="0.35">
      <c r="G7877" s="215">
        <v>7870</v>
      </c>
      <c r="H7877" s="16">
        <f t="shared" ca="1" si="130"/>
        <v>4.2655727148514608E-2</v>
      </c>
    </row>
    <row r="7878" spans="7:8" x14ac:dyDescent="0.35">
      <c r="G7878" s="215">
        <v>7871</v>
      </c>
      <c r="H7878" s="16">
        <f t="shared" ca="1" si="130"/>
        <v>-0.15127787994685937</v>
      </c>
    </row>
    <row r="7879" spans="7:8" x14ac:dyDescent="0.35">
      <c r="G7879" s="215">
        <v>7872</v>
      </c>
      <c r="H7879" s="16">
        <f t="shared" ca="1" si="130"/>
        <v>7.8565107681470889E-2</v>
      </c>
    </row>
    <row r="7880" spans="7:8" x14ac:dyDescent="0.35">
      <c r="G7880" s="215">
        <v>7873</v>
      </c>
      <c r="H7880" s="16">
        <f t="shared" ref="H7880:H7943" ca="1" si="131">_xlfn.NORM.INV(RAND(),M$10,M$11)</f>
        <v>-9.6262724338864292E-2</v>
      </c>
    </row>
    <row r="7881" spans="7:8" x14ac:dyDescent="0.35">
      <c r="G7881" s="215">
        <v>7874</v>
      </c>
      <c r="H7881" s="16">
        <f t="shared" ca="1" si="131"/>
        <v>9.3473789960158149E-2</v>
      </c>
    </row>
    <row r="7882" spans="7:8" x14ac:dyDescent="0.35">
      <c r="G7882" s="215">
        <v>7875</v>
      </c>
      <c r="H7882" s="16">
        <f t="shared" ca="1" si="131"/>
        <v>1.3040093317921045E-2</v>
      </c>
    </row>
    <row r="7883" spans="7:8" x14ac:dyDescent="0.35">
      <c r="G7883" s="215">
        <v>7876</v>
      </c>
      <c r="H7883" s="16">
        <f t="shared" ca="1" si="131"/>
        <v>4.9366746409552034E-2</v>
      </c>
    </row>
    <row r="7884" spans="7:8" x14ac:dyDescent="0.35">
      <c r="G7884" s="215">
        <v>7877</v>
      </c>
      <c r="H7884" s="16">
        <f t="shared" ca="1" si="131"/>
        <v>7.8446776139871041E-2</v>
      </c>
    </row>
    <row r="7885" spans="7:8" x14ac:dyDescent="0.35">
      <c r="G7885" s="215">
        <v>7878</v>
      </c>
      <c r="H7885" s="16">
        <f t="shared" ca="1" si="131"/>
        <v>1.194981894738327E-2</v>
      </c>
    </row>
    <row r="7886" spans="7:8" x14ac:dyDescent="0.35">
      <c r="G7886" s="215">
        <v>7879</v>
      </c>
      <c r="H7886" s="16">
        <f t="shared" ca="1" si="131"/>
        <v>4.2293495662318985E-2</v>
      </c>
    </row>
    <row r="7887" spans="7:8" x14ac:dyDescent="0.35">
      <c r="G7887" s="215">
        <v>7880</v>
      </c>
      <c r="H7887" s="16">
        <f t="shared" ca="1" si="131"/>
        <v>4.5754782969800761E-2</v>
      </c>
    </row>
    <row r="7888" spans="7:8" x14ac:dyDescent="0.35">
      <c r="G7888" s="215">
        <v>7881</v>
      </c>
      <c r="H7888" s="16">
        <f t="shared" ca="1" si="131"/>
        <v>2.1869657549862455E-2</v>
      </c>
    </row>
    <row r="7889" spans="7:8" x14ac:dyDescent="0.35">
      <c r="G7889" s="215">
        <v>7882</v>
      </c>
      <c r="H7889" s="16">
        <f t="shared" ca="1" si="131"/>
        <v>-2.2123782371931546E-2</v>
      </c>
    </row>
    <row r="7890" spans="7:8" x14ac:dyDescent="0.35">
      <c r="G7890" s="215">
        <v>7883</v>
      </c>
      <c r="H7890" s="16">
        <f t="shared" ca="1" si="131"/>
        <v>0.15834434451130511</v>
      </c>
    </row>
    <row r="7891" spans="7:8" x14ac:dyDescent="0.35">
      <c r="G7891" s="215">
        <v>7884</v>
      </c>
      <c r="H7891" s="16">
        <f t="shared" ca="1" si="131"/>
        <v>-0.13941751982679648</v>
      </c>
    </row>
    <row r="7892" spans="7:8" x14ac:dyDescent="0.35">
      <c r="G7892" s="215">
        <v>7885</v>
      </c>
      <c r="H7892" s="16">
        <f t="shared" ca="1" si="131"/>
        <v>9.6148171245615463E-2</v>
      </c>
    </row>
    <row r="7893" spans="7:8" x14ac:dyDescent="0.35">
      <c r="G7893" s="215">
        <v>7886</v>
      </c>
      <c r="H7893" s="16">
        <f t="shared" ca="1" si="131"/>
        <v>-6.0166759085721416E-2</v>
      </c>
    </row>
    <row r="7894" spans="7:8" x14ac:dyDescent="0.35">
      <c r="G7894" s="215">
        <v>7887</v>
      </c>
      <c r="H7894" s="16">
        <f t="shared" ca="1" si="131"/>
        <v>-3.011960420496233E-2</v>
      </c>
    </row>
    <row r="7895" spans="7:8" x14ac:dyDescent="0.35">
      <c r="G7895" s="215">
        <v>7888</v>
      </c>
      <c r="H7895" s="16">
        <f t="shared" ca="1" si="131"/>
        <v>-1.4043125320508453E-2</v>
      </c>
    </row>
    <row r="7896" spans="7:8" x14ac:dyDescent="0.35">
      <c r="G7896" s="215">
        <v>7889</v>
      </c>
      <c r="H7896" s="16">
        <f t="shared" ca="1" si="131"/>
        <v>0.12371819865513352</v>
      </c>
    </row>
    <row r="7897" spans="7:8" x14ac:dyDescent="0.35">
      <c r="G7897" s="215">
        <v>7890</v>
      </c>
      <c r="H7897" s="16">
        <f t="shared" ca="1" si="131"/>
        <v>-3.3599443915186822E-3</v>
      </c>
    </row>
    <row r="7898" spans="7:8" x14ac:dyDescent="0.35">
      <c r="G7898" s="215">
        <v>7891</v>
      </c>
      <c r="H7898" s="16">
        <f t="shared" ca="1" si="131"/>
        <v>7.1058162464663149E-2</v>
      </c>
    </row>
    <row r="7899" spans="7:8" x14ac:dyDescent="0.35">
      <c r="G7899" s="215">
        <v>7892</v>
      </c>
      <c r="H7899" s="16">
        <f t="shared" ca="1" si="131"/>
        <v>2.6148754057132399E-3</v>
      </c>
    </row>
    <row r="7900" spans="7:8" x14ac:dyDescent="0.35">
      <c r="G7900" s="215">
        <v>7893</v>
      </c>
      <c r="H7900" s="16">
        <f t="shared" ca="1" si="131"/>
        <v>-0.19799723401245969</v>
      </c>
    </row>
    <row r="7901" spans="7:8" x14ac:dyDescent="0.35">
      <c r="G7901" s="215">
        <v>7894</v>
      </c>
      <c r="H7901" s="16">
        <f t="shared" ca="1" si="131"/>
        <v>-6.4437312531358495E-2</v>
      </c>
    </row>
    <row r="7902" spans="7:8" x14ac:dyDescent="0.35">
      <c r="G7902" s="215">
        <v>7895</v>
      </c>
      <c r="H7902" s="16">
        <f t="shared" ca="1" si="131"/>
        <v>6.7776552921146677E-2</v>
      </c>
    </row>
    <row r="7903" spans="7:8" x14ac:dyDescent="0.35">
      <c r="G7903" s="215">
        <v>7896</v>
      </c>
      <c r="H7903" s="16">
        <f t="shared" ca="1" si="131"/>
        <v>3.4079960843018835E-2</v>
      </c>
    </row>
    <row r="7904" spans="7:8" x14ac:dyDescent="0.35">
      <c r="G7904" s="215">
        <v>7897</v>
      </c>
      <c r="H7904" s="16">
        <f t="shared" ca="1" si="131"/>
        <v>3.2309851747734042E-2</v>
      </c>
    </row>
    <row r="7905" spans="7:8" x14ac:dyDescent="0.35">
      <c r="G7905" s="215">
        <v>7898</v>
      </c>
      <c r="H7905" s="16">
        <f t="shared" ca="1" si="131"/>
        <v>-6.4480309638423522E-2</v>
      </c>
    </row>
    <row r="7906" spans="7:8" x14ac:dyDescent="0.35">
      <c r="G7906" s="215">
        <v>7899</v>
      </c>
      <c r="H7906" s="16">
        <f t="shared" ca="1" si="131"/>
        <v>6.1258915744552181E-2</v>
      </c>
    </row>
    <row r="7907" spans="7:8" x14ac:dyDescent="0.35">
      <c r="G7907" s="215">
        <v>7900</v>
      </c>
      <c r="H7907" s="16">
        <f t="shared" ca="1" si="131"/>
        <v>0.10449426836105014</v>
      </c>
    </row>
    <row r="7908" spans="7:8" x14ac:dyDescent="0.35">
      <c r="G7908" s="215">
        <v>7901</v>
      </c>
      <c r="H7908" s="16">
        <f t="shared" ca="1" si="131"/>
        <v>2.9704109087690399E-2</v>
      </c>
    </row>
    <row r="7909" spans="7:8" x14ac:dyDescent="0.35">
      <c r="G7909" s="215">
        <v>7902</v>
      </c>
      <c r="H7909" s="16">
        <f t="shared" ca="1" si="131"/>
        <v>-9.8316489488490949E-3</v>
      </c>
    </row>
    <row r="7910" spans="7:8" x14ac:dyDescent="0.35">
      <c r="G7910" s="215">
        <v>7903</v>
      </c>
      <c r="H7910" s="16">
        <f t="shared" ca="1" si="131"/>
        <v>5.7139914650884679E-2</v>
      </c>
    </row>
    <row r="7911" spans="7:8" x14ac:dyDescent="0.35">
      <c r="G7911" s="215">
        <v>7904</v>
      </c>
      <c r="H7911" s="16">
        <f t="shared" ca="1" si="131"/>
        <v>2.5024834807270392E-2</v>
      </c>
    </row>
    <row r="7912" spans="7:8" x14ac:dyDescent="0.35">
      <c r="G7912" s="215">
        <v>7905</v>
      </c>
      <c r="H7912" s="16">
        <f t="shared" ca="1" si="131"/>
        <v>0.16814615260753296</v>
      </c>
    </row>
    <row r="7913" spans="7:8" x14ac:dyDescent="0.35">
      <c r="G7913" s="215">
        <v>7906</v>
      </c>
      <c r="H7913" s="16">
        <f t="shared" ca="1" si="131"/>
        <v>-2.3395099763576423E-2</v>
      </c>
    </row>
    <row r="7914" spans="7:8" x14ac:dyDescent="0.35">
      <c r="G7914" s="215">
        <v>7907</v>
      </c>
      <c r="H7914" s="16">
        <f t="shared" ca="1" si="131"/>
        <v>3.8208628374935882E-2</v>
      </c>
    </row>
    <row r="7915" spans="7:8" x14ac:dyDescent="0.35">
      <c r="G7915" s="215">
        <v>7908</v>
      </c>
      <c r="H7915" s="16">
        <f t="shared" ca="1" si="131"/>
        <v>-4.0370942833289583E-2</v>
      </c>
    </row>
    <row r="7916" spans="7:8" x14ac:dyDescent="0.35">
      <c r="G7916" s="215">
        <v>7909</v>
      </c>
      <c r="H7916" s="16">
        <f t="shared" ca="1" si="131"/>
        <v>8.7545415608699259E-2</v>
      </c>
    </row>
    <row r="7917" spans="7:8" x14ac:dyDescent="0.35">
      <c r="G7917" s="215">
        <v>7910</v>
      </c>
      <c r="H7917" s="16">
        <f t="shared" ca="1" si="131"/>
        <v>6.5654400866401827E-2</v>
      </c>
    </row>
    <row r="7918" spans="7:8" x14ac:dyDescent="0.35">
      <c r="G7918" s="215">
        <v>7911</v>
      </c>
      <c r="H7918" s="16">
        <f t="shared" ca="1" si="131"/>
        <v>-5.470990678662857E-2</v>
      </c>
    </row>
    <row r="7919" spans="7:8" x14ac:dyDescent="0.35">
      <c r="G7919" s="215">
        <v>7912</v>
      </c>
      <c r="H7919" s="16">
        <f t="shared" ca="1" si="131"/>
        <v>-9.4559310204337006E-3</v>
      </c>
    </row>
    <row r="7920" spans="7:8" x14ac:dyDescent="0.35">
      <c r="G7920" s="215">
        <v>7913</v>
      </c>
      <c r="H7920" s="16">
        <f t="shared" ca="1" si="131"/>
        <v>2.1895044750522397E-2</v>
      </c>
    </row>
    <row r="7921" spans="7:8" x14ac:dyDescent="0.35">
      <c r="G7921" s="215">
        <v>7914</v>
      </c>
      <c r="H7921" s="16">
        <f t="shared" ca="1" si="131"/>
        <v>-0.14143503213864361</v>
      </c>
    </row>
    <row r="7922" spans="7:8" x14ac:dyDescent="0.35">
      <c r="G7922" s="215">
        <v>7915</v>
      </c>
      <c r="H7922" s="16">
        <f t="shared" ca="1" si="131"/>
        <v>-6.4406057780006853E-2</v>
      </c>
    </row>
    <row r="7923" spans="7:8" x14ac:dyDescent="0.35">
      <c r="G7923" s="215">
        <v>7916</v>
      </c>
      <c r="H7923" s="16">
        <f t="shared" ca="1" si="131"/>
        <v>2.2879845243943941E-2</v>
      </c>
    </row>
    <row r="7924" spans="7:8" x14ac:dyDescent="0.35">
      <c r="G7924" s="215">
        <v>7917</v>
      </c>
      <c r="H7924" s="16">
        <f t="shared" ca="1" si="131"/>
        <v>0.10798876546843726</v>
      </c>
    </row>
    <row r="7925" spans="7:8" x14ac:dyDescent="0.35">
      <c r="G7925" s="215">
        <v>7918</v>
      </c>
      <c r="H7925" s="16">
        <f t="shared" ca="1" si="131"/>
        <v>0.11554848472063201</v>
      </c>
    </row>
    <row r="7926" spans="7:8" x14ac:dyDescent="0.35">
      <c r="G7926" s="215">
        <v>7919</v>
      </c>
      <c r="H7926" s="16">
        <f t="shared" ca="1" si="131"/>
        <v>-6.5441224433364753E-2</v>
      </c>
    </row>
    <row r="7927" spans="7:8" x14ac:dyDescent="0.35">
      <c r="G7927" s="215">
        <v>7920</v>
      </c>
      <c r="H7927" s="16">
        <f t="shared" ca="1" si="131"/>
        <v>5.9676926427955287E-2</v>
      </c>
    </row>
    <row r="7928" spans="7:8" x14ac:dyDescent="0.35">
      <c r="G7928" s="215">
        <v>7921</v>
      </c>
      <c r="H7928" s="16">
        <f t="shared" ca="1" si="131"/>
        <v>2.5232268421305944E-2</v>
      </c>
    </row>
    <row r="7929" spans="7:8" x14ac:dyDescent="0.35">
      <c r="G7929" s="215">
        <v>7922</v>
      </c>
      <c r="H7929" s="16">
        <f t="shared" ca="1" si="131"/>
        <v>6.2491163567549343E-2</v>
      </c>
    </row>
    <row r="7930" spans="7:8" x14ac:dyDescent="0.35">
      <c r="G7930" s="215">
        <v>7923</v>
      </c>
      <c r="H7930" s="16">
        <f t="shared" ca="1" si="131"/>
        <v>1.4468418179307947E-2</v>
      </c>
    </row>
    <row r="7931" spans="7:8" x14ac:dyDescent="0.35">
      <c r="G7931" s="215">
        <v>7924</v>
      </c>
      <c r="H7931" s="16">
        <f t="shared" ca="1" si="131"/>
        <v>5.1238533029903069E-2</v>
      </c>
    </row>
    <row r="7932" spans="7:8" x14ac:dyDescent="0.35">
      <c r="G7932" s="215">
        <v>7925</v>
      </c>
      <c r="H7932" s="16">
        <f t="shared" ca="1" si="131"/>
        <v>-3.8210466627138159E-2</v>
      </c>
    </row>
    <row r="7933" spans="7:8" x14ac:dyDescent="0.35">
      <c r="G7933" s="215">
        <v>7926</v>
      </c>
      <c r="H7933" s="16">
        <f t="shared" ca="1" si="131"/>
        <v>9.6232161163247038E-3</v>
      </c>
    </row>
    <row r="7934" spans="7:8" x14ac:dyDescent="0.35">
      <c r="G7934" s="215">
        <v>7927</v>
      </c>
      <c r="H7934" s="16">
        <f t="shared" ca="1" si="131"/>
        <v>-2.2113728401660881E-2</v>
      </c>
    </row>
    <row r="7935" spans="7:8" x14ac:dyDescent="0.35">
      <c r="G7935" s="215">
        <v>7928</v>
      </c>
      <c r="H7935" s="16">
        <f t="shared" ca="1" si="131"/>
        <v>3.0741305947227047E-3</v>
      </c>
    </row>
    <row r="7936" spans="7:8" x14ac:dyDescent="0.35">
      <c r="G7936" s="215">
        <v>7929</v>
      </c>
      <c r="H7936" s="16">
        <f t="shared" ca="1" si="131"/>
        <v>0.11240163258339779</v>
      </c>
    </row>
    <row r="7937" spans="7:8" x14ac:dyDescent="0.35">
      <c r="G7937" s="215">
        <v>7930</v>
      </c>
      <c r="H7937" s="16">
        <f t="shared" ca="1" si="131"/>
        <v>-3.6361633274757332E-2</v>
      </c>
    </row>
    <row r="7938" spans="7:8" x14ac:dyDescent="0.35">
      <c r="G7938" s="215">
        <v>7931</v>
      </c>
      <c r="H7938" s="16">
        <f t="shared" ca="1" si="131"/>
        <v>-6.3144526921050936E-4</v>
      </c>
    </row>
    <row r="7939" spans="7:8" x14ac:dyDescent="0.35">
      <c r="G7939" s="215">
        <v>7932</v>
      </c>
      <c r="H7939" s="16">
        <f t="shared" ca="1" si="131"/>
        <v>0.11797541756968935</v>
      </c>
    </row>
    <row r="7940" spans="7:8" x14ac:dyDescent="0.35">
      <c r="G7940" s="215">
        <v>7933</v>
      </c>
      <c r="H7940" s="16">
        <f t="shared" ca="1" si="131"/>
        <v>6.1073671372193744E-2</v>
      </c>
    </row>
    <row r="7941" spans="7:8" x14ac:dyDescent="0.35">
      <c r="G7941" s="215">
        <v>7934</v>
      </c>
      <c r="H7941" s="16">
        <f t="shared" ca="1" si="131"/>
        <v>9.42077741252344E-2</v>
      </c>
    </row>
    <row r="7942" spans="7:8" x14ac:dyDescent="0.35">
      <c r="G7942" s="215">
        <v>7935</v>
      </c>
      <c r="H7942" s="16">
        <f t="shared" ca="1" si="131"/>
        <v>1.992224866310607E-2</v>
      </c>
    </row>
    <row r="7943" spans="7:8" x14ac:dyDescent="0.35">
      <c r="G7943" s="215">
        <v>7936</v>
      </c>
      <c r="H7943" s="16">
        <f t="shared" ca="1" si="131"/>
        <v>4.3417723989772464E-2</v>
      </c>
    </row>
    <row r="7944" spans="7:8" x14ac:dyDescent="0.35">
      <c r="G7944" s="215">
        <v>7937</v>
      </c>
      <c r="H7944" s="16">
        <f t="shared" ref="H7944:H8007" ca="1" si="132">_xlfn.NORM.INV(RAND(),M$10,M$11)</f>
        <v>-6.264567254646336E-2</v>
      </c>
    </row>
    <row r="7945" spans="7:8" x14ac:dyDescent="0.35">
      <c r="G7945" s="215">
        <v>7938</v>
      </c>
      <c r="H7945" s="16">
        <f t="shared" ca="1" si="132"/>
        <v>-4.3393651506736075E-2</v>
      </c>
    </row>
    <row r="7946" spans="7:8" x14ac:dyDescent="0.35">
      <c r="G7946" s="215">
        <v>7939</v>
      </c>
      <c r="H7946" s="16">
        <f t="shared" ca="1" si="132"/>
        <v>-0.13093896732159538</v>
      </c>
    </row>
    <row r="7947" spans="7:8" x14ac:dyDescent="0.35">
      <c r="G7947" s="215">
        <v>7940</v>
      </c>
      <c r="H7947" s="16">
        <f t="shared" ca="1" si="132"/>
        <v>-7.9780212860389541E-2</v>
      </c>
    </row>
    <row r="7948" spans="7:8" x14ac:dyDescent="0.35">
      <c r="G7948" s="215">
        <v>7941</v>
      </c>
      <c r="H7948" s="16">
        <f t="shared" ca="1" si="132"/>
        <v>3.2419435298095087E-2</v>
      </c>
    </row>
    <row r="7949" spans="7:8" x14ac:dyDescent="0.35">
      <c r="G7949" s="215">
        <v>7942</v>
      </c>
      <c r="H7949" s="16">
        <f t="shared" ca="1" si="132"/>
        <v>-3.0227821870464581E-2</v>
      </c>
    </row>
    <row r="7950" spans="7:8" x14ac:dyDescent="0.35">
      <c r="G7950" s="215">
        <v>7943</v>
      </c>
      <c r="H7950" s="16">
        <f t="shared" ca="1" si="132"/>
        <v>5.3076415949403571E-2</v>
      </c>
    </row>
    <row r="7951" spans="7:8" x14ac:dyDescent="0.35">
      <c r="G7951" s="215">
        <v>7944</v>
      </c>
      <c r="H7951" s="16">
        <f t="shared" ca="1" si="132"/>
        <v>-7.4337241163304021E-2</v>
      </c>
    </row>
    <row r="7952" spans="7:8" x14ac:dyDescent="0.35">
      <c r="G7952" s="215">
        <v>7945</v>
      </c>
      <c r="H7952" s="16">
        <f t="shared" ca="1" si="132"/>
        <v>-2.2573017291679463E-2</v>
      </c>
    </row>
    <row r="7953" spans="7:8" x14ac:dyDescent="0.35">
      <c r="G7953" s="215">
        <v>7946</v>
      </c>
      <c r="H7953" s="16">
        <f t="shared" ca="1" si="132"/>
        <v>7.2634924891602143E-2</v>
      </c>
    </row>
    <row r="7954" spans="7:8" x14ac:dyDescent="0.35">
      <c r="G7954" s="215">
        <v>7947</v>
      </c>
      <c r="H7954" s="16">
        <f t="shared" ca="1" si="132"/>
        <v>4.8780789831791103E-3</v>
      </c>
    </row>
    <row r="7955" spans="7:8" x14ac:dyDescent="0.35">
      <c r="G7955" s="215">
        <v>7948</v>
      </c>
      <c r="H7955" s="16">
        <f t="shared" ca="1" si="132"/>
        <v>-8.3920148364937844E-2</v>
      </c>
    </row>
    <row r="7956" spans="7:8" x14ac:dyDescent="0.35">
      <c r="G7956" s="215">
        <v>7949</v>
      </c>
      <c r="H7956" s="16">
        <f t="shared" ca="1" si="132"/>
        <v>0.11024764928688831</v>
      </c>
    </row>
    <row r="7957" spans="7:8" x14ac:dyDescent="0.35">
      <c r="G7957" s="215">
        <v>7950</v>
      </c>
      <c r="H7957" s="16">
        <f t="shared" ca="1" si="132"/>
        <v>-6.4460125185927614E-2</v>
      </c>
    </row>
    <row r="7958" spans="7:8" x14ac:dyDescent="0.35">
      <c r="G7958" s="215">
        <v>7951</v>
      </c>
      <c r="H7958" s="16">
        <f t="shared" ca="1" si="132"/>
        <v>-3.7161150351071939E-2</v>
      </c>
    </row>
    <row r="7959" spans="7:8" x14ac:dyDescent="0.35">
      <c r="G7959" s="215">
        <v>7952</v>
      </c>
      <c r="H7959" s="16">
        <f t="shared" ca="1" si="132"/>
        <v>-4.9874365184554556E-2</v>
      </c>
    </row>
    <row r="7960" spans="7:8" x14ac:dyDescent="0.35">
      <c r="G7960" s="215">
        <v>7953</v>
      </c>
      <c r="H7960" s="16">
        <f t="shared" ca="1" si="132"/>
        <v>-0.12342262732131648</v>
      </c>
    </row>
    <row r="7961" spans="7:8" x14ac:dyDescent="0.35">
      <c r="G7961" s="215">
        <v>7954</v>
      </c>
      <c r="H7961" s="16">
        <f t="shared" ca="1" si="132"/>
        <v>6.5578919862070342E-3</v>
      </c>
    </row>
    <row r="7962" spans="7:8" x14ac:dyDescent="0.35">
      <c r="G7962" s="215">
        <v>7955</v>
      </c>
      <c r="H7962" s="16">
        <f t="shared" ca="1" si="132"/>
        <v>6.0667153548392333E-2</v>
      </c>
    </row>
    <row r="7963" spans="7:8" x14ac:dyDescent="0.35">
      <c r="G7963" s="215">
        <v>7956</v>
      </c>
      <c r="H7963" s="16">
        <f t="shared" ca="1" si="132"/>
        <v>5.179125846104253E-2</v>
      </c>
    </row>
    <row r="7964" spans="7:8" x14ac:dyDescent="0.35">
      <c r="G7964" s="215">
        <v>7957</v>
      </c>
      <c r="H7964" s="16">
        <f t="shared" ca="1" si="132"/>
        <v>0.12828888317769485</v>
      </c>
    </row>
    <row r="7965" spans="7:8" x14ac:dyDescent="0.35">
      <c r="G7965" s="215">
        <v>7958</v>
      </c>
      <c r="H7965" s="16">
        <f t="shared" ca="1" si="132"/>
        <v>0.21794689653528654</v>
      </c>
    </row>
    <row r="7966" spans="7:8" x14ac:dyDescent="0.35">
      <c r="G7966" s="215">
        <v>7959</v>
      </c>
      <c r="H7966" s="16">
        <f t="shared" ca="1" si="132"/>
        <v>7.7235313139912623E-2</v>
      </c>
    </row>
    <row r="7967" spans="7:8" x14ac:dyDescent="0.35">
      <c r="G7967" s="215">
        <v>7960</v>
      </c>
      <c r="H7967" s="16">
        <f t="shared" ca="1" si="132"/>
        <v>5.1099397707671072E-4</v>
      </c>
    </row>
    <row r="7968" spans="7:8" x14ac:dyDescent="0.35">
      <c r="G7968" s="215">
        <v>7961</v>
      </c>
      <c r="H7968" s="16">
        <f t="shared" ca="1" si="132"/>
        <v>-0.11239052330612559</v>
      </c>
    </row>
    <row r="7969" spans="7:8" x14ac:dyDescent="0.35">
      <c r="G7969" s="215">
        <v>7962</v>
      </c>
      <c r="H7969" s="16">
        <f t="shared" ca="1" si="132"/>
        <v>1.2492852545050085E-2</v>
      </c>
    </row>
    <row r="7970" spans="7:8" x14ac:dyDescent="0.35">
      <c r="G7970" s="215">
        <v>7963</v>
      </c>
      <c r="H7970" s="16">
        <f t="shared" ca="1" si="132"/>
        <v>8.6612272845239952E-3</v>
      </c>
    </row>
    <row r="7971" spans="7:8" x14ac:dyDescent="0.35">
      <c r="G7971" s="215">
        <v>7964</v>
      </c>
      <c r="H7971" s="16">
        <f t="shared" ca="1" si="132"/>
        <v>-6.6978361640335229E-2</v>
      </c>
    </row>
    <row r="7972" spans="7:8" x14ac:dyDescent="0.35">
      <c r="G7972" s="215">
        <v>7965</v>
      </c>
      <c r="H7972" s="16">
        <f t="shared" ca="1" si="132"/>
        <v>-3.4834498845385309E-2</v>
      </c>
    </row>
    <row r="7973" spans="7:8" x14ac:dyDescent="0.35">
      <c r="G7973" s="215">
        <v>7966</v>
      </c>
      <c r="H7973" s="16">
        <f t="shared" ca="1" si="132"/>
        <v>1.3289377263991979E-2</v>
      </c>
    </row>
    <row r="7974" spans="7:8" x14ac:dyDescent="0.35">
      <c r="G7974" s="215">
        <v>7967</v>
      </c>
      <c r="H7974" s="16">
        <f t="shared" ca="1" si="132"/>
        <v>4.0484248287312605E-2</v>
      </c>
    </row>
    <row r="7975" spans="7:8" x14ac:dyDescent="0.35">
      <c r="G7975" s="215">
        <v>7968</v>
      </c>
      <c r="H7975" s="16">
        <f t="shared" ca="1" si="132"/>
        <v>9.3797372843502494E-2</v>
      </c>
    </row>
    <row r="7976" spans="7:8" x14ac:dyDescent="0.35">
      <c r="G7976" s="215">
        <v>7969</v>
      </c>
      <c r="H7976" s="16">
        <f t="shared" ca="1" si="132"/>
        <v>-4.6284351157774975E-2</v>
      </c>
    </row>
    <row r="7977" spans="7:8" x14ac:dyDescent="0.35">
      <c r="G7977" s="215">
        <v>7970</v>
      </c>
      <c r="H7977" s="16">
        <f t="shared" ca="1" si="132"/>
        <v>-5.4549875014970294E-4</v>
      </c>
    </row>
    <row r="7978" spans="7:8" x14ac:dyDescent="0.35">
      <c r="G7978" s="215">
        <v>7971</v>
      </c>
      <c r="H7978" s="16">
        <f t="shared" ca="1" si="132"/>
        <v>-6.5691420812295342E-2</v>
      </c>
    </row>
    <row r="7979" spans="7:8" x14ac:dyDescent="0.35">
      <c r="G7979" s="215">
        <v>7972</v>
      </c>
      <c r="H7979" s="16">
        <f t="shared" ca="1" si="132"/>
        <v>1.4897750955291209E-2</v>
      </c>
    </row>
    <row r="7980" spans="7:8" x14ac:dyDescent="0.35">
      <c r="G7980" s="215">
        <v>7973</v>
      </c>
      <c r="H7980" s="16">
        <f t="shared" ca="1" si="132"/>
        <v>8.6917464012681744E-2</v>
      </c>
    </row>
    <row r="7981" spans="7:8" x14ac:dyDescent="0.35">
      <c r="G7981" s="215">
        <v>7974</v>
      </c>
      <c r="H7981" s="16">
        <f t="shared" ca="1" si="132"/>
        <v>-5.7649912987156382E-2</v>
      </c>
    </row>
    <row r="7982" spans="7:8" x14ac:dyDescent="0.35">
      <c r="G7982" s="215">
        <v>7975</v>
      </c>
      <c r="H7982" s="16">
        <f t="shared" ca="1" si="132"/>
        <v>0.10681650739396882</v>
      </c>
    </row>
    <row r="7983" spans="7:8" x14ac:dyDescent="0.35">
      <c r="G7983" s="215">
        <v>7976</v>
      </c>
      <c r="H7983" s="16">
        <f t="shared" ca="1" si="132"/>
        <v>-9.8196322678385017E-2</v>
      </c>
    </row>
    <row r="7984" spans="7:8" x14ac:dyDescent="0.35">
      <c r="G7984" s="215">
        <v>7977</v>
      </c>
      <c r="H7984" s="16">
        <f t="shared" ca="1" si="132"/>
        <v>4.8583041878612301E-2</v>
      </c>
    </row>
    <row r="7985" spans="7:8" x14ac:dyDescent="0.35">
      <c r="G7985" s="215">
        <v>7978</v>
      </c>
      <c r="H7985" s="16">
        <f t="shared" ca="1" si="132"/>
        <v>-2.5036223587688641E-3</v>
      </c>
    </row>
    <row r="7986" spans="7:8" x14ac:dyDescent="0.35">
      <c r="G7986" s="215">
        <v>7979</v>
      </c>
      <c r="H7986" s="16">
        <f t="shared" ca="1" si="132"/>
        <v>-2.8938768231979797E-2</v>
      </c>
    </row>
    <row r="7987" spans="7:8" x14ac:dyDescent="0.35">
      <c r="G7987" s="215">
        <v>7980</v>
      </c>
      <c r="H7987" s="16">
        <f t="shared" ca="1" si="132"/>
        <v>-9.0328842376249094E-2</v>
      </c>
    </row>
    <row r="7988" spans="7:8" x14ac:dyDescent="0.35">
      <c r="G7988" s="215">
        <v>7981</v>
      </c>
      <c r="H7988" s="16">
        <f t="shared" ca="1" si="132"/>
        <v>6.8728238969506278E-2</v>
      </c>
    </row>
    <row r="7989" spans="7:8" x14ac:dyDescent="0.35">
      <c r="G7989" s="215">
        <v>7982</v>
      </c>
      <c r="H7989" s="16">
        <f t="shared" ca="1" si="132"/>
        <v>-4.925865362436177E-2</v>
      </c>
    </row>
    <row r="7990" spans="7:8" x14ac:dyDescent="0.35">
      <c r="G7990" s="215">
        <v>7983</v>
      </c>
      <c r="H7990" s="16">
        <f t="shared" ca="1" si="132"/>
        <v>0.22220799770945199</v>
      </c>
    </row>
    <row r="7991" spans="7:8" x14ac:dyDescent="0.35">
      <c r="G7991" s="215">
        <v>7984</v>
      </c>
      <c r="H7991" s="16">
        <f t="shared" ca="1" si="132"/>
        <v>-0.10738701937394786</v>
      </c>
    </row>
    <row r="7992" spans="7:8" x14ac:dyDescent="0.35">
      <c r="G7992" s="215">
        <v>7985</v>
      </c>
      <c r="H7992" s="16">
        <f t="shared" ca="1" si="132"/>
        <v>-7.0209197710304455E-2</v>
      </c>
    </row>
    <row r="7993" spans="7:8" x14ac:dyDescent="0.35">
      <c r="G7993" s="215">
        <v>7986</v>
      </c>
      <c r="H7993" s="16">
        <f t="shared" ca="1" si="132"/>
        <v>5.2184213303074725E-2</v>
      </c>
    </row>
    <row r="7994" spans="7:8" x14ac:dyDescent="0.35">
      <c r="G7994" s="215">
        <v>7987</v>
      </c>
      <c r="H7994" s="16">
        <f t="shared" ca="1" si="132"/>
        <v>3.0952513765858877E-2</v>
      </c>
    </row>
    <row r="7995" spans="7:8" x14ac:dyDescent="0.35">
      <c r="G7995" s="215">
        <v>7988</v>
      </c>
      <c r="H7995" s="16">
        <f t="shared" ca="1" si="132"/>
        <v>0.11497154865838063</v>
      </c>
    </row>
    <row r="7996" spans="7:8" x14ac:dyDescent="0.35">
      <c r="G7996" s="215">
        <v>7989</v>
      </c>
      <c r="H7996" s="16">
        <f t="shared" ca="1" si="132"/>
        <v>4.6728851994285336E-2</v>
      </c>
    </row>
    <row r="7997" spans="7:8" x14ac:dyDescent="0.35">
      <c r="G7997" s="215">
        <v>7990</v>
      </c>
      <c r="H7997" s="16">
        <f t="shared" ca="1" si="132"/>
        <v>0.1055230689679422</v>
      </c>
    </row>
    <row r="7998" spans="7:8" x14ac:dyDescent="0.35">
      <c r="G7998" s="215">
        <v>7991</v>
      </c>
      <c r="H7998" s="16">
        <f t="shared" ca="1" si="132"/>
        <v>-2.9070987860087567E-3</v>
      </c>
    </row>
    <row r="7999" spans="7:8" x14ac:dyDescent="0.35">
      <c r="G7999" s="215">
        <v>7992</v>
      </c>
      <c r="H7999" s="16">
        <f t="shared" ca="1" si="132"/>
        <v>8.2236738787424199E-2</v>
      </c>
    </row>
    <row r="8000" spans="7:8" x14ac:dyDescent="0.35">
      <c r="G8000" s="215">
        <v>7993</v>
      </c>
      <c r="H8000" s="16">
        <f t="shared" ca="1" si="132"/>
        <v>-3.5527128067297367E-2</v>
      </c>
    </row>
    <row r="8001" spans="7:8" x14ac:dyDescent="0.35">
      <c r="G8001" s="215">
        <v>7994</v>
      </c>
      <c r="H8001" s="16">
        <f t="shared" ca="1" si="132"/>
        <v>6.0899462140540331E-2</v>
      </c>
    </row>
    <row r="8002" spans="7:8" x14ac:dyDescent="0.35">
      <c r="G8002" s="215">
        <v>7995</v>
      </c>
      <c r="H8002" s="16">
        <f t="shared" ca="1" si="132"/>
        <v>-6.0600759462797193E-3</v>
      </c>
    </row>
    <row r="8003" spans="7:8" x14ac:dyDescent="0.35">
      <c r="G8003" s="215">
        <v>7996</v>
      </c>
      <c r="H8003" s="16">
        <f t="shared" ca="1" si="132"/>
        <v>-0.12064123699594864</v>
      </c>
    </row>
    <row r="8004" spans="7:8" x14ac:dyDescent="0.35">
      <c r="G8004" s="215">
        <v>7997</v>
      </c>
      <c r="H8004" s="16">
        <f t="shared" ca="1" si="132"/>
        <v>-0.14141038051415392</v>
      </c>
    </row>
    <row r="8005" spans="7:8" x14ac:dyDescent="0.35">
      <c r="G8005" s="215">
        <v>7998</v>
      </c>
      <c r="H8005" s="16">
        <f t="shared" ca="1" si="132"/>
        <v>1.141228626286319E-3</v>
      </c>
    </row>
    <row r="8006" spans="7:8" x14ac:dyDescent="0.35">
      <c r="G8006" s="215">
        <v>7999</v>
      </c>
      <c r="H8006" s="16">
        <f t="shared" ca="1" si="132"/>
        <v>-3.8122701644116741E-2</v>
      </c>
    </row>
    <row r="8007" spans="7:8" x14ac:dyDescent="0.35">
      <c r="G8007" s="215">
        <v>8000</v>
      </c>
      <c r="H8007" s="16">
        <f t="shared" ca="1" si="132"/>
        <v>-0.14679966082275642</v>
      </c>
    </row>
    <row r="8008" spans="7:8" x14ac:dyDescent="0.35">
      <c r="G8008" s="215">
        <v>8001</v>
      </c>
      <c r="H8008" s="16">
        <f t="shared" ref="H8008:H8071" ca="1" si="133">_xlfn.NORM.INV(RAND(),M$10,M$11)</f>
        <v>9.7079212242515804E-3</v>
      </c>
    </row>
    <row r="8009" spans="7:8" x14ac:dyDescent="0.35">
      <c r="G8009" s="215">
        <v>8002</v>
      </c>
      <c r="H8009" s="16">
        <f t="shared" ca="1" si="133"/>
        <v>-3.7736136699909023E-2</v>
      </c>
    </row>
    <row r="8010" spans="7:8" x14ac:dyDescent="0.35">
      <c r="G8010" s="215">
        <v>8003</v>
      </c>
      <c r="H8010" s="16">
        <f t="shared" ca="1" si="133"/>
        <v>9.4670227109524344E-3</v>
      </c>
    </row>
    <row r="8011" spans="7:8" x14ac:dyDescent="0.35">
      <c r="G8011" s="215">
        <v>8004</v>
      </c>
      <c r="H8011" s="16">
        <f t="shared" ca="1" si="133"/>
        <v>4.616738031657705E-2</v>
      </c>
    </row>
    <row r="8012" spans="7:8" x14ac:dyDescent="0.35">
      <c r="G8012" s="215">
        <v>8005</v>
      </c>
      <c r="H8012" s="16">
        <f t="shared" ca="1" si="133"/>
        <v>8.317455950313353E-2</v>
      </c>
    </row>
    <row r="8013" spans="7:8" x14ac:dyDescent="0.35">
      <c r="G8013" s="215">
        <v>8006</v>
      </c>
      <c r="H8013" s="16">
        <f t="shared" ca="1" si="133"/>
        <v>8.0322577973830772E-2</v>
      </c>
    </row>
    <row r="8014" spans="7:8" x14ac:dyDescent="0.35">
      <c r="G8014" s="215">
        <v>8007</v>
      </c>
      <c r="H8014" s="16">
        <f t="shared" ca="1" si="133"/>
        <v>-0.11401350270906271</v>
      </c>
    </row>
    <row r="8015" spans="7:8" x14ac:dyDescent="0.35">
      <c r="G8015" s="215">
        <v>8008</v>
      </c>
      <c r="H8015" s="16">
        <f t="shared" ca="1" si="133"/>
        <v>3.2743823987549006E-2</v>
      </c>
    </row>
    <row r="8016" spans="7:8" x14ac:dyDescent="0.35">
      <c r="G8016" s="215">
        <v>8009</v>
      </c>
      <c r="H8016" s="16">
        <f t="shared" ca="1" si="133"/>
        <v>-5.2764432164981695E-2</v>
      </c>
    </row>
    <row r="8017" spans="7:8" x14ac:dyDescent="0.35">
      <c r="G8017" s="215">
        <v>8010</v>
      </c>
      <c r="H8017" s="16">
        <f t="shared" ca="1" si="133"/>
        <v>6.4852977121551414E-3</v>
      </c>
    </row>
    <row r="8018" spans="7:8" x14ac:dyDescent="0.35">
      <c r="G8018" s="215">
        <v>8011</v>
      </c>
      <c r="H8018" s="16">
        <f t="shared" ca="1" si="133"/>
        <v>-7.1728295788072174E-2</v>
      </c>
    </row>
    <row r="8019" spans="7:8" x14ac:dyDescent="0.35">
      <c r="G8019" s="215">
        <v>8012</v>
      </c>
      <c r="H8019" s="16">
        <f t="shared" ca="1" si="133"/>
        <v>4.0238028142965482E-2</v>
      </c>
    </row>
    <row r="8020" spans="7:8" x14ac:dyDescent="0.35">
      <c r="G8020" s="215">
        <v>8013</v>
      </c>
      <c r="H8020" s="16">
        <f t="shared" ca="1" si="133"/>
        <v>-1.58320070369979E-2</v>
      </c>
    </row>
    <row r="8021" spans="7:8" x14ac:dyDescent="0.35">
      <c r="G8021" s="215">
        <v>8014</v>
      </c>
      <c r="H8021" s="16">
        <f t="shared" ca="1" si="133"/>
        <v>-0.17692654778645911</v>
      </c>
    </row>
    <row r="8022" spans="7:8" x14ac:dyDescent="0.35">
      <c r="G8022" s="215">
        <v>8015</v>
      </c>
      <c r="H8022" s="16">
        <f t="shared" ca="1" si="133"/>
        <v>1.2672554855653675E-2</v>
      </c>
    </row>
    <row r="8023" spans="7:8" x14ac:dyDescent="0.35">
      <c r="G8023" s="215">
        <v>8016</v>
      </c>
      <c r="H8023" s="16">
        <f t="shared" ca="1" si="133"/>
        <v>5.2882546406976275E-2</v>
      </c>
    </row>
    <row r="8024" spans="7:8" x14ac:dyDescent="0.35">
      <c r="G8024" s="215">
        <v>8017</v>
      </c>
      <c r="H8024" s="16">
        <f t="shared" ca="1" si="133"/>
        <v>-8.449678162026103E-2</v>
      </c>
    </row>
    <row r="8025" spans="7:8" x14ac:dyDescent="0.35">
      <c r="G8025" s="215">
        <v>8018</v>
      </c>
      <c r="H8025" s="16">
        <f t="shared" ca="1" si="133"/>
        <v>-1.2669352875624033E-2</v>
      </c>
    </row>
    <row r="8026" spans="7:8" x14ac:dyDescent="0.35">
      <c r="G8026" s="215">
        <v>8019</v>
      </c>
      <c r="H8026" s="16">
        <f t="shared" ca="1" si="133"/>
        <v>-5.0167148493045245E-3</v>
      </c>
    </row>
    <row r="8027" spans="7:8" x14ac:dyDescent="0.35">
      <c r="G8027" s="215">
        <v>8020</v>
      </c>
      <c r="H8027" s="16">
        <f t="shared" ca="1" si="133"/>
        <v>-5.5748014390993028E-2</v>
      </c>
    </row>
    <row r="8028" spans="7:8" x14ac:dyDescent="0.35">
      <c r="G8028" s="215">
        <v>8021</v>
      </c>
      <c r="H8028" s="16">
        <f t="shared" ca="1" si="133"/>
        <v>2.1992133855961014E-2</v>
      </c>
    </row>
    <row r="8029" spans="7:8" x14ac:dyDescent="0.35">
      <c r="G8029" s="215">
        <v>8022</v>
      </c>
      <c r="H8029" s="16">
        <f t="shared" ca="1" si="133"/>
        <v>0.14416251997595361</v>
      </c>
    </row>
    <row r="8030" spans="7:8" x14ac:dyDescent="0.35">
      <c r="G8030" s="215">
        <v>8023</v>
      </c>
      <c r="H8030" s="16">
        <f t="shared" ca="1" si="133"/>
        <v>9.0519501479613212E-2</v>
      </c>
    </row>
    <row r="8031" spans="7:8" x14ac:dyDescent="0.35">
      <c r="G8031" s="215">
        <v>8024</v>
      </c>
      <c r="H8031" s="16">
        <f t="shared" ca="1" si="133"/>
        <v>2.1681027608738412E-2</v>
      </c>
    </row>
    <row r="8032" spans="7:8" x14ac:dyDescent="0.35">
      <c r="G8032" s="215">
        <v>8025</v>
      </c>
      <c r="H8032" s="16">
        <f t="shared" ca="1" si="133"/>
        <v>9.8285503719715187E-2</v>
      </c>
    </row>
    <row r="8033" spans="7:8" x14ac:dyDescent="0.35">
      <c r="G8033" s="215">
        <v>8026</v>
      </c>
      <c r="H8033" s="16">
        <f t="shared" ca="1" si="133"/>
        <v>-7.4923675724924269E-2</v>
      </c>
    </row>
    <row r="8034" spans="7:8" x14ac:dyDescent="0.35">
      <c r="G8034" s="215">
        <v>8027</v>
      </c>
      <c r="H8034" s="16">
        <f t="shared" ca="1" si="133"/>
        <v>-0.10245366201987725</v>
      </c>
    </row>
    <row r="8035" spans="7:8" x14ac:dyDescent="0.35">
      <c r="G8035" s="215">
        <v>8028</v>
      </c>
      <c r="H8035" s="16">
        <f t="shared" ca="1" si="133"/>
        <v>-1.1158468613184213E-2</v>
      </c>
    </row>
    <row r="8036" spans="7:8" x14ac:dyDescent="0.35">
      <c r="G8036" s="215">
        <v>8029</v>
      </c>
      <c r="H8036" s="16">
        <f t="shared" ca="1" si="133"/>
        <v>-0.13683064166962264</v>
      </c>
    </row>
    <row r="8037" spans="7:8" x14ac:dyDescent="0.35">
      <c r="G8037" s="215">
        <v>8030</v>
      </c>
      <c r="H8037" s="16">
        <f t="shared" ca="1" si="133"/>
        <v>3.8613170226773366E-2</v>
      </c>
    </row>
    <row r="8038" spans="7:8" x14ac:dyDescent="0.35">
      <c r="G8038" s="215">
        <v>8031</v>
      </c>
      <c r="H8038" s="16">
        <f t="shared" ca="1" si="133"/>
        <v>8.135558480941496E-2</v>
      </c>
    </row>
    <row r="8039" spans="7:8" x14ac:dyDescent="0.35">
      <c r="G8039" s="215">
        <v>8032</v>
      </c>
      <c r="H8039" s="16">
        <f t="shared" ca="1" si="133"/>
        <v>-2.2478059665841699E-2</v>
      </c>
    </row>
    <row r="8040" spans="7:8" x14ac:dyDescent="0.35">
      <c r="G8040" s="215">
        <v>8033</v>
      </c>
      <c r="H8040" s="16">
        <f t="shared" ca="1" si="133"/>
        <v>-5.4685165144187198E-2</v>
      </c>
    </row>
    <row r="8041" spans="7:8" x14ac:dyDescent="0.35">
      <c r="G8041" s="215">
        <v>8034</v>
      </c>
      <c r="H8041" s="16">
        <f t="shared" ca="1" si="133"/>
        <v>3.9970825379757102E-2</v>
      </c>
    </row>
    <row r="8042" spans="7:8" x14ac:dyDescent="0.35">
      <c r="G8042" s="215">
        <v>8035</v>
      </c>
      <c r="H8042" s="16">
        <f t="shared" ca="1" si="133"/>
        <v>4.2865969145187435E-2</v>
      </c>
    </row>
    <row r="8043" spans="7:8" x14ac:dyDescent="0.35">
      <c r="G8043" s="215">
        <v>8036</v>
      </c>
      <c r="H8043" s="16">
        <f t="shared" ca="1" si="133"/>
        <v>5.800968905592542E-2</v>
      </c>
    </row>
    <row r="8044" spans="7:8" x14ac:dyDescent="0.35">
      <c r="G8044" s="215">
        <v>8037</v>
      </c>
      <c r="H8044" s="16">
        <f t="shared" ca="1" si="133"/>
        <v>-8.1742264432565229E-2</v>
      </c>
    </row>
    <row r="8045" spans="7:8" x14ac:dyDescent="0.35">
      <c r="G8045" s="215">
        <v>8038</v>
      </c>
      <c r="H8045" s="16">
        <f t="shared" ca="1" si="133"/>
        <v>7.4492418673177754E-2</v>
      </c>
    </row>
    <row r="8046" spans="7:8" x14ac:dyDescent="0.35">
      <c r="G8046" s="215">
        <v>8039</v>
      </c>
      <c r="H8046" s="16">
        <f t="shared" ca="1" si="133"/>
        <v>1.5990043101319275E-2</v>
      </c>
    </row>
    <row r="8047" spans="7:8" x14ac:dyDescent="0.35">
      <c r="G8047" s="215">
        <v>8040</v>
      </c>
      <c r="H8047" s="16">
        <f t="shared" ca="1" si="133"/>
        <v>0.11947836604138455</v>
      </c>
    </row>
    <row r="8048" spans="7:8" x14ac:dyDescent="0.35">
      <c r="G8048" s="215">
        <v>8041</v>
      </c>
      <c r="H8048" s="16">
        <f t="shared" ca="1" si="133"/>
        <v>-4.8217705710947981E-2</v>
      </c>
    </row>
    <row r="8049" spans="7:8" x14ac:dyDescent="0.35">
      <c r="G8049" s="215">
        <v>8042</v>
      </c>
      <c r="H8049" s="16">
        <f t="shared" ca="1" si="133"/>
        <v>1.7977973908829721E-2</v>
      </c>
    </row>
    <row r="8050" spans="7:8" x14ac:dyDescent="0.35">
      <c r="G8050" s="215">
        <v>8043</v>
      </c>
      <c r="H8050" s="16">
        <f t="shared" ca="1" si="133"/>
        <v>9.6847069066343869E-2</v>
      </c>
    </row>
    <row r="8051" spans="7:8" x14ac:dyDescent="0.35">
      <c r="G8051" s="215">
        <v>8044</v>
      </c>
      <c r="H8051" s="16">
        <f t="shared" ca="1" si="133"/>
        <v>7.3711886261476428E-2</v>
      </c>
    </row>
    <row r="8052" spans="7:8" x14ac:dyDescent="0.35">
      <c r="G8052" s="215">
        <v>8045</v>
      </c>
      <c r="H8052" s="16">
        <f t="shared" ca="1" si="133"/>
        <v>3.1531916603475627E-3</v>
      </c>
    </row>
    <row r="8053" spans="7:8" x14ac:dyDescent="0.35">
      <c r="G8053" s="215">
        <v>8046</v>
      </c>
      <c r="H8053" s="16">
        <f t="shared" ca="1" si="133"/>
        <v>-4.0312306984216603E-2</v>
      </c>
    </row>
    <row r="8054" spans="7:8" x14ac:dyDescent="0.35">
      <c r="G8054" s="215">
        <v>8047</v>
      </c>
      <c r="H8054" s="16">
        <f t="shared" ca="1" si="133"/>
        <v>-4.7745987124206565E-2</v>
      </c>
    </row>
    <row r="8055" spans="7:8" x14ac:dyDescent="0.35">
      <c r="G8055" s="215">
        <v>8048</v>
      </c>
      <c r="H8055" s="16">
        <f t="shared" ca="1" si="133"/>
        <v>1.8758831154244218E-2</v>
      </c>
    </row>
    <row r="8056" spans="7:8" x14ac:dyDescent="0.35">
      <c r="G8056" s="215">
        <v>8049</v>
      </c>
      <c r="H8056" s="16">
        <f t="shared" ca="1" si="133"/>
        <v>-1.4360064625464762E-2</v>
      </c>
    </row>
    <row r="8057" spans="7:8" x14ac:dyDescent="0.35">
      <c r="G8057" s="215">
        <v>8050</v>
      </c>
      <c r="H8057" s="16">
        <f t="shared" ca="1" si="133"/>
        <v>0.18186776512671554</v>
      </c>
    </row>
    <row r="8058" spans="7:8" x14ac:dyDescent="0.35">
      <c r="G8058" s="215">
        <v>8051</v>
      </c>
      <c r="H8058" s="16">
        <f t="shared" ca="1" si="133"/>
        <v>9.1782055153938058E-3</v>
      </c>
    </row>
    <row r="8059" spans="7:8" x14ac:dyDescent="0.35">
      <c r="G8059" s="215">
        <v>8052</v>
      </c>
      <c r="H8059" s="16">
        <f t="shared" ca="1" si="133"/>
        <v>0.13939468234242788</v>
      </c>
    </row>
    <row r="8060" spans="7:8" x14ac:dyDescent="0.35">
      <c r="G8060" s="215">
        <v>8053</v>
      </c>
      <c r="H8060" s="16">
        <f t="shared" ca="1" si="133"/>
        <v>4.6098386100189362E-2</v>
      </c>
    </row>
    <row r="8061" spans="7:8" x14ac:dyDescent="0.35">
      <c r="G8061" s="215">
        <v>8054</v>
      </c>
      <c r="H8061" s="16">
        <f t="shared" ca="1" si="133"/>
        <v>-2.5140304693691707E-2</v>
      </c>
    </row>
    <row r="8062" spans="7:8" x14ac:dyDescent="0.35">
      <c r="G8062" s="215">
        <v>8055</v>
      </c>
      <c r="H8062" s="16">
        <f t="shared" ca="1" si="133"/>
        <v>4.3333110218843875E-2</v>
      </c>
    </row>
    <row r="8063" spans="7:8" x14ac:dyDescent="0.35">
      <c r="G8063" s="215">
        <v>8056</v>
      </c>
      <c r="H8063" s="16">
        <f t="shared" ca="1" si="133"/>
        <v>0.11084899477113315</v>
      </c>
    </row>
    <row r="8064" spans="7:8" x14ac:dyDescent="0.35">
      <c r="G8064" s="215">
        <v>8057</v>
      </c>
      <c r="H8064" s="16">
        <f t="shared" ca="1" si="133"/>
        <v>-2.549659737628272E-2</v>
      </c>
    </row>
    <row r="8065" spans="7:8" x14ac:dyDescent="0.35">
      <c r="G8065" s="215">
        <v>8058</v>
      </c>
      <c r="H8065" s="16">
        <f t="shared" ca="1" si="133"/>
        <v>9.4340308308594523E-2</v>
      </c>
    </row>
    <row r="8066" spans="7:8" x14ac:dyDescent="0.35">
      <c r="G8066" s="215">
        <v>8059</v>
      </c>
      <c r="H8066" s="16">
        <f t="shared" ca="1" si="133"/>
        <v>2.4375417110888184E-2</v>
      </c>
    </row>
    <row r="8067" spans="7:8" x14ac:dyDescent="0.35">
      <c r="G8067" s="215">
        <v>8060</v>
      </c>
      <c r="H8067" s="16">
        <f t="shared" ca="1" si="133"/>
        <v>-0.16129541852327464</v>
      </c>
    </row>
    <row r="8068" spans="7:8" x14ac:dyDescent="0.35">
      <c r="G8068" s="215">
        <v>8061</v>
      </c>
      <c r="H8068" s="16">
        <f t="shared" ca="1" si="133"/>
        <v>0.10861934977623931</v>
      </c>
    </row>
    <row r="8069" spans="7:8" x14ac:dyDescent="0.35">
      <c r="G8069" s="215">
        <v>8062</v>
      </c>
      <c r="H8069" s="16">
        <f t="shared" ca="1" si="133"/>
        <v>-7.2800214148597706E-2</v>
      </c>
    </row>
    <row r="8070" spans="7:8" x14ac:dyDescent="0.35">
      <c r="G8070" s="215">
        <v>8063</v>
      </c>
      <c r="H8070" s="16">
        <f t="shared" ca="1" si="133"/>
        <v>-0.13051913619497049</v>
      </c>
    </row>
    <row r="8071" spans="7:8" x14ac:dyDescent="0.35">
      <c r="G8071" s="215">
        <v>8064</v>
      </c>
      <c r="H8071" s="16">
        <f t="shared" ca="1" si="133"/>
        <v>1.4233664682332231E-2</v>
      </c>
    </row>
    <row r="8072" spans="7:8" x14ac:dyDescent="0.35">
      <c r="G8072" s="215">
        <v>8065</v>
      </c>
      <c r="H8072" s="16">
        <f t="shared" ref="H8072:H8135" ca="1" si="134">_xlfn.NORM.INV(RAND(),M$10,M$11)</f>
        <v>-8.7238694516954651E-2</v>
      </c>
    </row>
    <row r="8073" spans="7:8" x14ac:dyDescent="0.35">
      <c r="G8073" s="215">
        <v>8066</v>
      </c>
      <c r="H8073" s="16">
        <f t="shared" ca="1" si="134"/>
        <v>-6.0695871745243588E-2</v>
      </c>
    </row>
    <row r="8074" spans="7:8" x14ac:dyDescent="0.35">
      <c r="G8074" s="215">
        <v>8067</v>
      </c>
      <c r="H8074" s="16">
        <f t="shared" ca="1" si="134"/>
        <v>3.3020326779779147E-2</v>
      </c>
    </row>
    <row r="8075" spans="7:8" x14ac:dyDescent="0.35">
      <c r="G8075" s="215">
        <v>8068</v>
      </c>
      <c r="H8075" s="16">
        <f t="shared" ca="1" si="134"/>
        <v>0.10461189698298298</v>
      </c>
    </row>
    <row r="8076" spans="7:8" x14ac:dyDescent="0.35">
      <c r="G8076" s="215">
        <v>8069</v>
      </c>
      <c r="H8076" s="16">
        <f t="shared" ca="1" si="134"/>
        <v>-0.19124747235564632</v>
      </c>
    </row>
    <row r="8077" spans="7:8" x14ac:dyDescent="0.35">
      <c r="G8077" s="215">
        <v>8070</v>
      </c>
      <c r="H8077" s="16">
        <f t="shared" ca="1" si="134"/>
        <v>-1.3227303173658774E-2</v>
      </c>
    </row>
    <row r="8078" spans="7:8" x14ac:dyDescent="0.35">
      <c r="G8078" s="215">
        <v>8071</v>
      </c>
      <c r="H8078" s="16">
        <f t="shared" ca="1" si="134"/>
        <v>-0.15086472019371572</v>
      </c>
    </row>
    <row r="8079" spans="7:8" x14ac:dyDescent="0.35">
      <c r="G8079" s="215">
        <v>8072</v>
      </c>
      <c r="H8079" s="16">
        <f t="shared" ca="1" si="134"/>
        <v>9.8998593548104044E-2</v>
      </c>
    </row>
    <row r="8080" spans="7:8" x14ac:dyDescent="0.35">
      <c r="G8080" s="215">
        <v>8073</v>
      </c>
      <c r="H8080" s="16">
        <f t="shared" ca="1" si="134"/>
        <v>-0.106966092731554</v>
      </c>
    </row>
    <row r="8081" spans="7:8" x14ac:dyDescent="0.35">
      <c r="G8081" s="215">
        <v>8074</v>
      </c>
      <c r="H8081" s="16">
        <f t="shared" ca="1" si="134"/>
        <v>2.6001668206845258E-2</v>
      </c>
    </row>
    <row r="8082" spans="7:8" x14ac:dyDescent="0.35">
      <c r="G8082" s="215">
        <v>8075</v>
      </c>
      <c r="H8082" s="16">
        <f t="shared" ca="1" si="134"/>
        <v>-6.5736554260679467E-2</v>
      </c>
    </row>
    <row r="8083" spans="7:8" x14ac:dyDescent="0.35">
      <c r="G8083" s="215">
        <v>8076</v>
      </c>
      <c r="H8083" s="16">
        <f t="shared" ca="1" si="134"/>
        <v>-1.5689160828482637E-2</v>
      </c>
    </row>
    <row r="8084" spans="7:8" x14ac:dyDescent="0.35">
      <c r="G8084" s="215">
        <v>8077</v>
      </c>
      <c r="H8084" s="16">
        <f t="shared" ca="1" si="134"/>
        <v>1.1288133436465099E-4</v>
      </c>
    </row>
    <row r="8085" spans="7:8" x14ac:dyDescent="0.35">
      <c r="G8085" s="215">
        <v>8078</v>
      </c>
      <c r="H8085" s="16">
        <f t="shared" ca="1" si="134"/>
        <v>7.7508369669173807E-2</v>
      </c>
    </row>
    <row r="8086" spans="7:8" x14ac:dyDescent="0.35">
      <c r="G8086" s="215">
        <v>8079</v>
      </c>
      <c r="H8086" s="16">
        <f t="shared" ca="1" si="134"/>
        <v>-6.5799758925173507E-2</v>
      </c>
    </row>
    <row r="8087" spans="7:8" x14ac:dyDescent="0.35">
      <c r="G8087" s="215">
        <v>8080</v>
      </c>
      <c r="H8087" s="16">
        <f t="shared" ca="1" si="134"/>
        <v>-2.8792109057005581E-2</v>
      </c>
    </row>
    <row r="8088" spans="7:8" x14ac:dyDescent="0.35">
      <c r="G8088" s="215">
        <v>8081</v>
      </c>
      <c r="H8088" s="16">
        <f t="shared" ca="1" si="134"/>
        <v>0.11717848673409215</v>
      </c>
    </row>
    <row r="8089" spans="7:8" x14ac:dyDescent="0.35">
      <c r="G8089" s="215">
        <v>8082</v>
      </c>
      <c r="H8089" s="16">
        <f t="shared" ca="1" si="134"/>
        <v>-3.6672205202299593E-2</v>
      </c>
    </row>
    <row r="8090" spans="7:8" x14ac:dyDescent="0.35">
      <c r="G8090" s="215">
        <v>8083</v>
      </c>
      <c r="H8090" s="16">
        <f t="shared" ca="1" si="134"/>
        <v>-6.968354974342908E-3</v>
      </c>
    </row>
    <row r="8091" spans="7:8" x14ac:dyDescent="0.35">
      <c r="G8091" s="215">
        <v>8084</v>
      </c>
      <c r="H8091" s="16">
        <f t="shared" ca="1" si="134"/>
        <v>-9.2923721152405755E-2</v>
      </c>
    </row>
    <row r="8092" spans="7:8" x14ac:dyDescent="0.35">
      <c r="G8092" s="215">
        <v>8085</v>
      </c>
      <c r="H8092" s="16">
        <f t="shared" ca="1" si="134"/>
        <v>-8.5700216077958552E-2</v>
      </c>
    </row>
    <row r="8093" spans="7:8" x14ac:dyDescent="0.35">
      <c r="G8093" s="215">
        <v>8086</v>
      </c>
      <c r="H8093" s="16">
        <f t="shared" ca="1" si="134"/>
        <v>6.0496804497119014E-2</v>
      </c>
    </row>
    <row r="8094" spans="7:8" x14ac:dyDescent="0.35">
      <c r="G8094" s="215">
        <v>8087</v>
      </c>
      <c r="H8094" s="16">
        <f t="shared" ca="1" si="134"/>
        <v>8.4677800243646087E-2</v>
      </c>
    </row>
    <row r="8095" spans="7:8" x14ac:dyDescent="0.35">
      <c r="G8095" s="215">
        <v>8088</v>
      </c>
      <c r="H8095" s="16">
        <f t="shared" ca="1" si="134"/>
        <v>-0.16747545578155992</v>
      </c>
    </row>
    <row r="8096" spans="7:8" x14ac:dyDescent="0.35">
      <c r="G8096" s="215">
        <v>8089</v>
      </c>
      <c r="H8096" s="16">
        <f t="shared" ca="1" si="134"/>
        <v>-3.6518491741595563E-2</v>
      </c>
    </row>
    <row r="8097" spans="7:8" x14ac:dyDescent="0.35">
      <c r="G8097" s="215">
        <v>8090</v>
      </c>
      <c r="H8097" s="16">
        <f t="shared" ca="1" si="134"/>
        <v>7.4078758107228984E-2</v>
      </c>
    </row>
    <row r="8098" spans="7:8" x14ac:dyDescent="0.35">
      <c r="G8098" s="215">
        <v>8091</v>
      </c>
      <c r="H8098" s="16">
        <f t="shared" ca="1" si="134"/>
        <v>0.12411159864913092</v>
      </c>
    </row>
    <row r="8099" spans="7:8" x14ac:dyDescent="0.35">
      <c r="G8099" s="215">
        <v>8092</v>
      </c>
      <c r="H8099" s="16">
        <f t="shared" ca="1" si="134"/>
        <v>5.6134402978384554E-2</v>
      </c>
    </row>
    <row r="8100" spans="7:8" x14ac:dyDescent="0.35">
      <c r="G8100" s="215">
        <v>8093</v>
      </c>
      <c r="H8100" s="16">
        <f t="shared" ca="1" si="134"/>
        <v>-0.1283564472992218</v>
      </c>
    </row>
    <row r="8101" spans="7:8" x14ac:dyDescent="0.35">
      <c r="G8101" s="215">
        <v>8094</v>
      </c>
      <c r="H8101" s="16">
        <f t="shared" ca="1" si="134"/>
        <v>-7.4137024691307743E-2</v>
      </c>
    </row>
    <row r="8102" spans="7:8" x14ac:dyDescent="0.35">
      <c r="G8102" s="215">
        <v>8095</v>
      </c>
      <c r="H8102" s="16">
        <f t="shared" ca="1" si="134"/>
        <v>-7.7578620394882142E-2</v>
      </c>
    </row>
    <row r="8103" spans="7:8" x14ac:dyDescent="0.35">
      <c r="G8103" s="215">
        <v>8096</v>
      </c>
      <c r="H8103" s="16">
        <f t="shared" ca="1" si="134"/>
        <v>5.0974942312943292E-2</v>
      </c>
    </row>
    <row r="8104" spans="7:8" x14ac:dyDescent="0.35">
      <c r="G8104" s="215">
        <v>8097</v>
      </c>
      <c r="H8104" s="16">
        <f t="shared" ca="1" si="134"/>
        <v>-7.235483677512812E-2</v>
      </c>
    </row>
    <row r="8105" spans="7:8" x14ac:dyDescent="0.35">
      <c r="G8105" s="215">
        <v>8098</v>
      </c>
      <c r="H8105" s="16">
        <f t="shared" ca="1" si="134"/>
        <v>0.11751441042799078</v>
      </c>
    </row>
    <row r="8106" spans="7:8" x14ac:dyDescent="0.35">
      <c r="G8106" s="215">
        <v>8099</v>
      </c>
      <c r="H8106" s="16">
        <f t="shared" ca="1" si="134"/>
        <v>3.0595046331919149E-3</v>
      </c>
    </row>
    <row r="8107" spans="7:8" x14ac:dyDescent="0.35">
      <c r="G8107" s="215">
        <v>8100</v>
      </c>
      <c r="H8107" s="16">
        <f t="shared" ca="1" si="134"/>
        <v>-6.027781830851324E-2</v>
      </c>
    </row>
    <row r="8108" spans="7:8" x14ac:dyDescent="0.35">
      <c r="G8108" s="215">
        <v>8101</v>
      </c>
      <c r="H8108" s="16">
        <f t="shared" ca="1" si="134"/>
        <v>0.10826407646254098</v>
      </c>
    </row>
    <row r="8109" spans="7:8" x14ac:dyDescent="0.35">
      <c r="G8109" s="215">
        <v>8102</v>
      </c>
      <c r="H8109" s="16">
        <f t="shared" ca="1" si="134"/>
        <v>3.5470056902747168E-2</v>
      </c>
    </row>
    <row r="8110" spans="7:8" x14ac:dyDescent="0.35">
      <c r="G8110" s="215">
        <v>8103</v>
      </c>
      <c r="H8110" s="16">
        <f t="shared" ca="1" si="134"/>
        <v>1.0224114804686933E-2</v>
      </c>
    </row>
    <row r="8111" spans="7:8" x14ac:dyDescent="0.35">
      <c r="G8111" s="215">
        <v>8104</v>
      </c>
      <c r="H8111" s="16">
        <f t="shared" ca="1" si="134"/>
        <v>2.2950331655046837E-2</v>
      </c>
    </row>
    <row r="8112" spans="7:8" x14ac:dyDescent="0.35">
      <c r="G8112" s="215">
        <v>8105</v>
      </c>
      <c r="H8112" s="16">
        <f t="shared" ca="1" si="134"/>
        <v>2.9327565788355475E-2</v>
      </c>
    </row>
    <row r="8113" spans="7:8" x14ac:dyDescent="0.35">
      <c r="G8113" s="215">
        <v>8106</v>
      </c>
      <c r="H8113" s="16">
        <f t="shared" ca="1" si="134"/>
        <v>0.21673300341930313</v>
      </c>
    </row>
    <row r="8114" spans="7:8" x14ac:dyDescent="0.35">
      <c r="G8114" s="215">
        <v>8107</v>
      </c>
      <c r="H8114" s="16">
        <f t="shared" ca="1" si="134"/>
        <v>0.13922181610675455</v>
      </c>
    </row>
    <row r="8115" spans="7:8" x14ac:dyDescent="0.35">
      <c r="G8115" s="215">
        <v>8108</v>
      </c>
      <c r="H8115" s="16">
        <f t="shared" ca="1" si="134"/>
        <v>3.4110893993614354E-3</v>
      </c>
    </row>
    <row r="8116" spans="7:8" x14ac:dyDescent="0.35">
      <c r="G8116" s="215">
        <v>8109</v>
      </c>
      <c r="H8116" s="16">
        <f t="shared" ca="1" si="134"/>
        <v>0.12854362948252204</v>
      </c>
    </row>
    <row r="8117" spans="7:8" x14ac:dyDescent="0.35">
      <c r="G8117" s="215">
        <v>8110</v>
      </c>
      <c r="H8117" s="16">
        <f t="shared" ca="1" si="134"/>
        <v>6.6584422865411427E-2</v>
      </c>
    </row>
    <row r="8118" spans="7:8" x14ac:dyDescent="0.35">
      <c r="G8118" s="215">
        <v>8111</v>
      </c>
      <c r="H8118" s="16">
        <f t="shared" ca="1" si="134"/>
        <v>-6.3517881804692908E-2</v>
      </c>
    </row>
    <row r="8119" spans="7:8" x14ac:dyDescent="0.35">
      <c r="G8119" s="215">
        <v>8112</v>
      </c>
      <c r="H8119" s="16">
        <f t="shared" ca="1" si="134"/>
        <v>-9.2581198732260006E-2</v>
      </c>
    </row>
    <row r="8120" spans="7:8" x14ac:dyDescent="0.35">
      <c r="G8120" s="215">
        <v>8113</v>
      </c>
      <c r="H8120" s="16">
        <f t="shared" ca="1" si="134"/>
        <v>-9.5575597444914097E-3</v>
      </c>
    </row>
    <row r="8121" spans="7:8" x14ac:dyDescent="0.35">
      <c r="G8121" s="215">
        <v>8114</v>
      </c>
      <c r="H8121" s="16">
        <f t="shared" ca="1" si="134"/>
        <v>2.1144823941544422E-2</v>
      </c>
    </row>
    <row r="8122" spans="7:8" x14ac:dyDescent="0.35">
      <c r="G8122" s="215">
        <v>8115</v>
      </c>
      <c r="H8122" s="16">
        <f t="shared" ca="1" si="134"/>
        <v>3.7517656823858922E-2</v>
      </c>
    </row>
    <row r="8123" spans="7:8" x14ac:dyDescent="0.35">
      <c r="G8123" s="215">
        <v>8116</v>
      </c>
      <c r="H8123" s="16">
        <f t="shared" ca="1" si="134"/>
        <v>-5.6046079825467096E-2</v>
      </c>
    </row>
    <row r="8124" spans="7:8" x14ac:dyDescent="0.35">
      <c r="G8124" s="215">
        <v>8117</v>
      </c>
      <c r="H8124" s="16">
        <f t="shared" ca="1" si="134"/>
        <v>-9.9866497989823069E-2</v>
      </c>
    </row>
    <row r="8125" spans="7:8" x14ac:dyDescent="0.35">
      <c r="G8125" s="215">
        <v>8118</v>
      </c>
      <c r="H8125" s="16">
        <f t="shared" ca="1" si="134"/>
        <v>8.9994606398105137E-2</v>
      </c>
    </row>
    <row r="8126" spans="7:8" x14ac:dyDescent="0.35">
      <c r="G8126" s="215">
        <v>8119</v>
      </c>
      <c r="H8126" s="16">
        <f t="shared" ca="1" si="134"/>
        <v>-0.13482114741071627</v>
      </c>
    </row>
    <row r="8127" spans="7:8" x14ac:dyDescent="0.35">
      <c r="G8127" s="215">
        <v>8120</v>
      </c>
      <c r="H8127" s="16">
        <f t="shared" ca="1" si="134"/>
        <v>2.68255713113782E-2</v>
      </c>
    </row>
    <row r="8128" spans="7:8" x14ac:dyDescent="0.35">
      <c r="G8128" s="215">
        <v>8121</v>
      </c>
      <c r="H8128" s="16">
        <f t="shared" ca="1" si="134"/>
        <v>9.5775431870680938E-2</v>
      </c>
    </row>
    <row r="8129" spans="7:8" x14ac:dyDescent="0.35">
      <c r="G8129" s="215">
        <v>8122</v>
      </c>
      <c r="H8129" s="16">
        <f t="shared" ca="1" si="134"/>
        <v>-6.6227251222760131E-2</v>
      </c>
    </row>
    <row r="8130" spans="7:8" x14ac:dyDescent="0.35">
      <c r="G8130" s="215">
        <v>8123</v>
      </c>
      <c r="H8130" s="16">
        <f t="shared" ca="1" si="134"/>
        <v>4.525834277205508E-2</v>
      </c>
    </row>
    <row r="8131" spans="7:8" x14ac:dyDescent="0.35">
      <c r="G8131" s="215">
        <v>8124</v>
      </c>
      <c r="H8131" s="16">
        <f t="shared" ca="1" si="134"/>
        <v>3.4156246333149412E-2</v>
      </c>
    </row>
    <row r="8132" spans="7:8" x14ac:dyDescent="0.35">
      <c r="G8132" s="215">
        <v>8125</v>
      </c>
      <c r="H8132" s="16">
        <f t="shared" ca="1" si="134"/>
        <v>2.670894798186452E-2</v>
      </c>
    </row>
    <row r="8133" spans="7:8" x14ac:dyDescent="0.35">
      <c r="G8133" s="215">
        <v>8126</v>
      </c>
      <c r="H8133" s="16">
        <f t="shared" ca="1" si="134"/>
        <v>8.0341406913967947E-2</v>
      </c>
    </row>
    <row r="8134" spans="7:8" x14ac:dyDescent="0.35">
      <c r="G8134" s="215">
        <v>8127</v>
      </c>
      <c r="H8134" s="16">
        <f t="shared" ca="1" si="134"/>
        <v>6.8384058241223775E-2</v>
      </c>
    </row>
    <row r="8135" spans="7:8" x14ac:dyDescent="0.35">
      <c r="G8135" s="215">
        <v>8128</v>
      </c>
      <c r="H8135" s="16">
        <f t="shared" ca="1" si="134"/>
        <v>1.4800571493829778E-2</v>
      </c>
    </row>
    <row r="8136" spans="7:8" x14ac:dyDescent="0.35">
      <c r="G8136" s="215">
        <v>8129</v>
      </c>
      <c r="H8136" s="16">
        <f t="shared" ref="H8136:H8199" ca="1" si="135">_xlfn.NORM.INV(RAND(),M$10,M$11)</f>
        <v>4.3351181674654828E-2</v>
      </c>
    </row>
    <row r="8137" spans="7:8" x14ac:dyDescent="0.35">
      <c r="G8137" s="215">
        <v>8130</v>
      </c>
      <c r="H8137" s="16">
        <f t="shared" ca="1" si="135"/>
        <v>-1.9320360386414711E-2</v>
      </c>
    </row>
    <row r="8138" spans="7:8" x14ac:dyDescent="0.35">
      <c r="G8138" s="215">
        <v>8131</v>
      </c>
      <c r="H8138" s="16">
        <f t="shared" ca="1" si="135"/>
        <v>3.4548953527395634E-2</v>
      </c>
    </row>
    <row r="8139" spans="7:8" x14ac:dyDescent="0.35">
      <c r="G8139" s="215">
        <v>8132</v>
      </c>
      <c r="H8139" s="16">
        <f t="shared" ca="1" si="135"/>
        <v>6.2823334742246148E-2</v>
      </c>
    </row>
    <row r="8140" spans="7:8" x14ac:dyDescent="0.35">
      <c r="G8140" s="215">
        <v>8133</v>
      </c>
      <c r="H8140" s="16">
        <f t="shared" ca="1" si="135"/>
        <v>-8.8278961634035216E-4</v>
      </c>
    </row>
    <row r="8141" spans="7:8" x14ac:dyDescent="0.35">
      <c r="G8141" s="215">
        <v>8134</v>
      </c>
      <c r="H8141" s="16">
        <f t="shared" ca="1" si="135"/>
        <v>9.5925532889984996E-2</v>
      </c>
    </row>
    <row r="8142" spans="7:8" x14ac:dyDescent="0.35">
      <c r="G8142" s="215">
        <v>8135</v>
      </c>
      <c r="H8142" s="16">
        <f t="shared" ca="1" si="135"/>
        <v>-0.14106157317319123</v>
      </c>
    </row>
    <row r="8143" spans="7:8" x14ac:dyDescent="0.35">
      <c r="G8143" s="215">
        <v>8136</v>
      </c>
      <c r="H8143" s="16">
        <f t="shared" ca="1" si="135"/>
        <v>6.1820263756779389E-2</v>
      </c>
    </row>
    <row r="8144" spans="7:8" x14ac:dyDescent="0.35">
      <c r="G8144" s="215">
        <v>8137</v>
      </c>
      <c r="H8144" s="16">
        <f t="shared" ca="1" si="135"/>
        <v>0.10029410071535932</v>
      </c>
    </row>
    <row r="8145" spans="7:8" x14ac:dyDescent="0.35">
      <c r="G8145" s="215">
        <v>8138</v>
      </c>
      <c r="H8145" s="16">
        <f t="shared" ca="1" si="135"/>
        <v>-4.0541132802135185E-2</v>
      </c>
    </row>
    <row r="8146" spans="7:8" x14ac:dyDescent="0.35">
      <c r="G8146" s="215">
        <v>8139</v>
      </c>
      <c r="H8146" s="16">
        <f t="shared" ca="1" si="135"/>
        <v>3.6599046268753405E-2</v>
      </c>
    </row>
    <row r="8147" spans="7:8" x14ac:dyDescent="0.35">
      <c r="G8147" s="215">
        <v>8140</v>
      </c>
      <c r="H8147" s="16">
        <f t="shared" ca="1" si="135"/>
        <v>-2.9659807659541706E-2</v>
      </c>
    </row>
    <row r="8148" spans="7:8" x14ac:dyDescent="0.35">
      <c r="G8148" s="215">
        <v>8141</v>
      </c>
      <c r="H8148" s="16">
        <f t="shared" ca="1" si="135"/>
        <v>0.12040986077841126</v>
      </c>
    </row>
    <row r="8149" spans="7:8" x14ac:dyDescent="0.35">
      <c r="G8149" s="215">
        <v>8142</v>
      </c>
      <c r="H8149" s="16">
        <f t="shared" ca="1" si="135"/>
        <v>3.5231296305373985E-2</v>
      </c>
    </row>
    <row r="8150" spans="7:8" x14ac:dyDescent="0.35">
      <c r="G8150" s="215">
        <v>8143</v>
      </c>
      <c r="H8150" s="16">
        <f t="shared" ca="1" si="135"/>
        <v>-3.0157410981801819E-2</v>
      </c>
    </row>
    <row r="8151" spans="7:8" x14ac:dyDescent="0.35">
      <c r="G8151" s="215">
        <v>8144</v>
      </c>
      <c r="H8151" s="16">
        <f t="shared" ca="1" si="135"/>
        <v>7.5941525598770482E-3</v>
      </c>
    </row>
    <row r="8152" spans="7:8" x14ac:dyDescent="0.35">
      <c r="G8152" s="215">
        <v>8145</v>
      </c>
      <c r="H8152" s="16">
        <f t="shared" ca="1" si="135"/>
        <v>-7.3996330188183343E-2</v>
      </c>
    </row>
    <row r="8153" spans="7:8" x14ac:dyDescent="0.35">
      <c r="G8153" s="215">
        <v>8146</v>
      </c>
      <c r="H8153" s="16">
        <f t="shared" ca="1" si="135"/>
        <v>2.6950206735861217E-2</v>
      </c>
    </row>
    <row r="8154" spans="7:8" x14ac:dyDescent="0.35">
      <c r="G8154" s="215">
        <v>8147</v>
      </c>
      <c r="H8154" s="16">
        <f t="shared" ca="1" si="135"/>
        <v>2.0814802589958294E-2</v>
      </c>
    </row>
    <row r="8155" spans="7:8" x14ac:dyDescent="0.35">
      <c r="G8155" s="215">
        <v>8148</v>
      </c>
      <c r="H8155" s="16">
        <f t="shared" ca="1" si="135"/>
        <v>-8.2684864584847487E-3</v>
      </c>
    </row>
    <row r="8156" spans="7:8" x14ac:dyDescent="0.35">
      <c r="G8156" s="215">
        <v>8149</v>
      </c>
      <c r="H8156" s="16">
        <f t="shared" ca="1" si="135"/>
        <v>-4.0604780164342116E-2</v>
      </c>
    </row>
    <row r="8157" spans="7:8" x14ac:dyDescent="0.35">
      <c r="G8157" s="215">
        <v>8150</v>
      </c>
      <c r="H8157" s="16">
        <f t="shared" ca="1" si="135"/>
        <v>-1.1612284909425123E-2</v>
      </c>
    </row>
    <row r="8158" spans="7:8" x14ac:dyDescent="0.35">
      <c r="G8158" s="215">
        <v>8151</v>
      </c>
      <c r="H8158" s="16">
        <f t="shared" ca="1" si="135"/>
        <v>-5.8448170134727903E-2</v>
      </c>
    </row>
    <row r="8159" spans="7:8" x14ac:dyDescent="0.35">
      <c r="G8159" s="215">
        <v>8152</v>
      </c>
      <c r="H8159" s="16">
        <f t="shared" ca="1" si="135"/>
        <v>-5.6811476623253379E-2</v>
      </c>
    </row>
    <row r="8160" spans="7:8" x14ac:dyDescent="0.35">
      <c r="G8160" s="215">
        <v>8153</v>
      </c>
      <c r="H8160" s="16">
        <f t="shared" ca="1" si="135"/>
        <v>-0.11601109481240807</v>
      </c>
    </row>
    <row r="8161" spans="7:8" x14ac:dyDescent="0.35">
      <c r="G8161" s="215">
        <v>8154</v>
      </c>
      <c r="H8161" s="16">
        <f t="shared" ca="1" si="135"/>
        <v>-0.10205206687783777</v>
      </c>
    </row>
    <row r="8162" spans="7:8" x14ac:dyDescent="0.35">
      <c r="G8162" s="215">
        <v>8155</v>
      </c>
      <c r="H8162" s="16">
        <f t="shared" ca="1" si="135"/>
        <v>2.5073691117196338E-2</v>
      </c>
    </row>
    <row r="8163" spans="7:8" x14ac:dyDescent="0.35">
      <c r="G8163" s="215">
        <v>8156</v>
      </c>
      <c r="H8163" s="16">
        <f t="shared" ca="1" si="135"/>
        <v>5.9804759769008752E-3</v>
      </c>
    </row>
    <row r="8164" spans="7:8" x14ac:dyDescent="0.35">
      <c r="G8164" s="215">
        <v>8157</v>
      </c>
      <c r="H8164" s="16">
        <f t="shared" ca="1" si="135"/>
        <v>-6.8513093881109252E-3</v>
      </c>
    </row>
    <row r="8165" spans="7:8" x14ac:dyDescent="0.35">
      <c r="G8165" s="215">
        <v>8158</v>
      </c>
      <c r="H8165" s="16">
        <f t="shared" ca="1" si="135"/>
        <v>-2.6003311524446463E-2</v>
      </c>
    </row>
    <row r="8166" spans="7:8" x14ac:dyDescent="0.35">
      <c r="G8166" s="215">
        <v>8159</v>
      </c>
      <c r="H8166" s="16">
        <f t="shared" ca="1" si="135"/>
        <v>8.8133396677065878E-2</v>
      </c>
    </row>
    <row r="8167" spans="7:8" x14ac:dyDescent="0.35">
      <c r="G8167" s="215">
        <v>8160</v>
      </c>
      <c r="H8167" s="16">
        <f t="shared" ca="1" si="135"/>
        <v>8.5762305617028883E-2</v>
      </c>
    </row>
    <row r="8168" spans="7:8" x14ac:dyDescent="0.35">
      <c r="G8168" s="215">
        <v>8161</v>
      </c>
      <c r="H8168" s="16">
        <f t="shared" ca="1" si="135"/>
        <v>-3.4286768200901943E-2</v>
      </c>
    </row>
    <row r="8169" spans="7:8" x14ac:dyDescent="0.35">
      <c r="G8169" s="215">
        <v>8162</v>
      </c>
      <c r="H8169" s="16">
        <f t="shared" ca="1" si="135"/>
        <v>-5.2347026862176321E-3</v>
      </c>
    </row>
    <row r="8170" spans="7:8" x14ac:dyDescent="0.35">
      <c r="G8170" s="215">
        <v>8163</v>
      </c>
      <c r="H8170" s="16">
        <f t="shared" ca="1" si="135"/>
        <v>4.1902073021790706E-2</v>
      </c>
    </row>
    <row r="8171" spans="7:8" x14ac:dyDescent="0.35">
      <c r="G8171" s="215">
        <v>8164</v>
      </c>
      <c r="H8171" s="16">
        <f t="shared" ca="1" si="135"/>
        <v>-0.10235991755723044</v>
      </c>
    </row>
    <row r="8172" spans="7:8" x14ac:dyDescent="0.35">
      <c r="G8172" s="215">
        <v>8165</v>
      </c>
      <c r="H8172" s="16">
        <f t="shared" ca="1" si="135"/>
        <v>2.9161437268666272E-3</v>
      </c>
    </row>
    <row r="8173" spans="7:8" x14ac:dyDescent="0.35">
      <c r="G8173" s="215">
        <v>8166</v>
      </c>
      <c r="H8173" s="16">
        <f t="shared" ca="1" si="135"/>
        <v>3.3586861569867975E-2</v>
      </c>
    </row>
    <row r="8174" spans="7:8" x14ac:dyDescent="0.35">
      <c r="G8174" s="215">
        <v>8167</v>
      </c>
      <c r="H8174" s="16">
        <f t="shared" ca="1" si="135"/>
        <v>7.253520745744324E-2</v>
      </c>
    </row>
    <row r="8175" spans="7:8" x14ac:dyDescent="0.35">
      <c r="G8175" s="215">
        <v>8168</v>
      </c>
      <c r="H8175" s="16">
        <f t="shared" ca="1" si="135"/>
        <v>-5.2004838687135999E-3</v>
      </c>
    </row>
    <row r="8176" spans="7:8" x14ac:dyDescent="0.35">
      <c r="G8176" s="215">
        <v>8169</v>
      </c>
      <c r="H8176" s="16">
        <f t="shared" ca="1" si="135"/>
        <v>2.7610926231283854E-2</v>
      </c>
    </row>
    <row r="8177" spans="7:8" x14ac:dyDescent="0.35">
      <c r="G8177" s="215">
        <v>8170</v>
      </c>
      <c r="H8177" s="16">
        <f t="shared" ca="1" si="135"/>
        <v>-2.7342815620545229E-2</v>
      </c>
    </row>
    <row r="8178" spans="7:8" x14ac:dyDescent="0.35">
      <c r="G8178" s="215">
        <v>8171</v>
      </c>
      <c r="H8178" s="16">
        <f t="shared" ca="1" si="135"/>
        <v>7.0617428297438473E-2</v>
      </c>
    </row>
    <row r="8179" spans="7:8" x14ac:dyDescent="0.35">
      <c r="G8179" s="215">
        <v>8172</v>
      </c>
      <c r="H8179" s="16">
        <f t="shared" ca="1" si="135"/>
        <v>5.5746958025243668E-2</v>
      </c>
    </row>
    <row r="8180" spans="7:8" x14ac:dyDescent="0.35">
      <c r="G8180" s="215">
        <v>8173</v>
      </c>
      <c r="H8180" s="16">
        <f t="shared" ca="1" si="135"/>
        <v>-7.2880749023022384E-2</v>
      </c>
    </row>
    <row r="8181" spans="7:8" x14ac:dyDescent="0.35">
      <c r="G8181" s="215">
        <v>8174</v>
      </c>
      <c r="H8181" s="16">
        <f t="shared" ca="1" si="135"/>
        <v>0.11562272460925439</v>
      </c>
    </row>
    <row r="8182" spans="7:8" x14ac:dyDescent="0.35">
      <c r="G8182" s="215">
        <v>8175</v>
      </c>
      <c r="H8182" s="16">
        <f t="shared" ca="1" si="135"/>
        <v>5.7795172660606173E-2</v>
      </c>
    </row>
    <row r="8183" spans="7:8" x14ac:dyDescent="0.35">
      <c r="G8183" s="215">
        <v>8176</v>
      </c>
      <c r="H8183" s="16">
        <f t="shared" ca="1" si="135"/>
        <v>8.2439037785902947E-2</v>
      </c>
    </row>
    <row r="8184" spans="7:8" x14ac:dyDescent="0.35">
      <c r="G8184" s="215">
        <v>8177</v>
      </c>
      <c r="H8184" s="16">
        <f t="shared" ca="1" si="135"/>
        <v>4.9665724018366039E-2</v>
      </c>
    </row>
    <row r="8185" spans="7:8" x14ac:dyDescent="0.35">
      <c r="G8185" s="215">
        <v>8178</v>
      </c>
      <c r="H8185" s="16">
        <f t="shared" ca="1" si="135"/>
        <v>7.7166232209530785E-3</v>
      </c>
    </row>
    <row r="8186" spans="7:8" x14ac:dyDescent="0.35">
      <c r="G8186" s="215">
        <v>8179</v>
      </c>
      <c r="H8186" s="16">
        <f t="shared" ca="1" si="135"/>
        <v>-5.863980340165928E-2</v>
      </c>
    </row>
    <row r="8187" spans="7:8" x14ac:dyDescent="0.35">
      <c r="G8187" s="215">
        <v>8180</v>
      </c>
      <c r="H8187" s="16">
        <f t="shared" ca="1" si="135"/>
        <v>0.10698092155823848</v>
      </c>
    </row>
    <row r="8188" spans="7:8" x14ac:dyDescent="0.35">
      <c r="G8188" s="215">
        <v>8181</v>
      </c>
      <c r="H8188" s="16">
        <f t="shared" ca="1" si="135"/>
        <v>9.3973814247341921E-4</v>
      </c>
    </row>
    <row r="8189" spans="7:8" x14ac:dyDescent="0.35">
      <c r="G8189" s="215">
        <v>8182</v>
      </c>
      <c r="H8189" s="16">
        <f t="shared" ca="1" si="135"/>
        <v>-2.8504007676881504E-2</v>
      </c>
    </row>
    <row r="8190" spans="7:8" x14ac:dyDescent="0.35">
      <c r="G8190" s="215">
        <v>8183</v>
      </c>
      <c r="H8190" s="16">
        <f t="shared" ca="1" si="135"/>
        <v>-4.9418975380705624E-2</v>
      </c>
    </row>
    <row r="8191" spans="7:8" x14ac:dyDescent="0.35">
      <c r="G8191" s="215">
        <v>8184</v>
      </c>
      <c r="H8191" s="16">
        <f t="shared" ca="1" si="135"/>
        <v>-4.5859737693335553E-2</v>
      </c>
    </row>
    <row r="8192" spans="7:8" x14ac:dyDescent="0.35">
      <c r="G8192" s="215">
        <v>8185</v>
      </c>
      <c r="H8192" s="16">
        <f t="shared" ca="1" si="135"/>
        <v>5.3944606255980854E-2</v>
      </c>
    </row>
    <row r="8193" spans="7:8" x14ac:dyDescent="0.35">
      <c r="G8193" s="215">
        <v>8186</v>
      </c>
      <c r="H8193" s="16">
        <f t="shared" ca="1" si="135"/>
        <v>-6.0749063242190274E-2</v>
      </c>
    </row>
    <row r="8194" spans="7:8" x14ac:dyDescent="0.35">
      <c r="G8194" s="215">
        <v>8187</v>
      </c>
      <c r="H8194" s="16">
        <f t="shared" ca="1" si="135"/>
        <v>-8.6460351993864523E-2</v>
      </c>
    </row>
    <row r="8195" spans="7:8" x14ac:dyDescent="0.35">
      <c r="G8195" s="215">
        <v>8188</v>
      </c>
      <c r="H8195" s="16">
        <f t="shared" ca="1" si="135"/>
        <v>0.1277093214076449</v>
      </c>
    </row>
    <row r="8196" spans="7:8" x14ac:dyDescent="0.35">
      <c r="G8196" s="215">
        <v>8189</v>
      </c>
      <c r="H8196" s="16">
        <f t="shared" ca="1" si="135"/>
        <v>-8.7175532391192315E-2</v>
      </c>
    </row>
    <row r="8197" spans="7:8" x14ac:dyDescent="0.35">
      <c r="G8197" s="215">
        <v>8190</v>
      </c>
      <c r="H8197" s="16">
        <f t="shared" ca="1" si="135"/>
        <v>-6.5204460881152546E-2</v>
      </c>
    </row>
    <row r="8198" spans="7:8" x14ac:dyDescent="0.35">
      <c r="G8198" s="215">
        <v>8191</v>
      </c>
      <c r="H8198" s="16">
        <f t="shared" ca="1" si="135"/>
        <v>0.11579498376735839</v>
      </c>
    </row>
    <row r="8199" spans="7:8" x14ac:dyDescent="0.35">
      <c r="G8199" s="215">
        <v>8192</v>
      </c>
      <c r="H8199" s="16">
        <f t="shared" ca="1" si="135"/>
        <v>7.5856793477426701E-2</v>
      </c>
    </row>
    <row r="8200" spans="7:8" x14ac:dyDescent="0.35">
      <c r="G8200" s="215">
        <v>8193</v>
      </c>
      <c r="H8200" s="16">
        <f t="shared" ref="H8200:H8263" ca="1" si="136">_xlfn.NORM.INV(RAND(),M$10,M$11)</f>
        <v>6.3217226668100821E-3</v>
      </c>
    </row>
    <row r="8201" spans="7:8" x14ac:dyDescent="0.35">
      <c r="G8201" s="215">
        <v>8194</v>
      </c>
      <c r="H8201" s="16">
        <f t="shared" ca="1" si="136"/>
        <v>-6.5082923151082134E-2</v>
      </c>
    </row>
    <row r="8202" spans="7:8" x14ac:dyDescent="0.35">
      <c r="G8202" s="215">
        <v>8195</v>
      </c>
      <c r="H8202" s="16">
        <f t="shared" ca="1" si="136"/>
        <v>1.9673878012804995E-2</v>
      </c>
    </row>
    <row r="8203" spans="7:8" x14ac:dyDescent="0.35">
      <c r="G8203" s="215">
        <v>8196</v>
      </c>
      <c r="H8203" s="16">
        <f t="shared" ca="1" si="136"/>
        <v>5.2988103680471577E-2</v>
      </c>
    </row>
    <row r="8204" spans="7:8" x14ac:dyDescent="0.35">
      <c r="G8204" s="215">
        <v>8197</v>
      </c>
      <c r="H8204" s="16">
        <f t="shared" ca="1" si="136"/>
        <v>2.1587273769905577E-2</v>
      </c>
    </row>
    <row r="8205" spans="7:8" x14ac:dyDescent="0.35">
      <c r="G8205" s="215">
        <v>8198</v>
      </c>
      <c r="H8205" s="16">
        <f t="shared" ca="1" si="136"/>
        <v>-6.695071642848649E-2</v>
      </c>
    </row>
    <row r="8206" spans="7:8" x14ac:dyDescent="0.35">
      <c r="G8206" s="215">
        <v>8199</v>
      </c>
      <c r="H8206" s="16">
        <f t="shared" ca="1" si="136"/>
        <v>-8.5493074215252332E-2</v>
      </c>
    </row>
    <row r="8207" spans="7:8" x14ac:dyDescent="0.35">
      <c r="G8207" s="215">
        <v>8200</v>
      </c>
      <c r="H8207" s="16">
        <f t="shared" ca="1" si="136"/>
        <v>-5.1398577789970007E-2</v>
      </c>
    </row>
    <row r="8208" spans="7:8" x14ac:dyDescent="0.35">
      <c r="G8208" s="215">
        <v>8201</v>
      </c>
      <c r="H8208" s="16">
        <f t="shared" ca="1" si="136"/>
        <v>-4.761772681188195E-2</v>
      </c>
    </row>
    <row r="8209" spans="7:8" x14ac:dyDescent="0.35">
      <c r="G8209" s="215">
        <v>8202</v>
      </c>
      <c r="H8209" s="16">
        <f t="shared" ca="1" si="136"/>
        <v>-5.5735583919720444E-2</v>
      </c>
    </row>
    <row r="8210" spans="7:8" x14ac:dyDescent="0.35">
      <c r="G8210" s="215">
        <v>8203</v>
      </c>
      <c r="H8210" s="16">
        <f t="shared" ca="1" si="136"/>
        <v>2.8300241714155863E-2</v>
      </c>
    </row>
    <row r="8211" spans="7:8" x14ac:dyDescent="0.35">
      <c r="G8211" s="215">
        <v>8204</v>
      </c>
      <c r="H8211" s="16">
        <f t="shared" ca="1" si="136"/>
        <v>2.7150007739638014E-4</v>
      </c>
    </row>
    <row r="8212" spans="7:8" x14ac:dyDescent="0.35">
      <c r="G8212" s="215">
        <v>8205</v>
      </c>
      <c r="H8212" s="16">
        <f t="shared" ca="1" si="136"/>
        <v>-4.2311479406011418E-2</v>
      </c>
    </row>
    <row r="8213" spans="7:8" x14ac:dyDescent="0.35">
      <c r="G8213" s="215">
        <v>8206</v>
      </c>
      <c r="H8213" s="16">
        <f t="shared" ca="1" si="136"/>
        <v>-0.12266241985539267</v>
      </c>
    </row>
    <row r="8214" spans="7:8" x14ac:dyDescent="0.35">
      <c r="G8214" s="215">
        <v>8207</v>
      </c>
      <c r="H8214" s="16">
        <f t="shared" ca="1" si="136"/>
        <v>0.10858688478072516</v>
      </c>
    </row>
    <row r="8215" spans="7:8" x14ac:dyDescent="0.35">
      <c r="G8215" s="215">
        <v>8208</v>
      </c>
      <c r="H8215" s="16">
        <f t="shared" ca="1" si="136"/>
        <v>-0.12606648203497511</v>
      </c>
    </row>
    <row r="8216" spans="7:8" x14ac:dyDescent="0.35">
      <c r="G8216" s="215">
        <v>8209</v>
      </c>
      <c r="H8216" s="16">
        <f t="shared" ca="1" si="136"/>
        <v>1.3362080070292976E-2</v>
      </c>
    </row>
    <row r="8217" spans="7:8" x14ac:dyDescent="0.35">
      <c r="G8217" s="215">
        <v>8210</v>
      </c>
      <c r="H8217" s="16">
        <f t="shared" ca="1" si="136"/>
        <v>9.6517050752217663E-3</v>
      </c>
    </row>
    <row r="8218" spans="7:8" x14ac:dyDescent="0.35">
      <c r="G8218" s="215">
        <v>8211</v>
      </c>
      <c r="H8218" s="16">
        <f t="shared" ca="1" si="136"/>
        <v>0.10747919981543662</v>
      </c>
    </row>
    <row r="8219" spans="7:8" x14ac:dyDescent="0.35">
      <c r="G8219" s="215">
        <v>8212</v>
      </c>
      <c r="H8219" s="16">
        <f t="shared" ca="1" si="136"/>
        <v>-3.6473189690292118E-2</v>
      </c>
    </row>
    <row r="8220" spans="7:8" x14ac:dyDescent="0.35">
      <c r="G8220" s="215">
        <v>8213</v>
      </c>
      <c r="H8220" s="16">
        <f t="shared" ca="1" si="136"/>
        <v>5.1879211496147368E-2</v>
      </c>
    </row>
    <row r="8221" spans="7:8" x14ac:dyDescent="0.35">
      <c r="G8221" s="215">
        <v>8214</v>
      </c>
      <c r="H8221" s="16">
        <f t="shared" ca="1" si="136"/>
        <v>0.1022412024861525</v>
      </c>
    </row>
    <row r="8222" spans="7:8" x14ac:dyDescent="0.35">
      <c r="G8222" s="215">
        <v>8215</v>
      </c>
      <c r="H8222" s="16">
        <f t="shared" ca="1" si="136"/>
        <v>2.7441104845099783E-2</v>
      </c>
    </row>
    <row r="8223" spans="7:8" x14ac:dyDescent="0.35">
      <c r="G8223" s="215">
        <v>8216</v>
      </c>
      <c r="H8223" s="16">
        <f t="shared" ca="1" si="136"/>
        <v>-4.4765916776011258E-2</v>
      </c>
    </row>
    <row r="8224" spans="7:8" x14ac:dyDescent="0.35">
      <c r="G8224" s="215">
        <v>8217</v>
      </c>
      <c r="H8224" s="16">
        <f t="shared" ca="1" si="136"/>
        <v>7.1929707991750705E-2</v>
      </c>
    </row>
    <row r="8225" spans="7:8" x14ac:dyDescent="0.35">
      <c r="G8225" s="215">
        <v>8218</v>
      </c>
      <c r="H8225" s="16">
        <f t="shared" ca="1" si="136"/>
        <v>3.5666169978808247E-3</v>
      </c>
    </row>
    <row r="8226" spans="7:8" x14ac:dyDescent="0.35">
      <c r="G8226" s="215">
        <v>8219</v>
      </c>
      <c r="H8226" s="16">
        <f t="shared" ca="1" si="136"/>
        <v>-1.484276693852437E-2</v>
      </c>
    </row>
    <row r="8227" spans="7:8" x14ac:dyDescent="0.35">
      <c r="G8227" s="215">
        <v>8220</v>
      </c>
      <c r="H8227" s="16">
        <f t="shared" ca="1" si="136"/>
        <v>5.3996074356215382E-2</v>
      </c>
    </row>
    <row r="8228" spans="7:8" x14ac:dyDescent="0.35">
      <c r="G8228" s="215">
        <v>8221</v>
      </c>
      <c r="H8228" s="16">
        <f t="shared" ca="1" si="136"/>
        <v>-5.8893955826881117E-3</v>
      </c>
    </row>
    <row r="8229" spans="7:8" x14ac:dyDescent="0.35">
      <c r="G8229" s="215">
        <v>8222</v>
      </c>
      <c r="H8229" s="16">
        <f t="shared" ca="1" si="136"/>
        <v>-4.963943663316947E-2</v>
      </c>
    </row>
    <row r="8230" spans="7:8" x14ac:dyDescent="0.35">
      <c r="G8230" s="215">
        <v>8223</v>
      </c>
      <c r="H8230" s="16">
        <f t="shared" ca="1" si="136"/>
        <v>-4.026034829353993E-3</v>
      </c>
    </row>
    <row r="8231" spans="7:8" x14ac:dyDescent="0.35">
      <c r="G8231" s="215">
        <v>8224</v>
      </c>
      <c r="H8231" s="16">
        <f t="shared" ca="1" si="136"/>
        <v>0.13456290543357177</v>
      </c>
    </row>
    <row r="8232" spans="7:8" x14ac:dyDescent="0.35">
      <c r="G8232" s="215">
        <v>8225</v>
      </c>
      <c r="H8232" s="16">
        <f t="shared" ca="1" si="136"/>
        <v>-3.9451868939493498E-2</v>
      </c>
    </row>
    <row r="8233" spans="7:8" x14ac:dyDescent="0.35">
      <c r="G8233" s="215">
        <v>8226</v>
      </c>
      <c r="H8233" s="16">
        <f t="shared" ca="1" si="136"/>
        <v>-9.6696932908071111E-3</v>
      </c>
    </row>
    <row r="8234" spans="7:8" x14ac:dyDescent="0.35">
      <c r="G8234" s="215">
        <v>8227</v>
      </c>
      <c r="H8234" s="16">
        <f t="shared" ca="1" si="136"/>
        <v>0.12864829531458069</v>
      </c>
    </row>
    <row r="8235" spans="7:8" x14ac:dyDescent="0.35">
      <c r="G8235" s="215">
        <v>8228</v>
      </c>
      <c r="H8235" s="16">
        <f t="shared" ca="1" si="136"/>
        <v>1.3002471995517984E-2</v>
      </c>
    </row>
    <row r="8236" spans="7:8" x14ac:dyDescent="0.35">
      <c r="G8236" s="215">
        <v>8229</v>
      </c>
      <c r="H8236" s="16">
        <f t="shared" ca="1" si="136"/>
        <v>6.6000143174702069E-2</v>
      </c>
    </row>
    <row r="8237" spans="7:8" x14ac:dyDescent="0.35">
      <c r="G8237" s="215">
        <v>8230</v>
      </c>
      <c r="H8237" s="16">
        <f t="shared" ca="1" si="136"/>
        <v>3.3582315537706429E-2</v>
      </c>
    </row>
    <row r="8238" spans="7:8" x14ac:dyDescent="0.35">
      <c r="G8238" s="215">
        <v>8231</v>
      </c>
      <c r="H8238" s="16">
        <f t="shared" ca="1" si="136"/>
        <v>4.6971164099242943E-2</v>
      </c>
    </row>
    <row r="8239" spans="7:8" x14ac:dyDescent="0.35">
      <c r="G8239" s="215">
        <v>8232</v>
      </c>
      <c r="H8239" s="16">
        <f t="shared" ca="1" si="136"/>
        <v>3.8763594961105222E-2</v>
      </c>
    </row>
    <row r="8240" spans="7:8" x14ac:dyDescent="0.35">
      <c r="G8240" s="215">
        <v>8233</v>
      </c>
      <c r="H8240" s="16">
        <f t="shared" ca="1" si="136"/>
        <v>-8.6107254133723304E-2</v>
      </c>
    </row>
    <row r="8241" spans="7:8" x14ac:dyDescent="0.35">
      <c r="G8241" s="215">
        <v>8234</v>
      </c>
      <c r="H8241" s="16">
        <f t="shared" ca="1" si="136"/>
        <v>6.0271804219131017E-2</v>
      </c>
    </row>
    <row r="8242" spans="7:8" x14ac:dyDescent="0.35">
      <c r="G8242" s="215">
        <v>8235</v>
      </c>
      <c r="H8242" s="16">
        <f t="shared" ca="1" si="136"/>
        <v>0.14987291744720624</v>
      </c>
    </row>
    <row r="8243" spans="7:8" x14ac:dyDescent="0.35">
      <c r="G8243" s="215">
        <v>8236</v>
      </c>
      <c r="H8243" s="16">
        <f t="shared" ca="1" si="136"/>
        <v>5.6307147589610654E-2</v>
      </c>
    </row>
    <row r="8244" spans="7:8" x14ac:dyDescent="0.35">
      <c r="G8244" s="215">
        <v>8237</v>
      </c>
      <c r="H8244" s="16">
        <f t="shared" ca="1" si="136"/>
        <v>2.5241969311359323E-2</v>
      </c>
    </row>
    <row r="8245" spans="7:8" x14ac:dyDescent="0.35">
      <c r="G8245" s="215">
        <v>8238</v>
      </c>
      <c r="H8245" s="16">
        <f t="shared" ca="1" si="136"/>
        <v>2.7808558698312523E-2</v>
      </c>
    </row>
    <row r="8246" spans="7:8" x14ac:dyDescent="0.35">
      <c r="G8246" s="215">
        <v>8239</v>
      </c>
      <c r="H8246" s="16">
        <f t="shared" ca="1" si="136"/>
        <v>-2.6427081827507557E-2</v>
      </c>
    </row>
    <row r="8247" spans="7:8" x14ac:dyDescent="0.35">
      <c r="G8247" s="215">
        <v>8240</v>
      </c>
      <c r="H8247" s="16">
        <f t="shared" ca="1" si="136"/>
        <v>-6.0106798022576027E-2</v>
      </c>
    </row>
    <row r="8248" spans="7:8" x14ac:dyDescent="0.35">
      <c r="G8248" s="215">
        <v>8241</v>
      </c>
      <c r="H8248" s="16">
        <f t="shared" ca="1" si="136"/>
        <v>1.7386542083940623E-2</v>
      </c>
    </row>
    <row r="8249" spans="7:8" x14ac:dyDescent="0.35">
      <c r="G8249" s="215">
        <v>8242</v>
      </c>
      <c r="H8249" s="16">
        <f t="shared" ca="1" si="136"/>
        <v>-0.11073551368072529</v>
      </c>
    </row>
    <row r="8250" spans="7:8" x14ac:dyDescent="0.35">
      <c r="G8250" s="215">
        <v>8243</v>
      </c>
      <c r="H8250" s="16">
        <f t="shared" ca="1" si="136"/>
        <v>3.2866189828039571E-2</v>
      </c>
    </row>
    <row r="8251" spans="7:8" x14ac:dyDescent="0.35">
      <c r="G8251" s="215">
        <v>8244</v>
      </c>
      <c r="H8251" s="16">
        <f t="shared" ca="1" si="136"/>
        <v>0.13345799581903245</v>
      </c>
    </row>
    <row r="8252" spans="7:8" x14ac:dyDescent="0.35">
      <c r="G8252" s="215">
        <v>8245</v>
      </c>
      <c r="H8252" s="16">
        <f t="shared" ca="1" si="136"/>
        <v>-3.2027906764720143E-2</v>
      </c>
    </row>
    <row r="8253" spans="7:8" x14ac:dyDescent="0.35">
      <c r="G8253" s="215">
        <v>8246</v>
      </c>
      <c r="H8253" s="16">
        <f t="shared" ca="1" si="136"/>
        <v>-8.47169306299057E-3</v>
      </c>
    </row>
    <row r="8254" spans="7:8" x14ac:dyDescent="0.35">
      <c r="G8254" s="215">
        <v>8247</v>
      </c>
      <c r="H8254" s="16">
        <f t="shared" ca="1" si="136"/>
        <v>1.0432492149717146E-2</v>
      </c>
    </row>
    <row r="8255" spans="7:8" x14ac:dyDescent="0.35">
      <c r="G8255" s="215">
        <v>8248</v>
      </c>
      <c r="H8255" s="16">
        <f t="shared" ca="1" si="136"/>
        <v>2.334446786802151E-2</v>
      </c>
    </row>
    <row r="8256" spans="7:8" x14ac:dyDescent="0.35">
      <c r="G8256" s="215">
        <v>8249</v>
      </c>
      <c r="H8256" s="16">
        <f t="shared" ca="1" si="136"/>
        <v>1.4796081426066691E-2</v>
      </c>
    </row>
    <row r="8257" spans="7:8" x14ac:dyDescent="0.35">
      <c r="G8257" s="215">
        <v>8250</v>
      </c>
      <c r="H8257" s="16">
        <f t="shared" ca="1" si="136"/>
        <v>-8.0386563998481958E-2</v>
      </c>
    </row>
    <row r="8258" spans="7:8" x14ac:dyDescent="0.35">
      <c r="G8258" s="215">
        <v>8251</v>
      </c>
      <c r="H8258" s="16">
        <f t="shared" ca="1" si="136"/>
        <v>-3.1014832076047844E-2</v>
      </c>
    </row>
    <row r="8259" spans="7:8" x14ac:dyDescent="0.35">
      <c r="G8259" s="215">
        <v>8252</v>
      </c>
      <c r="H8259" s="16">
        <f t="shared" ca="1" si="136"/>
        <v>-4.1859339089685269E-2</v>
      </c>
    </row>
    <row r="8260" spans="7:8" x14ac:dyDescent="0.35">
      <c r="G8260" s="215">
        <v>8253</v>
      </c>
      <c r="H8260" s="16">
        <f t="shared" ca="1" si="136"/>
        <v>2.6602071546442584E-2</v>
      </c>
    </row>
    <row r="8261" spans="7:8" x14ac:dyDescent="0.35">
      <c r="G8261" s="215">
        <v>8254</v>
      </c>
      <c r="H8261" s="16">
        <f t="shared" ca="1" si="136"/>
        <v>7.4516356762834898E-2</v>
      </c>
    </row>
    <row r="8262" spans="7:8" x14ac:dyDescent="0.35">
      <c r="G8262" s="215">
        <v>8255</v>
      </c>
      <c r="H8262" s="16">
        <f t="shared" ca="1" si="136"/>
        <v>-0.10770797540436772</v>
      </c>
    </row>
    <row r="8263" spans="7:8" x14ac:dyDescent="0.35">
      <c r="G8263" s="215">
        <v>8256</v>
      </c>
      <c r="H8263" s="16">
        <f t="shared" ca="1" si="136"/>
        <v>-3.6197101026772913E-2</v>
      </c>
    </row>
    <row r="8264" spans="7:8" x14ac:dyDescent="0.35">
      <c r="G8264" s="215">
        <v>8257</v>
      </c>
      <c r="H8264" s="16">
        <f t="shared" ref="H8264:H8327" ca="1" si="137">_xlfn.NORM.INV(RAND(),M$10,M$11)</f>
        <v>4.5973915137356616E-2</v>
      </c>
    </row>
    <row r="8265" spans="7:8" x14ac:dyDescent="0.35">
      <c r="G8265" s="215">
        <v>8258</v>
      </c>
      <c r="H8265" s="16">
        <f t="shared" ca="1" si="137"/>
        <v>6.4628946181201741E-2</v>
      </c>
    </row>
    <row r="8266" spans="7:8" x14ac:dyDescent="0.35">
      <c r="G8266" s="215">
        <v>8259</v>
      </c>
      <c r="H8266" s="16">
        <f t="shared" ca="1" si="137"/>
        <v>0.11971086781404594</v>
      </c>
    </row>
    <row r="8267" spans="7:8" x14ac:dyDescent="0.35">
      <c r="G8267" s="215">
        <v>8260</v>
      </c>
      <c r="H8267" s="16">
        <f t="shared" ca="1" si="137"/>
        <v>-3.5904919448134925E-2</v>
      </c>
    </row>
    <row r="8268" spans="7:8" x14ac:dyDescent="0.35">
      <c r="G8268" s="215">
        <v>8261</v>
      </c>
      <c r="H8268" s="16">
        <f t="shared" ca="1" si="137"/>
        <v>-9.5686906471004501E-2</v>
      </c>
    </row>
    <row r="8269" spans="7:8" x14ac:dyDescent="0.35">
      <c r="G8269" s="215">
        <v>8262</v>
      </c>
      <c r="H8269" s="16">
        <f t="shared" ca="1" si="137"/>
        <v>-3.5027762741957763E-2</v>
      </c>
    </row>
    <row r="8270" spans="7:8" x14ac:dyDescent="0.35">
      <c r="G8270" s="215">
        <v>8263</v>
      </c>
      <c r="H8270" s="16">
        <f t="shared" ca="1" si="137"/>
        <v>-4.8098493672773163E-2</v>
      </c>
    </row>
    <row r="8271" spans="7:8" x14ac:dyDescent="0.35">
      <c r="G8271" s="215">
        <v>8264</v>
      </c>
      <c r="H8271" s="16">
        <f t="shared" ca="1" si="137"/>
        <v>-7.8486210325554237E-3</v>
      </c>
    </row>
    <row r="8272" spans="7:8" x14ac:dyDescent="0.35">
      <c r="G8272" s="215">
        <v>8265</v>
      </c>
      <c r="H8272" s="16">
        <f t="shared" ca="1" si="137"/>
        <v>-6.5310152225455789E-2</v>
      </c>
    </row>
    <row r="8273" spans="7:8" x14ac:dyDescent="0.35">
      <c r="G8273" s="215">
        <v>8266</v>
      </c>
      <c r="H8273" s="16">
        <f t="shared" ca="1" si="137"/>
        <v>-5.3108375441209152E-2</v>
      </c>
    </row>
    <row r="8274" spans="7:8" x14ac:dyDescent="0.35">
      <c r="G8274" s="215">
        <v>8267</v>
      </c>
      <c r="H8274" s="16">
        <f t="shared" ca="1" si="137"/>
        <v>-4.3330940961386288E-2</v>
      </c>
    </row>
    <row r="8275" spans="7:8" x14ac:dyDescent="0.35">
      <c r="G8275" s="215">
        <v>8268</v>
      </c>
      <c r="H8275" s="16">
        <f t="shared" ca="1" si="137"/>
        <v>1.950772143840122E-2</v>
      </c>
    </row>
    <row r="8276" spans="7:8" x14ac:dyDescent="0.35">
      <c r="G8276" s="215">
        <v>8269</v>
      </c>
      <c r="H8276" s="16">
        <f t="shared" ca="1" si="137"/>
        <v>6.457273545026225E-2</v>
      </c>
    </row>
    <row r="8277" spans="7:8" x14ac:dyDescent="0.35">
      <c r="G8277" s="215">
        <v>8270</v>
      </c>
      <c r="H8277" s="16">
        <f t="shared" ca="1" si="137"/>
        <v>8.0199765869407944E-3</v>
      </c>
    </row>
    <row r="8278" spans="7:8" x14ac:dyDescent="0.35">
      <c r="G8278" s="215">
        <v>8271</v>
      </c>
      <c r="H8278" s="16">
        <f t="shared" ca="1" si="137"/>
        <v>4.8110721724543976E-3</v>
      </c>
    </row>
    <row r="8279" spans="7:8" x14ac:dyDescent="0.35">
      <c r="G8279" s="215">
        <v>8272</v>
      </c>
      <c r="H8279" s="16">
        <f t="shared" ca="1" si="137"/>
        <v>-7.1109028397539735E-3</v>
      </c>
    </row>
    <row r="8280" spans="7:8" x14ac:dyDescent="0.35">
      <c r="G8280" s="215">
        <v>8273</v>
      </c>
      <c r="H8280" s="16">
        <f t="shared" ca="1" si="137"/>
        <v>-0.15822803206356884</v>
      </c>
    </row>
    <row r="8281" spans="7:8" x14ac:dyDescent="0.35">
      <c r="G8281" s="215">
        <v>8274</v>
      </c>
      <c r="H8281" s="16">
        <f t="shared" ca="1" si="137"/>
        <v>3.7298210282229891E-2</v>
      </c>
    </row>
    <row r="8282" spans="7:8" x14ac:dyDescent="0.35">
      <c r="G8282" s="215">
        <v>8275</v>
      </c>
      <c r="H8282" s="16">
        <f t="shared" ca="1" si="137"/>
        <v>-3.3864732820144614E-2</v>
      </c>
    </row>
    <row r="8283" spans="7:8" x14ac:dyDescent="0.35">
      <c r="G8283" s="215">
        <v>8276</v>
      </c>
      <c r="H8283" s="16">
        <f t="shared" ca="1" si="137"/>
        <v>-6.1758613529171349E-2</v>
      </c>
    </row>
    <row r="8284" spans="7:8" x14ac:dyDescent="0.35">
      <c r="G8284" s="215">
        <v>8277</v>
      </c>
      <c r="H8284" s="16">
        <f t="shared" ca="1" si="137"/>
        <v>0.1027003546330109</v>
      </c>
    </row>
    <row r="8285" spans="7:8" x14ac:dyDescent="0.35">
      <c r="G8285" s="215">
        <v>8278</v>
      </c>
      <c r="H8285" s="16">
        <f t="shared" ca="1" si="137"/>
        <v>2.7024261596272234E-2</v>
      </c>
    </row>
    <row r="8286" spans="7:8" x14ac:dyDescent="0.35">
      <c r="G8286" s="215">
        <v>8279</v>
      </c>
      <c r="H8286" s="16">
        <f t="shared" ca="1" si="137"/>
        <v>4.2097698647590817E-2</v>
      </c>
    </row>
    <row r="8287" spans="7:8" x14ac:dyDescent="0.35">
      <c r="G8287" s="215">
        <v>8280</v>
      </c>
      <c r="H8287" s="16">
        <f t="shared" ca="1" si="137"/>
        <v>1.681094268260238E-3</v>
      </c>
    </row>
    <row r="8288" spans="7:8" x14ac:dyDescent="0.35">
      <c r="G8288" s="215">
        <v>8281</v>
      </c>
      <c r="H8288" s="16">
        <f t="shared" ca="1" si="137"/>
        <v>6.9283956806436203E-2</v>
      </c>
    </row>
    <row r="8289" spans="7:8" x14ac:dyDescent="0.35">
      <c r="G8289" s="215">
        <v>8282</v>
      </c>
      <c r="H8289" s="16">
        <f t="shared" ca="1" si="137"/>
        <v>0.12195380698135992</v>
      </c>
    </row>
    <row r="8290" spans="7:8" x14ac:dyDescent="0.35">
      <c r="G8290" s="215">
        <v>8283</v>
      </c>
      <c r="H8290" s="16">
        <f t="shared" ca="1" si="137"/>
        <v>6.2527641696039707E-2</v>
      </c>
    </row>
    <row r="8291" spans="7:8" x14ac:dyDescent="0.35">
      <c r="G8291" s="215">
        <v>8284</v>
      </c>
      <c r="H8291" s="16">
        <f t="shared" ca="1" si="137"/>
        <v>7.6248084857196863E-2</v>
      </c>
    </row>
    <row r="8292" spans="7:8" x14ac:dyDescent="0.35">
      <c r="G8292" s="215">
        <v>8285</v>
      </c>
      <c r="H8292" s="16">
        <f t="shared" ca="1" si="137"/>
        <v>8.6529499286689779E-2</v>
      </c>
    </row>
    <row r="8293" spans="7:8" x14ac:dyDescent="0.35">
      <c r="G8293" s="215">
        <v>8286</v>
      </c>
      <c r="H8293" s="16">
        <f t="shared" ca="1" si="137"/>
        <v>0.11919954408551958</v>
      </c>
    </row>
    <row r="8294" spans="7:8" x14ac:dyDescent="0.35">
      <c r="G8294" s="215">
        <v>8287</v>
      </c>
      <c r="H8294" s="16">
        <f t="shared" ca="1" si="137"/>
        <v>1.680441418597816E-2</v>
      </c>
    </row>
    <row r="8295" spans="7:8" x14ac:dyDescent="0.35">
      <c r="G8295" s="215">
        <v>8288</v>
      </c>
      <c r="H8295" s="16">
        <f t="shared" ca="1" si="137"/>
        <v>0.14177533716458465</v>
      </c>
    </row>
    <row r="8296" spans="7:8" x14ac:dyDescent="0.35">
      <c r="G8296" s="215">
        <v>8289</v>
      </c>
      <c r="H8296" s="16">
        <f t="shared" ca="1" si="137"/>
        <v>3.0188271522343563E-2</v>
      </c>
    </row>
    <row r="8297" spans="7:8" x14ac:dyDescent="0.35">
      <c r="G8297" s="215">
        <v>8290</v>
      </c>
      <c r="H8297" s="16">
        <f t="shared" ca="1" si="137"/>
        <v>2.8767296144558578E-2</v>
      </c>
    </row>
    <row r="8298" spans="7:8" x14ac:dyDescent="0.35">
      <c r="G8298" s="215">
        <v>8291</v>
      </c>
      <c r="H8298" s="16">
        <f t="shared" ca="1" si="137"/>
        <v>6.1571112670063127E-2</v>
      </c>
    </row>
    <row r="8299" spans="7:8" x14ac:dyDescent="0.35">
      <c r="G8299" s="215">
        <v>8292</v>
      </c>
      <c r="H8299" s="16">
        <f t="shared" ca="1" si="137"/>
        <v>-2.6666769046412239E-2</v>
      </c>
    </row>
    <row r="8300" spans="7:8" x14ac:dyDescent="0.35">
      <c r="G8300" s="215">
        <v>8293</v>
      </c>
      <c r="H8300" s="16">
        <f t="shared" ca="1" si="137"/>
        <v>-5.9295013234450744E-2</v>
      </c>
    </row>
    <row r="8301" spans="7:8" x14ac:dyDescent="0.35">
      <c r="G8301" s="215">
        <v>8294</v>
      </c>
      <c r="H8301" s="16">
        <f t="shared" ca="1" si="137"/>
        <v>4.6810922240166475E-2</v>
      </c>
    </row>
    <row r="8302" spans="7:8" x14ac:dyDescent="0.35">
      <c r="G8302" s="215">
        <v>8295</v>
      </c>
      <c r="H8302" s="16">
        <f t="shared" ca="1" si="137"/>
        <v>-3.1097309834236479E-2</v>
      </c>
    </row>
    <row r="8303" spans="7:8" x14ac:dyDescent="0.35">
      <c r="G8303" s="215">
        <v>8296</v>
      </c>
      <c r="H8303" s="16">
        <f t="shared" ca="1" si="137"/>
        <v>-4.8771496239822798E-2</v>
      </c>
    </row>
    <row r="8304" spans="7:8" x14ac:dyDescent="0.35">
      <c r="G8304" s="215">
        <v>8297</v>
      </c>
      <c r="H8304" s="16">
        <f t="shared" ca="1" si="137"/>
        <v>3.5386615305624702E-2</v>
      </c>
    </row>
    <row r="8305" spans="7:8" x14ac:dyDescent="0.35">
      <c r="G8305" s="215">
        <v>8298</v>
      </c>
      <c r="H8305" s="16">
        <f t="shared" ca="1" si="137"/>
        <v>0.11593808121158809</v>
      </c>
    </row>
    <row r="8306" spans="7:8" x14ac:dyDescent="0.35">
      <c r="G8306" s="215">
        <v>8299</v>
      </c>
      <c r="H8306" s="16">
        <f t="shared" ca="1" si="137"/>
        <v>8.4354100703655496E-2</v>
      </c>
    </row>
    <row r="8307" spans="7:8" x14ac:dyDescent="0.35">
      <c r="G8307" s="215">
        <v>8300</v>
      </c>
      <c r="H8307" s="16">
        <f t="shared" ca="1" si="137"/>
        <v>-6.8396112123565389E-2</v>
      </c>
    </row>
    <row r="8308" spans="7:8" x14ac:dyDescent="0.35">
      <c r="G8308" s="215">
        <v>8301</v>
      </c>
      <c r="H8308" s="16">
        <f t="shared" ca="1" si="137"/>
        <v>4.4196634261703567E-4</v>
      </c>
    </row>
    <row r="8309" spans="7:8" x14ac:dyDescent="0.35">
      <c r="G8309" s="215">
        <v>8302</v>
      </c>
      <c r="H8309" s="16">
        <f t="shared" ca="1" si="137"/>
        <v>-0.12173634951359685</v>
      </c>
    </row>
    <row r="8310" spans="7:8" x14ac:dyDescent="0.35">
      <c r="G8310" s="215">
        <v>8303</v>
      </c>
      <c r="H8310" s="16">
        <f t="shared" ca="1" si="137"/>
        <v>4.8257553287116228E-2</v>
      </c>
    </row>
    <row r="8311" spans="7:8" x14ac:dyDescent="0.35">
      <c r="G8311" s="215">
        <v>8304</v>
      </c>
      <c r="H8311" s="16">
        <f t="shared" ca="1" si="137"/>
        <v>5.8762086094317975E-2</v>
      </c>
    </row>
    <row r="8312" spans="7:8" x14ac:dyDescent="0.35">
      <c r="G8312" s="215">
        <v>8305</v>
      </c>
      <c r="H8312" s="16">
        <f t="shared" ca="1" si="137"/>
        <v>-7.3133419421855722E-2</v>
      </c>
    </row>
    <row r="8313" spans="7:8" x14ac:dyDescent="0.35">
      <c r="G8313" s="215">
        <v>8306</v>
      </c>
      <c r="H8313" s="16">
        <f t="shared" ca="1" si="137"/>
        <v>-4.4313736430161774E-2</v>
      </c>
    </row>
    <row r="8314" spans="7:8" x14ac:dyDescent="0.35">
      <c r="G8314" s="215">
        <v>8307</v>
      </c>
      <c r="H8314" s="16">
        <f t="shared" ca="1" si="137"/>
        <v>7.5892228499180939E-2</v>
      </c>
    </row>
    <row r="8315" spans="7:8" x14ac:dyDescent="0.35">
      <c r="G8315" s="215">
        <v>8308</v>
      </c>
      <c r="H8315" s="16">
        <f t="shared" ca="1" si="137"/>
        <v>-7.0205181592776403E-2</v>
      </c>
    </row>
    <row r="8316" spans="7:8" x14ac:dyDescent="0.35">
      <c r="G8316" s="215">
        <v>8309</v>
      </c>
      <c r="H8316" s="16">
        <f t="shared" ca="1" si="137"/>
        <v>6.0132865499257795E-2</v>
      </c>
    </row>
    <row r="8317" spans="7:8" x14ac:dyDescent="0.35">
      <c r="G8317" s="215">
        <v>8310</v>
      </c>
      <c r="H8317" s="16">
        <f t="shared" ca="1" si="137"/>
        <v>-6.3161670200579695E-2</v>
      </c>
    </row>
    <row r="8318" spans="7:8" x14ac:dyDescent="0.35">
      <c r="G8318" s="215">
        <v>8311</v>
      </c>
      <c r="H8318" s="16">
        <f t="shared" ca="1" si="137"/>
        <v>-1.2841095979321166E-2</v>
      </c>
    </row>
    <row r="8319" spans="7:8" x14ac:dyDescent="0.35">
      <c r="G8319" s="215">
        <v>8312</v>
      </c>
      <c r="H8319" s="16">
        <f t="shared" ca="1" si="137"/>
        <v>-9.6827360362502196E-2</v>
      </c>
    </row>
    <row r="8320" spans="7:8" x14ac:dyDescent="0.35">
      <c r="G8320" s="215">
        <v>8313</v>
      </c>
      <c r="H8320" s="16">
        <f t="shared" ca="1" si="137"/>
        <v>0.1364622058399983</v>
      </c>
    </row>
    <row r="8321" spans="7:8" x14ac:dyDescent="0.35">
      <c r="G8321" s="215">
        <v>8314</v>
      </c>
      <c r="H8321" s="16">
        <f t="shared" ca="1" si="137"/>
        <v>-6.5112189027301148E-2</v>
      </c>
    </row>
    <row r="8322" spans="7:8" x14ac:dyDescent="0.35">
      <c r="G8322" s="215">
        <v>8315</v>
      </c>
      <c r="H8322" s="16">
        <f t="shared" ca="1" si="137"/>
        <v>-5.9118632949051286E-2</v>
      </c>
    </row>
    <row r="8323" spans="7:8" x14ac:dyDescent="0.35">
      <c r="G8323" s="215">
        <v>8316</v>
      </c>
      <c r="H8323" s="16">
        <f t="shared" ca="1" si="137"/>
        <v>-7.731141284566475E-3</v>
      </c>
    </row>
    <row r="8324" spans="7:8" x14ac:dyDescent="0.35">
      <c r="G8324" s="215">
        <v>8317</v>
      </c>
      <c r="H8324" s="16">
        <f t="shared" ca="1" si="137"/>
        <v>-0.11546884850873401</v>
      </c>
    </row>
    <row r="8325" spans="7:8" x14ac:dyDescent="0.35">
      <c r="G8325" s="215">
        <v>8318</v>
      </c>
      <c r="H8325" s="16">
        <f t="shared" ca="1" si="137"/>
        <v>8.7453404331924861E-2</v>
      </c>
    </row>
    <row r="8326" spans="7:8" x14ac:dyDescent="0.35">
      <c r="G8326" s="215">
        <v>8319</v>
      </c>
      <c r="H8326" s="16">
        <f t="shared" ca="1" si="137"/>
        <v>0.11007765935541278</v>
      </c>
    </row>
    <row r="8327" spans="7:8" x14ac:dyDescent="0.35">
      <c r="G8327" s="215">
        <v>8320</v>
      </c>
      <c r="H8327" s="16">
        <f t="shared" ca="1" si="137"/>
        <v>6.7342003228411898E-2</v>
      </c>
    </row>
    <row r="8328" spans="7:8" x14ac:dyDescent="0.35">
      <c r="G8328" s="215">
        <v>8321</v>
      </c>
      <c r="H8328" s="16">
        <f t="shared" ref="H8328:H8391" ca="1" si="138">_xlfn.NORM.INV(RAND(),M$10,M$11)</f>
        <v>2.7573471791960947E-2</v>
      </c>
    </row>
    <row r="8329" spans="7:8" x14ac:dyDescent="0.35">
      <c r="G8329" s="215">
        <v>8322</v>
      </c>
      <c r="H8329" s="16">
        <f t="shared" ca="1" si="138"/>
        <v>2.2098168897096183E-3</v>
      </c>
    </row>
    <row r="8330" spans="7:8" x14ac:dyDescent="0.35">
      <c r="G8330" s="215">
        <v>8323</v>
      </c>
      <c r="H8330" s="16">
        <f t="shared" ca="1" si="138"/>
        <v>1.7989317734565045E-2</v>
      </c>
    </row>
    <row r="8331" spans="7:8" x14ac:dyDescent="0.35">
      <c r="G8331" s="215">
        <v>8324</v>
      </c>
      <c r="H8331" s="16">
        <f t="shared" ca="1" si="138"/>
        <v>2.6503820008725011E-2</v>
      </c>
    </row>
    <row r="8332" spans="7:8" x14ac:dyDescent="0.35">
      <c r="G8332" s="215">
        <v>8325</v>
      </c>
      <c r="H8332" s="16">
        <f t="shared" ca="1" si="138"/>
        <v>7.5523999192154953E-2</v>
      </c>
    </row>
    <row r="8333" spans="7:8" x14ac:dyDescent="0.35">
      <c r="G8333" s="215">
        <v>8326</v>
      </c>
      <c r="H8333" s="16">
        <f t="shared" ca="1" si="138"/>
        <v>-0.15117119564440912</v>
      </c>
    </row>
    <row r="8334" spans="7:8" x14ac:dyDescent="0.35">
      <c r="G8334" s="215">
        <v>8327</v>
      </c>
      <c r="H8334" s="16">
        <f t="shared" ca="1" si="138"/>
        <v>-1.0406439991349534E-2</v>
      </c>
    </row>
    <row r="8335" spans="7:8" x14ac:dyDescent="0.35">
      <c r="G8335" s="215">
        <v>8328</v>
      </c>
      <c r="H8335" s="16">
        <f t="shared" ca="1" si="138"/>
        <v>-4.2529522907318623E-2</v>
      </c>
    </row>
    <row r="8336" spans="7:8" x14ac:dyDescent="0.35">
      <c r="G8336" s="215">
        <v>8329</v>
      </c>
      <c r="H8336" s="16">
        <f t="shared" ca="1" si="138"/>
        <v>9.2961646612631899E-2</v>
      </c>
    </row>
    <row r="8337" spans="7:8" x14ac:dyDescent="0.35">
      <c r="G8337" s="215">
        <v>8330</v>
      </c>
      <c r="H8337" s="16">
        <f t="shared" ca="1" si="138"/>
        <v>-8.9756643702672501E-2</v>
      </c>
    </row>
    <row r="8338" spans="7:8" x14ac:dyDescent="0.35">
      <c r="G8338" s="215">
        <v>8331</v>
      </c>
      <c r="H8338" s="16">
        <f t="shared" ca="1" si="138"/>
        <v>0.14699151393568505</v>
      </c>
    </row>
    <row r="8339" spans="7:8" x14ac:dyDescent="0.35">
      <c r="G8339" s="215">
        <v>8332</v>
      </c>
      <c r="H8339" s="16">
        <f t="shared" ca="1" si="138"/>
        <v>7.4498740862935092E-2</v>
      </c>
    </row>
    <row r="8340" spans="7:8" x14ac:dyDescent="0.35">
      <c r="G8340" s="215">
        <v>8333</v>
      </c>
      <c r="H8340" s="16">
        <f t="shared" ca="1" si="138"/>
        <v>4.7855421075865517E-2</v>
      </c>
    </row>
    <row r="8341" spans="7:8" x14ac:dyDescent="0.35">
      <c r="G8341" s="215">
        <v>8334</v>
      </c>
      <c r="H8341" s="16">
        <f t="shared" ca="1" si="138"/>
        <v>0.13582972597050413</v>
      </c>
    </row>
    <row r="8342" spans="7:8" x14ac:dyDescent="0.35">
      <c r="G8342" s="215">
        <v>8335</v>
      </c>
      <c r="H8342" s="16">
        <f t="shared" ca="1" si="138"/>
        <v>0.16071778923597663</v>
      </c>
    </row>
    <row r="8343" spans="7:8" x14ac:dyDescent="0.35">
      <c r="G8343" s="215">
        <v>8336</v>
      </c>
      <c r="H8343" s="16">
        <f t="shared" ca="1" si="138"/>
        <v>4.0358619190334025E-2</v>
      </c>
    </row>
    <row r="8344" spans="7:8" x14ac:dyDescent="0.35">
      <c r="G8344" s="215">
        <v>8337</v>
      </c>
      <c r="H8344" s="16">
        <f t="shared" ca="1" si="138"/>
        <v>-2.3847231954881715E-2</v>
      </c>
    </row>
    <row r="8345" spans="7:8" x14ac:dyDescent="0.35">
      <c r="G8345" s="215">
        <v>8338</v>
      </c>
      <c r="H8345" s="16">
        <f t="shared" ca="1" si="138"/>
        <v>-1.1340516674045679E-2</v>
      </c>
    </row>
    <row r="8346" spans="7:8" x14ac:dyDescent="0.35">
      <c r="G8346" s="215">
        <v>8339</v>
      </c>
      <c r="H8346" s="16">
        <f t="shared" ca="1" si="138"/>
        <v>2.2870101913274155E-2</v>
      </c>
    </row>
    <row r="8347" spans="7:8" x14ac:dyDescent="0.35">
      <c r="G8347" s="215">
        <v>8340</v>
      </c>
      <c r="H8347" s="16">
        <f t="shared" ca="1" si="138"/>
        <v>-0.15456005465133121</v>
      </c>
    </row>
    <row r="8348" spans="7:8" x14ac:dyDescent="0.35">
      <c r="G8348" s="215">
        <v>8341</v>
      </c>
      <c r="H8348" s="16">
        <f t="shared" ca="1" si="138"/>
        <v>9.6294335750872012E-2</v>
      </c>
    </row>
    <row r="8349" spans="7:8" x14ac:dyDescent="0.35">
      <c r="G8349" s="215">
        <v>8342</v>
      </c>
      <c r="H8349" s="16">
        <f t="shared" ca="1" si="138"/>
        <v>6.7033808794275665E-3</v>
      </c>
    </row>
    <row r="8350" spans="7:8" x14ac:dyDescent="0.35">
      <c r="G8350" s="215">
        <v>8343</v>
      </c>
      <c r="H8350" s="16">
        <f t="shared" ca="1" si="138"/>
        <v>9.1649718958020099E-2</v>
      </c>
    </row>
    <row r="8351" spans="7:8" x14ac:dyDescent="0.35">
      <c r="G8351" s="215">
        <v>8344</v>
      </c>
      <c r="H8351" s="16">
        <f t="shared" ca="1" si="138"/>
        <v>0.18689852183919742</v>
      </c>
    </row>
    <row r="8352" spans="7:8" x14ac:dyDescent="0.35">
      <c r="G8352" s="215">
        <v>8345</v>
      </c>
      <c r="H8352" s="16">
        <f t="shared" ca="1" si="138"/>
        <v>0.10280509438037018</v>
      </c>
    </row>
    <row r="8353" spans="7:8" x14ac:dyDescent="0.35">
      <c r="G8353" s="215">
        <v>8346</v>
      </c>
      <c r="H8353" s="16">
        <f t="shared" ca="1" si="138"/>
        <v>3.829191151262018E-2</v>
      </c>
    </row>
    <row r="8354" spans="7:8" x14ac:dyDescent="0.35">
      <c r="G8354" s="215">
        <v>8347</v>
      </c>
      <c r="H8354" s="16">
        <f t="shared" ca="1" si="138"/>
        <v>2.9291143528003365E-2</v>
      </c>
    </row>
    <row r="8355" spans="7:8" x14ac:dyDescent="0.35">
      <c r="G8355" s="215">
        <v>8348</v>
      </c>
      <c r="H8355" s="16">
        <f t="shared" ca="1" si="138"/>
        <v>-5.5662794026898763E-2</v>
      </c>
    </row>
    <row r="8356" spans="7:8" x14ac:dyDescent="0.35">
      <c r="G8356" s="215">
        <v>8349</v>
      </c>
      <c r="H8356" s="16">
        <f t="shared" ca="1" si="138"/>
        <v>2.6697666127965168E-2</v>
      </c>
    </row>
    <row r="8357" spans="7:8" x14ac:dyDescent="0.35">
      <c r="G8357" s="215">
        <v>8350</v>
      </c>
      <c r="H8357" s="16">
        <f t="shared" ca="1" si="138"/>
        <v>-2.9661101650868896E-4</v>
      </c>
    </row>
    <row r="8358" spans="7:8" x14ac:dyDescent="0.35">
      <c r="G8358" s="215">
        <v>8351</v>
      </c>
      <c r="H8358" s="16">
        <f t="shared" ca="1" si="138"/>
        <v>-3.4292266410992922E-2</v>
      </c>
    </row>
    <row r="8359" spans="7:8" x14ac:dyDescent="0.35">
      <c r="G8359" s="215">
        <v>8352</v>
      </c>
      <c r="H8359" s="16">
        <f t="shared" ca="1" si="138"/>
        <v>-1.8152291745358207E-2</v>
      </c>
    </row>
    <row r="8360" spans="7:8" x14ac:dyDescent="0.35">
      <c r="G8360" s="215">
        <v>8353</v>
      </c>
      <c r="H8360" s="16">
        <f t="shared" ca="1" si="138"/>
        <v>2.3800378676497001E-2</v>
      </c>
    </row>
    <row r="8361" spans="7:8" x14ac:dyDescent="0.35">
      <c r="G8361" s="215">
        <v>8354</v>
      </c>
      <c r="H8361" s="16">
        <f t="shared" ca="1" si="138"/>
        <v>-9.636282533134817E-3</v>
      </c>
    </row>
    <row r="8362" spans="7:8" x14ac:dyDescent="0.35">
      <c r="G8362" s="215">
        <v>8355</v>
      </c>
      <c r="H8362" s="16">
        <f t="shared" ca="1" si="138"/>
        <v>5.541532682636717E-2</v>
      </c>
    </row>
    <row r="8363" spans="7:8" x14ac:dyDescent="0.35">
      <c r="G8363" s="215">
        <v>8356</v>
      </c>
      <c r="H8363" s="16">
        <f t="shared" ca="1" si="138"/>
        <v>-7.5082760063504839E-2</v>
      </c>
    </row>
    <row r="8364" spans="7:8" x14ac:dyDescent="0.35">
      <c r="G8364" s="215">
        <v>8357</v>
      </c>
      <c r="H8364" s="16">
        <f t="shared" ca="1" si="138"/>
        <v>1.5652335177706207E-3</v>
      </c>
    </row>
    <row r="8365" spans="7:8" x14ac:dyDescent="0.35">
      <c r="G8365" s="215">
        <v>8358</v>
      </c>
      <c r="H8365" s="16">
        <f t="shared" ca="1" si="138"/>
        <v>8.3253240025209049E-2</v>
      </c>
    </row>
    <row r="8366" spans="7:8" x14ac:dyDescent="0.35">
      <c r="G8366" s="215">
        <v>8359</v>
      </c>
      <c r="H8366" s="16">
        <f t="shared" ca="1" si="138"/>
        <v>3.2137883333308137E-2</v>
      </c>
    </row>
    <row r="8367" spans="7:8" x14ac:dyDescent="0.35">
      <c r="G8367" s="215">
        <v>8360</v>
      </c>
      <c r="H8367" s="16">
        <f t="shared" ca="1" si="138"/>
        <v>0.13663739593091948</v>
      </c>
    </row>
    <row r="8368" spans="7:8" x14ac:dyDescent="0.35">
      <c r="G8368" s="215">
        <v>8361</v>
      </c>
      <c r="H8368" s="16">
        <f t="shared" ca="1" si="138"/>
        <v>-3.7520050013087849E-2</v>
      </c>
    </row>
    <row r="8369" spans="7:8" x14ac:dyDescent="0.35">
      <c r="G8369" s="215">
        <v>8362</v>
      </c>
      <c r="H8369" s="16">
        <f t="shared" ca="1" si="138"/>
        <v>-6.7367063667072569E-3</v>
      </c>
    </row>
    <row r="8370" spans="7:8" x14ac:dyDescent="0.35">
      <c r="G8370" s="215">
        <v>8363</v>
      </c>
      <c r="H8370" s="16">
        <f t="shared" ca="1" si="138"/>
        <v>-9.2945404827028733E-2</v>
      </c>
    </row>
    <row r="8371" spans="7:8" x14ac:dyDescent="0.35">
      <c r="G8371" s="215">
        <v>8364</v>
      </c>
      <c r="H8371" s="16">
        <f t="shared" ca="1" si="138"/>
        <v>-7.2585421709252015E-2</v>
      </c>
    </row>
    <row r="8372" spans="7:8" x14ac:dyDescent="0.35">
      <c r="G8372" s="215">
        <v>8365</v>
      </c>
      <c r="H8372" s="16">
        <f t="shared" ca="1" si="138"/>
        <v>6.8768069661247627E-2</v>
      </c>
    </row>
    <row r="8373" spans="7:8" x14ac:dyDescent="0.35">
      <c r="G8373" s="215">
        <v>8366</v>
      </c>
      <c r="H8373" s="16">
        <f t="shared" ca="1" si="138"/>
        <v>2.4955584323406686E-3</v>
      </c>
    </row>
    <row r="8374" spans="7:8" x14ac:dyDescent="0.35">
      <c r="G8374" s="215">
        <v>8367</v>
      </c>
      <c r="H8374" s="16">
        <f t="shared" ca="1" si="138"/>
        <v>-3.0110879431411979E-2</v>
      </c>
    </row>
    <row r="8375" spans="7:8" x14ac:dyDescent="0.35">
      <c r="G8375" s="215">
        <v>8368</v>
      </c>
      <c r="H8375" s="16">
        <f t="shared" ca="1" si="138"/>
        <v>1.5696960649263444E-2</v>
      </c>
    </row>
    <row r="8376" spans="7:8" x14ac:dyDescent="0.35">
      <c r="G8376" s="215">
        <v>8369</v>
      </c>
      <c r="H8376" s="16">
        <f t="shared" ca="1" si="138"/>
        <v>-4.6372055736319528E-2</v>
      </c>
    </row>
    <row r="8377" spans="7:8" x14ac:dyDescent="0.35">
      <c r="G8377" s="215">
        <v>8370</v>
      </c>
      <c r="H8377" s="16">
        <f t="shared" ca="1" si="138"/>
        <v>0.13325224310233291</v>
      </c>
    </row>
    <row r="8378" spans="7:8" x14ac:dyDescent="0.35">
      <c r="G8378" s="215">
        <v>8371</v>
      </c>
      <c r="H8378" s="16">
        <f t="shared" ca="1" si="138"/>
        <v>0.14752813523059025</v>
      </c>
    </row>
    <row r="8379" spans="7:8" x14ac:dyDescent="0.35">
      <c r="G8379" s="215">
        <v>8372</v>
      </c>
      <c r="H8379" s="16">
        <f t="shared" ca="1" si="138"/>
        <v>-4.0882310361617782E-2</v>
      </c>
    </row>
    <row r="8380" spans="7:8" x14ac:dyDescent="0.35">
      <c r="G8380" s="215">
        <v>8373</v>
      </c>
      <c r="H8380" s="16">
        <f t="shared" ca="1" si="138"/>
        <v>0.22157052912604505</v>
      </c>
    </row>
    <row r="8381" spans="7:8" x14ac:dyDescent="0.35">
      <c r="G8381" s="215">
        <v>8374</v>
      </c>
      <c r="H8381" s="16">
        <f t="shared" ca="1" si="138"/>
        <v>-7.3668268220085237E-2</v>
      </c>
    </row>
    <row r="8382" spans="7:8" x14ac:dyDescent="0.35">
      <c r="G8382" s="215">
        <v>8375</v>
      </c>
      <c r="H8382" s="16">
        <f t="shared" ca="1" si="138"/>
        <v>-9.9481214227257787E-3</v>
      </c>
    </row>
    <row r="8383" spans="7:8" x14ac:dyDescent="0.35">
      <c r="G8383" s="215">
        <v>8376</v>
      </c>
      <c r="H8383" s="16">
        <f t="shared" ca="1" si="138"/>
        <v>-6.7083369567786599E-2</v>
      </c>
    </row>
    <row r="8384" spans="7:8" x14ac:dyDescent="0.35">
      <c r="G8384" s="215">
        <v>8377</v>
      </c>
      <c r="H8384" s="16">
        <f t="shared" ca="1" si="138"/>
        <v>-8.4694385867125591E-2</v>
      </c>
    </row>
    <row r="8385" spans="7:8" x14ac:dyDescent="0.35">
      <c r="G8385" s="215">
        <v>8378</v>
      </c>
      <c r="H8385" s="16">
        <f t="shared" ca="1" si="138"/>
        <v>-4.3855465051620773E-2</v>
      </c>
    </row>
    <row r="8386" spans="7:8" x14ac:dyDescent="0.35">
      <c r="G8386" s="215">
        <v>8379</v>
      </c>
      <c r="H8386" s="16">
        <f t="shared" ca="1" si="138"/>
        <v>2.014077274669945E-2</v>
      </c>
    </row>
    <row r="8387" spans="7:8" x14ac:dyDescent="0.35">
      <c r="G8387" s="215">
        <v>8380</v>
      </c>
      <c r="H8387" s="16">
        <f t="shared" ca="1" si="138"/>
        <v>-2.2231020560588111E-2</v>
      </c>
    </row>
    <row r="8388" spans="7:8" x14ac:dyDescent="0.35">
      <c r="G8388" s="215">
        <v>8381</v>
      </c>
      <c r="H8388" s="16">
        <f t="shared" ca="1" si="138"/>
        <v>8.2385751559242951E-2</v>
      </c>
    </row>
    <row r="8389" spans="7:8" x14ac:dyDescent="0.35">
      <c r="G8389" s="215">
        <v>8382</v>
      </c>
      <c r="H8389" s="16">
        <f t="shared" ca="1" si="138"/>
        <v>4.6716259011437611E-2</v>
      </c>
    </row>
    <row r="8390" spans="7:8" x14ac:dyDescent="0.35">
      <c r="G8390" s="215">
        <v>8383</v>
      </c>
      <c r="H8390" s="16">
        <f t="shared" ca="1" si="138"/>
        <v>-4.8995717226711019E-2</v>
      </c>
    </row>
    <row r="8391" spans="7:8" x14ac:dyDescent="0.35">
      <c r="G8391" s="215">
        <v>8384</v>
      </c>
      <c r="H8391" s="16">
        <f t="shared" ca="1" si="138"/>
        <v>0.11854970179307334</v>
      </c>
    </row>
    <row r="8392" spans="7:8" x14ac:dyDescent="0.35">
      <c r="G8392" s="215">
        <v>8385</v>
      </c>
      <c r="H8392" s="16">
        <f t="shared" ref="H8392:H8455" ca="1" si="139">_xlfn.NORM.INV(RAND(),M$10,M$11)</f>
        <v>2.7382994188606073E-2</v>
      </c>
    </row>
    <row r="8393" spans="7:8" x14ac:dyDescent="0.35">
      <c r="G8393" s="215">
        <v>8386</v>
      </c>
      <c r="H8393" s="16">
        <f t="shared" ca="1" si="139"/>
        <v>2.69098504892409E-2</v>
      </c>
    </row>
    <row r="8394" spans="7:8" x14ac:dyDescent="0.35">
      <c r="G8394" s="215">
        <v>8387</v>
      </c>
      <c r="H8394" s="16">
        <f t="shared" ca="1" si="139"/>
        <v>4.427023251791265E-2</v>
      </c>
    </row>
    <row r="8395" spans="7:8" x14ac:dyDescent="0.35">
      <c r="G8395" s="215">
        <v>8388</v>
      </c>
      <c r="H8395" s="16">
        <f t="shared" ca="1" si="139"/>
        <v>-7.2535555657428988E-2</v>
      </c>
    </row>
    <row r="8396" spans="7:8" x14ac:dyDescent="0.35">
      <c r="G8396" s="215">
        <v>8389</v>
      </c>
      <c r="H8396" s="16">
        <f t="shared" ca="1" si="139"/>
        <v>0.11608489104068963</v>
      </c>
    </row>
    <row r="8397" spans="7:8" x14ac:dyDescent="0.35">
      <c r="G8397" s="215">
        <v>8390</v>
      </c>
      <c r="H8397" s="16">
        <f t="shared" ca="1" si="139"/>
        <v>0.11027388770846601</v>
      </c>
    </row>
    <row r="8398" spans="7:8" x14ac:dyDescent="0.35">
      <c r="G8398" s="215">
        <v>8391</v>
      </c>
      <c r="H8398" s="16">
        <f t="shared" ca="1" si="139"/>
        <v>0.18519219177821003</v>
      </c>
    </row>
    <row r="8399" spans="7:8" x14ac:dyDescent="0.35">
      <c r="G8399" s="215">
        <v>8392</v>
      </c>
      <c r="H8399" s="16">
        <f t="shared" ca="1" si="139"/>
        <v>-7.6337444159594786E-2</v>
      </c>
    </row>
    <row r="8400" spans="7:8" x14ac:dyDescent="0.35">
      <c r="G8400" s="215">
        <v>8393</v>
      </c>
      <c r="H8400" s="16">
        <f t="shared" ca="1" si="139"/>
        <v>-2.7254028734377902E-2</v>
      </c>
    </row>
    <row r="8401" spans="7:8" x14ac:dyDescent="0.35">
      <c r="G8401" s="215">
        <v>8394</v>
      </c>
      <c r="H8401" s="16">
        <f t="shared" ca="1" si="139"/>
        <v>0.19665981164186541</v>
      </c>
    </row>
    <row r="8402" spans="7:8" x14ac:dyDescent="0.35">
      <c r="G8402" s="215">
        <v>8395</v>
      </c>
      <c r="H8402" s="16">
        <f t="shared" ca="1" si="139"/>
        <v>2.6383299751615311E-2</v>
      </c>
    </row>
    <row r="8403" spans="7:8" x14ac:dyDescent="0.35">
      <c r="G8403" s="215">
        <v>8396</v>
      </c>
      <c r="H8403" s="16">
        <f t="shared" ca="1" si="139"/>
        <v>-4.3264847905574902E-2</v>
      </c>
    </row>
    <row r="8404" spans="7:8" x14ac:dyDescent="0.35">
      <c r="G8404" s="215">
        <v>8397</v>
      </c>
      <c r="H8404" s="16">
        <f t="shared" ca="1" si="139"/>
        <v>0.1291224038363003</v>
      </c>
    </row>
    <row r="8405" spans="7:8" x14ac:dyDescent="0.35">
      <c r="G8405" s="215">
        <v>8398</v>
      </c>
      <c r="H8405" s="16">
        <f t="shared" ca="1" si="139"/>
        <v>-2.5595289196451421E-2</v>
      </c>
    </row>
    <row r="8406" spans="7:8" x14ac:dyDescent="0.35">
      <c r="G8406" s="215">
        <v>8399</v>
      </c>
      <c r="H8406" s="16">
        <f t="shared" ca="1" si="139"/>
        <v>1.2834077735257703E-2</v>
      </c>
    </row>
    <row r="8407" spans="7:8" x14ac:dyDescent="0.35">
      <c r="G8407" s="215">
        <v>8400</v>
      </c>
      <c r="H8407" s="16">
        <f t="shared" ca="1" si="139"/>
        <v>-3.8954465627396795E-2</v>
      </c>
    </row>
    <row r="8408" spans="7:8" x14ac:dyDescent="0.35">
      <c r="G8408" s="215">
        <v>8401</v>
      </c>
      <c r="H8408" s="16">
        <f t="shared" ca="1" si="139"/>
        <v>6.3498281105238363E-2</v>
      </c>
    </row>
    <row r="8409" spans="7:8" x14ac:dyDescent="0.35">
      <c r="G8409" s="215">
        <v>8402</v>
      </c>
      <c r="H8409" s="16">
        <f t="shared" ca="1" si="139"/>
        <v>-5.2842421932791137E-2</v>
      </c>
    </row>
    <row r="8410" spans="7:8" x14ac:dyDescent="0.35">
      <c r="G8410" s="215">
        <v>8403</v>
      </c>
      <c r="H8410" s="16">
        <f t="shared" ca="1" si="139"/>
        <v>6.6291084209588791E-2</v>
      </c>
    </row>
    <row r="8411" spans="7:8" x14ac:dyDescent="0.35">
      <c r="G8411" s="215">
        <v>8404</v>
      </c>
      <c r="H8411" s="16">
        <f t="shared" ca="1" si="139"/>
        <v>-5.126057674478128E-2</v>
      </c>
    </row>
    <row r="8412" spans="7:8" x14ac:dyDescent="0.35">
      <c r="G8412" s="215">
        <v>8405</v>
      </c>
      <c r="H8412" s="16">
        <f t="shared" ca="1" si="139"/>
        <v>0.16609190233959398</v>
      </c>
    </row>
    <row r="8413" spans="7:8" x14ac:dyDescent="0.35">
      <c r="G8413" s="215">
        <v>8406</v>
      </c>
      <c r="H8413" s="16">
        <f t="shared" ca="1" si="139"/>
        <v>-8.8244516052682666E-3</v>
      </c>
    </row>
    <row r="8414" spans="7:8" x14ac:dyDescent="0.35">
      <c r="G8414" s="215">
        <v>8407</v>
      </c>
      <c r="H8414" s="16">
        <f t="shared" ca="1" si="139"/>
        <v>6.1697017707056337E-2</v>
      </c>
    </row>
    <row r="8415" spans="7:8" x14ac:dyDescent="0.35">
      <c r="G8415" s="215">
        <v>8408</v>
      </c>
      <c r="H8415" s="16">
        <f t="shared" ca="1" si="139"/>
        <v>-0.10775269540413937</v>
      </c>
    </row>
    <row r="8416" spans="7:8" x14ac:dyDescent="0.35">
      <c r="G8416" s="215">
        <v>8409</v>
      </c>
      <c r="H8416" s="16">
        <f t="shared" ca="1" si="139"/>
        <v>-9.2870097556011222E-3</v>
      </c>
    </row>
    <row r="8417" spans="7:8" x14ac:dyDescent="0.35">
      <c r="G8417" s="215">
        <v>8410</v>
      </c>
      <c r="H8417" s="16">
        <f t="shared" ca="1" si="139"/>
        <v>-5.5981937277911245E-2</v>
      </c>
    </row>
    <row r="8418" spans="7:8" x14ac:dyDescent="0.35">
      <c r="G8418" s="215">
        <v>8411</v>
      </c>
      <c r="H8418" s="16">
        <f t="shared" ca="1" si="139"/>
        <v>0.1173004787614899</v>
      </c>
    </row>
    <row r="8419" spans="7:8" x14ac:dyDescent="0.35">
      <c r="G8419" s="215">
        <v>8412</v>
      </c>
      <c r="H8419" s="16">
        <f t="shared" ca="1" si="139"/>
        <v>-2.7507210737754226E-3</v>
      </c>
    </row>
    <row r="8420" spans="7:8" x14ac:dyDescent="0.35">
      <c r="G8420" s="215">
        <v>8413</v>
      </c>
      <c r="H8420" s="16">
        <f t="shared" ca="1" si="139"/>
        <v>-8.1746410927254862E-2</v>
      </c>
    </row>
    <row r="8421" spans="7:8" x14ac:dyDescent="0.35">
      <c r="G8421" s="215">
        <v>8414</v>
      </c>
      <c r="H8421" s="16">
        <f t="shared" ca="1" si="139"/>
        <v>1.957350322891227E-2</v>
      </c>
    </row>
    <row r="8422" spans="7:8" x14ac:dyDescent="0.35">
      <c r="G8422" s="215">
        <v>8415</v>
      </c>
      <c r="H8422" s="16">
        <f t="shared" ca="1" si="139"/>
        <v>-6.1993416314184369E-2</v>
      </c>
    </row>
    <row r="8423" spans="7:8" x14ac:dyDescent="0.35">
      <c r="G8423" s="215">
        <v>8416</v>
      </c>
      <c r="H8423" s="16">
        <f t="shared" ca="1" si="139"/>
        <v>4.659194441518677E-2</v>
      </c>
    </row>
    <row r="8424" spans="7:8" x14ac:dyDescent="0.35">
      <c r="G8424" s="215">
        <v>8417</v>
      </c>
      <c r="H8424" s="16">
        <f t="shared" ca="1" si="139"/>
        <v>0.13573786742479352</v>
      </c>
    </row>
    <row r="8425" spans="7:8" x14ac:dyDescent="0.35">
      <c r="G8425" s="215">
        <v>8418</v>
      </c>
      <c r="H8425" s="16">
        <f t="shared" ca="1" si="139"/>
        <v>-5.3403094024214143E-2</v>
      </c>
    </row>
    <row r="8426" spans="7:8" x14ac:dyDescent="0.35">
      <c r="G8426" s="215">
        <v>8419</v>
      </c>
      <c r="H8426" s="16">
        <f t="shared" ca="1" si="139"/>
        <v>1.2949373034228891E-2</v>
      </c>
    </row>
    <row r="8427" spans="7:8" x14ac:dyDescent="0.35">
      <c r="G8427" s="215">
        <v>8420</v>
      </c>
      <c r="H8427" s="16">
        <f t="shared" ca="1" si="139"/>
        <v>-3.7915470990644198E-2</v>
      </c>
    </row>
    <row r="8428" spans="7:8" x14ac:dyDescent="0.35">
      <c r="G8428" s="215">
        <v>8421</v>
      </c>
      <c r="H8428" s="16">
        <f t="shared" ca="1" si="139"/>
        <v>4.6449291744098051E-2</v>
      </c>
    </row>
    <row r="8429" spans="7:8" x14ac:dyDescent="0.35">
      <c r="G8429" s="215">
        <v>8422</v>
      </c>
      <c r="H8429" s="16">
        <f t="shared" ca="1" si="139"/>
        <v>0.11627570984994297</v>
      </c>
    </row>
    <row r="8430" spans="7:8" x14ac:dyDescent="0.35">
      <c r="G8430" s="215">
        <v>8423</v>
      </c>
      <c r="H8430" s="16">
        <f t="shared" ca="1" si="139"/>
        <v>-3.6188701561205072E-2</v>
      </c>
    </row>
    <row r="8431" spans="7:8" x14ac:dyDescent="0.35">
      <c r="G8431" s="215">
        <v>8424</v>
      </c>
      <c r="H8431" s="16">
        <f t="shared" ca="1" si="139"/>
        <v>-1.0007180315614726E-2</v>
      </c>
    </row>
    <row r="8432" spans="7:8" x14ac:dyDescent="0.35">
      <c r="G8432" s="215">
        <v>8425</v>
      </c>
      <c r="H8432" s="16">
        <f t="shared" ca="1" si="139"/>
        <v>-3.7159659463187486E-2</v>
      </c>
    </row>
    <row r="8433" spans="7:8" x14ac:dyDescent="0.35">
      <c r="G8433" s="215">
        <v>8426</v>
      </c>
      <c r="H8433" s="16">
        <f t="shared" ca="1" si="139"/>
        <v>-0.19360327466453253</v>
      </c>
    </row>
    <row r="8434" spans="7:8" x14ac:dyDescent="0.35">
      <c r="G8434" s="215">
        <v>8427</v>
      </c>
      <c r="H8434" s="16">
        <f t="shared" ca="1" si="139"/>
        <v>9.3683252890973776E-2</v>
      </c>
    </row>
    <row r="8435" spans="7:8" x14ac:dyDescent="0.35">
      <c r="G8435" s="215">
        <v>8428</v>
      </c>
      <c r="H8435" s="16">
        <f t="shared" ca="1" si="139"/>
        <v>-4.6574376066337728E-2</v>
      </c>
    </row>
    <row r="8436" spans="7:8" x14ac:dyDescent="0.35">
      <c r="G8436" s="215">
        <v>8429</v>
      </c>
      <c r="H8436" s="16">
        <f t="shared" ca="1" si="139"/>
        <v>-0.10143698366269675</v>
      </c>
    </row>
    <row r="8437" spans="7:8" x14ac:dyDescent="0.35">
      <c r="G8437" s="215">
        <v>8430</v>
      </c>
      <c r="H8437" s="16">
        <f t="shared" ca="1" si="139"/>
        <v>8.7389543416770493E-2</v>
      </c>
    </row>
    <row r="8438" spans="7:8" x14ac:dyDescent="0.35">
      <c r="G8438" s="215">
        <v>8431</v>
      </c>
      <c r="H8438" s="16">
        <f t="shared" ca="1" si="139"/>
        <v>4.5144282720463488E-2</v>
      </c>
    </row>
    <row r="8439" spans="7:8" x14ac:dyDescent="0.35">
      <c r="G8439" s="215">
        <v>8432</v>
      </c>
      <c r="H8439" s="16">
        <f t="shared" ca="1" si="139"/>
        <v>2.769526054214403E-2</v>
      </c>
    </row>
    <row r="8440" spans="7:8" x14ac:dyDescent="0.35">
      <c r="G8440" s="215">
        <v>8433</v>
      </c>
      <c r="H8440" s="16">
        <f t="shared" ca="1" si="139"/>
        <v>0.11633036420788453</v>
      </c>
    </row>
    <row r="8441" spans="7:8" x14ac:dyDescent="0.35">
      <c r="G8441" s="215">
        <v>8434</v>
      </c>
      <c r="H8441" s="16">
        <f t="shared" ca="1" si="139"/>
        <v>0.13570410971149149</v>
      </c>
    </row>
    <row r="8442" spans="7:8" x14ac:dyDescent="0.35">
      <c r="G8442" s="215">
        <v>8435</v>
      </c>
      <c r="H8442" s="16">
        <f t="shared" ca="1" si="139"/>
        <v>-7.60660830824402E-2</v>
      </c>
    </row>
    <row r="8443" spans="7:8" x14ac:dyDescent="0.35">
      <c r="G8443" s="215">
        <v>8436</v>
      </c>
      <c r="H8443" s="16">
        <f t="shared" ca="1" si="139"/>
        <v>-0.12671697279873781</v>
      </c>
    </row>
    <row r="8444" spans="7:8" x14ac:dyDescent="0.35">
      <c r="G8444" s="215">
        <v>8437</v>
      </c>
      <c r="H8444" s="16">
        <f t="shared" ca="1" si="139"/>
        <v>8.2736866173388317E-3</v>
      </c>
    </row>
    <row r="8445" spans="7:8" x14ac:dyDescent="0.35">
      <c r="G8445" s="215">
        <v>8438</v>
      </c>
      <c r="H8445" s="16">
        <f t="shared" ca="1" si="139"/>
        <v>4.2275381518867894E-2</v>
      </c>
    </row>
    <row r="8446" spans="7:8" x14ac:dyDescent="0.35">
      <c r="G8446" s="215">
        <v>8439</v>
      </c>
      <c r="H8446" s="16">
        <f t="shared" ca="1" si="139"/>
        <v>1.3531775921567207E-2</v>
      </c>
    </row>
    <row r="8447" spans="7:8" x14ac:dyDescent="0.35">
      <c r="G8447" s="215">
        <v>8440</v>
      </c>
      <c r="H8447" s="16">
        <f t="shared" ca="1" si="139"/>
        <v>0.12409827827840744</v>
      </c>
    </row>
    <row r="8448" spans="7:8" x14ac:dyDescent="0.35">
      <c r="G8448" s="215">
        <v>8441</v>
      </c>
      <c r="H8448" s="16">
        <f t="shared" ca="1" si="139"/>
        <v>1.1096918544641527E-2</v>
      </c>
    </row>
    <row r="8449" spans="7:8" x14ac:dyDescent="0.35">
      <c r="G8449" s="215">
        <v>8442</v>
      </c>
      <c r="H8449" s="16">
        <f t="shared" ca="1" si="139"/>
        <v>-0.11751621192661107</v>
      </c>
    </row>
    <row r="8450" spans="7:8" x14ac:dyDescent="0.35">
      <c r="G8450" s="215">
        <v>8443</v>
      </c>
      <c r="H8450" s="16">
        <f t="shared" ca="1" si="139"/>
        <v>1.9851289048091927E-2</v>
      </c>
    </row>
    <row r="8451" spans="7:8" x14ac:dyDescent="0.35">
      <c r="G8451" s="215">
        <v>8444</v>
      </c>
      <c r="H8451" s="16">
        <f t="shared" ca="1" si="139"/>
        <v>-2.044015715641655E-2</v>
      </c>
    </row>
    <row r="8452" spans="7:8" x14ac:dyDescent="0.35">
      <c r="G8452" s="215">
        <v>8445</v>
      </c>
      <c r="H8452" s="16">
        <f t="shared" ca="1" si="139"/>
        <v>0.11981355953407606</v>
      </c>
    </row>
    <row r="8453" spans="7:8" x14ac:dyDescent="0.35">
      <c r="G8453" s="215">
        <v>8446</v>
      </c>
      <c r="H8453" s="16">
        <f t="shared" ca="1" si="139"/>
        <v>2.4316765183235698E-2</v>
      </c>
    </row>
    <row r="8454" spans="7:8" x14ac:dyDescent="0.35">
      <c r="G8454" s="215">
        <v>8447</v>
      </c>
      <c r="H8454" s="16">
        <f t="shared" ca="1" si="139"/>
        <v>-1.1361611952610731E-2</v>
      </c>
    </row>
    <row r="8455" spans="7:8" x14ac:dyDescent="0.35">
      <c r="G8455" s="215">
        <v>8448</v>
      </c>
      <c r="H8455" s="16">
        <f t="shared" ca="1" si="139"/>
        <v>1.6378810437972773E-2</v>
      </c>
    </row>
    <row r="8456" spans="7:8" x14ac:dyDescent="0.35">
      <c r="G8456" s="215">
        <v>8449</v>
      </c>
      <c r="H8456" s="16">
        <f t="shared" ref="H8456:H8519" ca="1" si="140">_xlfn.NORM.INV(RAND(),M$10,M$11)</f>
        <v>7.2645601414750766E-2</v>
      </c>
    </row>
    <row r="8457" spans="7:8" x14ac:dyDescent="0.35">
      <c r="G8457" s="215">
        <v>8450</v>
      </c>
      <c r="H8457" s="16">
        <f t="shared" ca="1" si="140"/>
        <v>9.0308846601415319E-2</v>
      </c>
    </row>
    <row r="8458" spans="7:8" x14ac:dyDescent="0.35">
      <c r="G8458" s="215">
        <v>8451</v>
      </c>
      <c r="H8458" s="16">
        <f t="shared" ca="1" si="140"/>
        <v>2.1763331730502E-3</v>
      </c>
    </row>
    <row r="8459" spans="7:8" x14ac:dyDescent="0.35">
      <c r="G8459" s="215">
        <v>8452</v>
      </c>
      <c r="H8459" s="16">
        <f t="shared" ca="1" si="140"/>
        <v>0.13078724873943273</v>
      </c>
    </row>
    <row r="8460" spans="7:8" x14ac:dyDescent="0.35">
      <c r="G8460" s="215">
        <v>8453</v>
      </c>
      <c r="H8460" s="16">
        <f t="shared" ca="1" si="140"/>
        <v>4.8061778790052523E-2</v>
      </c>
    </row>
    <row r="8461" spans="7:8" x14ac:dyDescent="0.35">
      <c r="G8461" s="215">
        <v>8454</v>
      </c>
      <c r="H8461" s="16">
        <f t="shared" ca="1" si="140"/>
        <v>0.10195268504421623</v>
      </c>
    </row>
    <row r="8462" spans="7:8" x14ac:dyDescent="0.35">
      <c r="G8462" s="215">
        <v>8455</v>
      </c>
      <c r="H8462" s="16">
        <f t="shared" ca="1" si="140"/>
        <v>6.9859950035931248E-2</v>
      </c>
    </row>
    <row r="8463" spans="7:8" x14ac:dyDescent="0.35">
      <c r="G8463" s="215">
        <v>8456</v>
      </c>
      <c r="H8463" s="16">
        <f t="shared" ca="1" si="140"/>
        <v>6.979438226911315E-2</v>
      </c>
    </row>
    <row r="8464" spans="7:8" x14ac:dyDescent="0.35">
      <c r="G8464" s="215">
        <v>8457</v>
      </c>
      <c r="H8464" s="16">
        <f t="shared" ca="1" si="140"/>
        <v>-5.0230864247945192E-2</v>
      </c>
    </row>
    <row r="8465" spans="7:8" x14ac:dyDescent="0.35">
      <c r="G8465" s="215">
        <v>8458</v>
      </c>
      <c r="H8465" s="16">
        <f t="shared" ca="1" si="140"/>
        <v>9.9168651634538488E-2</v>
      </c>
    </row>
    <row r="8466" spans="7:8" x14ac:dyDescent="0.35">
      <c r="G8466" s="215">
        <v>8459</v>
      </c>
      <c r="H8466" s="16">
        <f t="shared" ca="1" si="140"/>
        <v>-7.577034343475543E-3</v>
      </c>
    </row>
    <row r="8467" spans="7:8" x14ac:dyDescent="0.35">
      <c r="G8467" s="215">
        <v>8460</v>
      </c>
      <c r="H8467" s="16">
        <f t="shared" ca="1" si="140"/>
        <v>5.0191053216211798E-2</v>
      </c>
    </row>
    <row r="8468" spans="7:8" x14ac:dyDescent="0.35">
      <c r="G8468" s="215">
        <v>8461</v>
      </c>
      <c r="H8468" s="16">
        <f t="shared" ca="1" si="140"/>
        <v>0.11209313093622882</v>
      </c>
    </row>
    <row r="8469" spans="7:8" x14ac:dyDescent="0.35">
      <c r="G8469" s="215">
        <v>8462</v>
      </c>
      <c r="H8469" s="16">
        <f t="shared" ca="1" si="140"/>
        <v>1.4853889228955598E-2</v>
      </c>
    </row>
    <row r="8470" spans="7:8" x14ac:dyDescent="0.35">
      <c r="G8470" s="215">
        <v>8463</v>
      </c>
      <c r="H8470" s="16">
        <f t="shared" ca="1" si="140"/>
        <v>-2.4213514196353658E-2</v>
      </c>
    </row>
    <row r="8471" spans="7:8" x14ac:dyDescent="0.35">
      <c r="G8471" s="215">
        <v>8464</v>
      </c>
      <c r="H8471" s="16">
        <f t="shared" ca="1" si="140"/>
        <v>-0.14344573400402436</v>
      </c>
    </row>
    <row r="8472" spans="7:8" x14ac:dyDescent="0.35">
      <c r="G8472" s="215">
        <v>8465</v>
      </c>
      <c r="H8472" s="16">
        <f t="shared" ca="1" si="140"/>
        <v>-0.16912358533025612</v>
      </c>
    </row>
    <row r="8473" spans="7:8" x14ac:dyDescent="0.35">
      <c r="G8473" s="215">
        <v>8466</v>
      </c>
      <c r="H8473" s="16">
        <f t="shared" ca="1" si="140"/>
        <v>7.2867066413585133E-2</v>
      </c>
    </row>
    <row r="8474" spans="7:8" x14ac:dyDescent="0.35">
      <c r="G8474" s="215">
        <v>8467</v>
      </c>
      <c r="H8474" s="16">
        <f t="shared" ca="1" si="140"/>
        <v>-6.0241192455954357E-2</v>
      </c>
    </row>
    <row r="8475" spans="7:8" x14ac:dyDescent="0.35">
      <c r="G8475" s="215">
        <v>8468</v>
      </c>
      <c r="H8475" s="16">
        <f t="shared" ca="1" si="140"/>
        <v>-6.9071671611373078E-2</v>
      </c>
    </row>
    <row r="8476" spans="7:8" x14ac:dyDescent="0.35">
      <c r="G8476" s="215">
        <v>8469</v>
      </c>
      <c r="H8476" s="16">
        <f t="shared" ca="1" si="140"/>
        <v>0.17245733322908979</v>
      </c>
    </row>
    <row r="8477" spans="7:8" x14ac:dyDescent="0.35">
      <c r="G8477" s="215">
        <v>8470</v>
      </c>
      <c r="H8477" s="16">
        <f t="shared" ca="1" si="140"/>
        <v>1.0467854867764876E-2</v>
      </c>
    </row>
    <row r="8478" spans="7:8" x14ac:dyDescent="0.35">
      <c r="G8478" s="215">
        <v>8471</v>
      </c>
      <c r="H8478" s="16">
        <f t="shared" ca="1" si="140"/>
        <v>2.7418343392168039E-2</v>
      </c>
    </row>
    <row r="8479" spans="7:8" x14ac:dyDescent="0.35">
      <c r="G8479" s="215">
        <v>8472</v>
      </c>
      <c r="H8479" s="16">
        <f t="shared" ca="1" si="140"/>
        <v>-0.10941795484712512</v>
      </c>
    </row>
    <row r="8480" spans="7:8" x14ac:dyDescent="0.35">
      <c r="G8480" s="215">
        <v>8473</v>
      </c>
      <c r="H8480" s="16">
        <f t="shared" ca="1" si="140"/>
        <v>4.5154079454449061E-2</v>
      </c>
    </row>
    <row r="8481" spans="7:8" x14ac:dyDescent="0.35">
      <c r="G8481" s="215">
        <v>8474</v>
      </c>
      <c r="H8481" s="16">
        <f t="shared" ca="1" si="140"/>
        <v>2.5681214401158454E-2</v>
      </c>
    </row>
    <row r="8482" spans="7:8" x14ac:dyDescent="0.35">
      <c r="G8482" s="215">
        <v>8475</v>
      </c>
      <c r="H8482" s="16">
        <f t="shared" ca="1" si="140"/>
        <v>-9.6485822200294308E-2</v>
      </c>
    </row>
    <row r="8483" spans="7:8" x14ac:dyDescent="0.35">
      <c r="G8483" s="215">
        <v>8476</v>
      </c>
      <c r="H8483" s="16">
        <f t="shared" ca="1" si="140"/>
        <v>8.0247202197484685E-2</v>
      </c>
    </row>
    <row r="8484" spans="7:8" x14ac:dyDescent="0.35">
      <c r="G8484" s="215">
        <v>8477</v>
      </c>
      <c r="H8484" s="16">
        <f t="shared" ca="1" si="140"/>
        <v>-4.6846177966673244E-2</v>
      </c>
    </row>
    <row r="8485" spans="7:8" x14ac:dyDescent="0.35">
      <c r="G8485" s="215">
        <v>8478</v>
      </c>
      <c r="H8485" s="16">
        <f t="shared" ca="1" si="140"/>
        <v>-3.6050073594412743E-2</v>
      </c>
    </row>
    <row r="8486" spans="7:8" x14ac:dyDescent="0.35">
      <c r="G8486" s="215">
        <v>8479</v>
      </c>
      <c r="H8486" s="16">
        <f t="shared" ca="1" si="140"/>
        <v>-5.5711394018837825E-4</v>
      </c>
    </row>
    <row r="8487" spans="7:8" x14ac:dyDescent="0.35">
      <c r="G8487" s="215">
        <v>8480</v>
      </c>
      <c r="H8487" s="16">
        <f t="shared" ca="1" si="140"/>
        <v>-1.3925486009698784E-2</v>
      </c>
    </row>
    <row r="8488" spans="7:8" x14ac:dyDescent="0.35">
      <c r="G8488" s="215">
        <v>8481</v>
      </c>
      <c r="H8488" s="16">
        <f t="shared" ca="1" si="140"/>
        <v>3.02503519153852E-2</v>
      </c>
    </row>
    <row r="8489" spans="7:8" x14ac:dyDescent="0.35">
      <c r="G8489" s="215">
        <v>8482</v>
      </c>
      <c r="H8489" s="16">
        <f t="shared" ca="1" si="140"/>
        <v>-2.2966946119857595E-2</v>
      </c>
    </row>
    <row r="8490" spans="7:8" x14ac:dyDescent="0.35">
      <c r="G8490" s="215">
        <v>8483</v>
      </c>
      <c r="H8490" s="16">
        <f t="shared" ca="1" si="140"/>
        <v>2.3412525884751144E-2</v>
      </c>
    </row>
    <row r="8491" spans="7:8" x14ac:dyDescent="0.35">
      <c r="G8491" s="215">
        <v>8484</v>
      </c>
      <c r="H8491" s="16">
        <f t="shared" ca="1" si="140"/>
        <v>0.10739438519371744</v>
      </c>
    </row>
    <row r="8492" spans="7:8" x14ac:dyDescent="0.35">
      <c r="G8492" s="215">
        <v>8485</v>
      </c>
      <c r="H8492" s="16">
        <f t="shared" ca="1" si="140"/>
        <v>5.1618335595623593E-3</v>
      </c>
    </row>
    <row r="8493" spans="7:8" x14ac:dyDescent="0.35">
      <c r="G8493" s="215">
        <v>8486</v>
      </c>
      <c r="H8493" s="16">
        <f t="shared" ca="1" si="140"/>
        <v>4.1301031778845601E-2</v>
      </c>
    </row>
    <row r="8494" spans="7:8" x14ac:dyDescent="0.35">
      <c r="G8494" s="215">
        <v>8487</v>
      </c>
      <c r="H8494" s="16">
        <f t="shared" ca="1" si="140"/>
        <v>-2.4042876148203818E-2</v>
      </c>
    </row>
    <row r="8495" spans="7:8" x14ac:dyDescent="0.35">
      <c r="G8495" s="215">
        <v>8488</v>
      </c>
      <c r="H8495" s="16">
        <f t="shared" ca="1" si="140"/>
        <v>-7.9849664478417806E-2</v>
      </c>
    </row>
    <row r="8496" spans="7:8" x14ac:dyDescent="0.35">
      <c r="G8496" s="215">
        <v>8489</v>
      </c>
      <c r="H8496" s="16">
        <f t="shared" ca="1" si="140"/>
        <v>2.4980691777129933E-2</v>
      </c>
    </row>
    <row r="8497" spans="7:8" x14ac:dyDescent="0.35">
      <c r="G8497" s="215">
        <v>8490</v>
      </c>
      <c r="H8497" s="16">
        <f t="shared" ca="1" si="140"/>
        <v>-0.10568557766216315</v>
      </c>
    </row>
    <row r="8498" spans="7:8" x14ac:dyDescent="0.35">
      <c r="G8498" s="215">
        <v>8491</v>
      </c>
      <c r="H8498" s="16">
        <f t="shared" ca="1" si="140"/>
        <v>7.328552006210888E-2</v>
      </c>
    </row>
    <row r="8499" spans="7:8" x14ac:dyDescent="0.35">
      <c r="G8499" s="215">
        <v>8492</v>
      </c>
      <c r="H8499" s="16">
        <f t="shared" ca="1" si="140"/>
        <v>-7.3708633278234639E-2</v>
      </c>
    </row>
    <row r="8500" spans="7:8" x14ac:dyDescent="0.35">
      <c r="G8500" s="215">
        <v>8493</v>
      </c>
      <c r="H8500" s="16">
        <f t="shared" ca="1" si="140"/>
        <v>2.7015521790738808E-2</v>
      </c>
    </row>
    <row r="8501" spans="7:8" x14ac:dyDescent="0.35">
      <c r="G8501" s="215">
        <v>8494</v>
      </c>
      <c r="H8501" s="16">
        <f t="shared" ca="1" si="140"/>
        <v>-2.9427839203196252E-2</v>
      </c>
    </row>
    <row r="8502" spans="7:8" x14ac:dyDescent="0.35">
      <c r="G8502" s="215">
        <v>8495</v>
      </c>
      <c r="H8502" s="16">
        <f t="shared" ca="1" si="140"/>
        <v>5.0583598785856453E-3</v>
      </c>
    </row>
    <row r="8503" spans="7:8" x14ac:dyDescent="0.35">
      <c r="G8503" s="215">
        <v>8496</v>
      </c>
      <c r="H8503" s="16">
        <f t="shared" ca="1" si="140"/>
        <v>-3.8401364814052916E-2</v>
      </c>
    </row>
    <row r="8504" spans="7:8" x14ac:dyDescent="0.35">
      <c r="G8504" s="215">
        <v>8497</v>
      </c>
      <c r="H8504" s="16">
        <f t="shared" ca="1" si="140"/>
        <v>4.2156864698310703E-2</v>
      </c>
    </row>
    <row r="8505" spans="7:8" x14ac:dyDescent="0.35">
      <c r="G8505" s="215">
        <v>8498</v>
      </c>
      <c r="H8505" s="16">
        <f t="shared" ca="1" si="140"/>
        <v>-2.5960239713065898E-2</v>
      </c>
    </row>
    <row r="8506" spans="7:8" x14ac:dyDescent="0.35">
      <c r="G8506" s="215">
        <v>8499</v>
      </c>
      <c r="H8506" s="16">
        <f t="shared" ca="1" si="140"/>
        <v>-3.2279138800843668E-2</v>
      </c>
    </row>
    <row r="8507" spans="7:8" x14ac:dyDescent="0.35">
      <c r="G8507" s="215">
        <v>8500</v>
      </c>
      <c r="H8507" s="16">
        <f t="shared" ca="1" si="140"/>
        <v>-1.2977684591598423E-2</v>
      </c>
    </row>
    <row r="8508" spans="7:8" x14ac:dyDescent="0.35">
      <c r="G8508" s="215">
        <v>8501</v>
      </c>
      <c r="H8508" s="16">
        <f t="shared" ca="1" si="140"/>
        <v>0.15822197965608611</v>
      </c>
    </row>
    <row r="8509" spans="7:8" x14ac:dyDescent="0.35">
      <c r="G8509" s="215">
        <v>8502</v>
      </c>
      <c r="H8509" s="16">
        <f t="shared" ca="1" si="140"/>
        <v>3.38884374345165E-2</v>
      </c>
    </row>
    <row r="8510" spans="7:8" x14ac:dyDescent="0.35">
      <c r="G8510" s="215">
        <v>8503</v>
      </c>
      <c r="H8510" s="16">
        <f t="shared" ca="1" si="140"/>
        <v>7.3083792362136871E-2</v>
      </c>
    </row>
    <row r="8511" spans="7:8" x14ac:dyDescent="0.35">
      <c r="G8511" s="215">
        <v>8504</v>
      </c>
      <c r="H8511" s="16">
        <f t="shared" ca="1" si="140"/>
        <v>1.8370866751470951E-2</v>
      </c>
    </row>
    <row r="8512" spans="7:8" x14ac:dyDescent="0.35">
      <c r="G8512" s="215">
        <v>8505</v>
      </c>
      <c r="H8512" s="16">
        <f t="shared" ca="1" si="140"/>
        <v>3.1878880203859039E-2</v>
      </c>
    </row>
    <row r="8513" spans="7:8" x14ac:dyDescent="0.35">
      <c r="G8513" s="215">
        <v>8506</v>
      </c>
      <c r="H8513" s="16">
        <f t="shared" ca="1" si="140"/>
        <v>3.7479744536614207E-2</v>
      </c>
    </row>
    <row r="8514" spans="7:8" x14ac:dyDescent="0.35">
      <c r="G8514" s="215">
        <v>8507</v>
      </c>
      <c r="H8514" s="16">
        <f t="shared" ca="1" si="140"/>
        <v>4.0247133338365444E-2</v>
      </c>
    </row>
    <row r="8515" spans="7:8" x14ac:dyDescent="0.35">
      <c r="G8515" s="215">
        <v>8508</v>
      </c>
      <c r="H8515" s="16">
        <f t="shared" ca="1" si="140"/>
        <v>9.4943855068989794E-2</v>
      </c>
    </row>
    <row r="8516" spans="7:8" x14ac:dyDescent="0.35">
      <c r="G8516" s="215">
        <v>8509</v>
      </c>
      <c r="H8516" s="16">
        <f t="shared" ca="1" si="140"/>
        <v>4.1112293086415813E-2</v>
      </c>
    </row>
    <row r="8517" spans="7:8" x14ac:dyDescent="0.35">
      <c r="G8517" s="215">
        <v>8510</v>
      </c>
      <c r="H8517" s="16">
        <f t="shared" ca="1" si="140"/>
        <v>8.0760187141455747E-2</v>
      </c>
    </row>
    <row r="8518" spans="7:8" x14ac:dyDescent="0.35">
      <c r="G8518" s="215">
        <v>8511</v>
      </c>
      <c r="H8518" s="16">
        <f t="shared" ca="1" si="140"/>
        <v>-0.1352720386039164</v>
      </c>
    </row>
    <row r="8519" spans="7:8" x14ac:dyDescent="0.35">
      <c r="G8519" s="215">
        <v>8512</v>
      </c>
      <c r="H8519" s="16">
        <f t="shared" ca="1" si="140"/>
        <v>0.10325990143972083</v>
      </c>
    </row>
    <row r="8520" spans="7:8" x14ac:dyDescent="0.35">
      <c r="G8520" s="215">
        <v>8513</v>
      </c>
      <c r="H8520" s="16">
        <f t="shared" ref="H8520:H8583" ca="1" si="141">_xlfn.NORM.INV(RAND(),M$10,M$11)</f>
        <v>-0.10514955109992546</v>
      </c>
    </row>
    <row r="8521" spans="7:8" x14ac:dyDescent="0.35">
      <c r="G8521" s="215">
        <v>8514</v>
      </c>
      <c r="H8521" s="16">
        <f t="shared" ca="1" si="141"/>
        <v>0.22392463423179293</v>
      </c>
    </row>
    <row r="8522" spans="7:8" x14ac:dyDescent="0.35">
      <c r="G8522" s="215">
        <v>8515</v>
      </c>
      <c r="H8522" s="16">
        <f t="shared" ca="1" si="141"/>
        <v>-4.3679878041058204E-2</v>
      </c>
    </row>
    <row r="8523" spans="7:8" x14ac:dyDescent="0.35">
      <c r="G8523" s="215">
        <v>8516</v>
      </c>
      <c r="H8523" s="16">
        <f t="shared" ca="1" si="141"/>
        <v>8.8507354217425473E-3</v>
      </c>
    </row>
    <row r="8524" spans="7:8" x14ac:dyDescent="0.35">
      <c r="G8524" s="215">
        <v>8517</v>
      </c>
      <c r="H8524" s="16">
        <f t="shared" ca="1" si="141"/>
        <v>7.458490412740601E-2</v>
      </c>
    </row>
    <row r="8525" spans="7:8" x14ac:dyDescent="0.35">
      <c r="G8525" s="215">
        <v>8518</v>
      </c>
      <c r="H8525" s="16">
        <f t="shared" ca="1" si="141"/>
        <v>-2.869238559324359E-2</v>
      </c>
    </row>
    <row r="8526" spans="7:8" x14ac:dyDescent="0.35">
      <c r="G8526" s="215">
        <v>8519</v>
      </c>
      <c r="H8526" s="16">
        <f t="shared" ca="1" si="141"/>
        <v>1.9215181692601134E-3</v>
      </c>
    </row>
    <row r="8527" spans="7:8" x14ac:dyDescent="0.35">
      <c r="G8527" s="215">
        <v>8520</v>
      </c>
      <c r="H8527" s="16">
        <f t="shared" ca="1" si="141"/>
        <v>-5.6083910364343167E-2</v>
      </c>
    </row>
    <row r="8528" spans="7:8" x14ac:dyDescent="0.35">
      <c r="G8528" s="215">
        <v>8521</v>
      </c>
      <c r="H8528" s="16">
        <f t="shared" ca="1" si="141"/>
        <v>4.077934609172567E-2</v>
      </c>
    </row>
    <row r="8529" spans="7:8" x14ac:dyDescent="0.35">
      <c r="G8529" s="215">
        <v>8522</v>
      </c>
      <c r="H8529" s="16">
        <f t="shared" ca="1" si="141"/>
        <v>-6.6546969561421115E-3</v>
      </c>
    </row>
    <row r="8530" spans="7:8" x14ac:dyDescent="0.35">
      <c r="G8530" s="215">
        <v>8523</v>
      </c>
      <c r="H8530" s="16">
        <f t="shared" ca="1" si="141"/>
        <v>4.9174186612756535E-2</v>
      </c>
    </row>
    <row r="8531" spans="7:8" x14ac:dyDescent="0.35">
      <c r="G8531" s="215">
        <v>8524</v>
      </c>
      <c r="H8531" s="16">
        <f t="shared" ca="1" si="141"/>
        <v>6.6723949862020571E-2</v>
      </c>
    </row>
    <row r="8532" spans="7:8" x14ac:dyDescent="0.35">
      <c r="G8532" s="215">
        <v>8525</v>
      </c>
      <c r="H8532" s="16">
        <f t="shared" ca="1" si="141"/>
        <v>-7.366342673777608E-2</v>
      </c>
    </row>
    <row r="8533" spans="7:8" x14ac:dyDescent="0.35">
      <c r="G8533" s="215">
        <v>8526</v>
      </c>
      <c r="H8533" s="16">
        <f t="shared" ca="1" si="141"/>
        <v>-0.14768029855884451</v>
      </c>
    </row>
    <row r="8534" spans="7:8" x14ac:dyDescent="0.35">
      <c r="G8534" s="215">
        <v>8527</v>
      </c>
      <c r="H8534" s="16">
        <f t="shared" ca="1" si="141"/>
        <v>-1.0866461783014286E-2</v>
      </c>
    </row>
    <row r="8535" spans="7:8" x14ac:dyDescent="0.35">
      <c r="G8535" s="215">
        <v>8528</v>
      </c>
      <c r="H8535" s="16">
        <f t="shared" ca="1" si="141"/>
        <v>3.5777444207553799E-2</v>
      </c>
    </row>
    <row r="8536" spans="7:8" x14ac:dyDescent="0.35">
      <c r="G8536" s="215">
        <v>8529</v>
      </c>
      <c r="H8536" s="16">
        <f t="shared" ca="1" si="141"/>
        <v>6.7484879958849275E-2</v>
      </c>
    </row>
    <row r="8537" spans="7:8" x14ac:dyDescent="0.35">
      <c r="G8537" s="215">
        <v>8530</v>
      </c>
      <c r="H8537" s="16">
        <f t="shared" ca="1" si="141"/>
        <v>4.2913866022193603E-2</v>
      </c>
    </row>
    <row r="8538" spans="7:8" x14ac:dyDescent="0.35">
      <c r="G8538" s="215">
        <v>8531</v>
      </c>
      <c r="H8538" s="16">
        <f t="shared" ca="1" si="141"/>
        <v>-3.4693103260623852E-3</v>
      </c>
    </row>
    <row r="8539" spans="7:8" x14ac:dyDescent="0.35">
      <c r="G8539" s="215">
        <v>8532</v>
      </c>
      <c r="H8539" s="16">
        <f t="shared" ca="1" si="141"/>
        <v>3.4781668736186919E-2</v>
      </c>
    </row>
    <row r="8540" spans="7:8" x14ac:dyDescent="0.35">
      <c r="G8540" s="215">
        <v>8533</v>
      </c>
      <c r="H8540" s="16">
        <f t="shared" ca="1" si="141"/>
        <v>-0.13590778927518188</v>
      </c>
    </row>
    <row r="8541" spans="7:8" x14ac:dyDescent="0.35">
      <c r="G8541" s="215">
        <v>8534</v>
      </c>
      <c r="H8541" s="16">
        <f t="shared" ca="1" si="141"/>
        <v>1.5980772826734109E-2</v>
      </c>
    </row>
    <row r="8542" spans="7:8" x14ac:dyDescent="0.35">
      <c r="G8542" s="215">
        <v>8535</v>
      </c>
      <c r="H8542" s="16">
        <f t="shared" ca="1" si="141"/>
        <v>-1.3094250686707023E-2</v>
      </c>
    </row>
    <row r="8543" spans="7:8" x14ac:dyDescent="0.35">
      <c r="G8543" s="215">
        <v>8536</v>
      </c>
      <c r="H8543" s="16">
        <f t="shared" ca="1" si="141"/>
        <v>0.19352216601375602</v>
      </c>
    </row>
    <row r="8544" spans="7:8" x14ac:dyDescent="0.35">
      <c r="G8544" s="215">
        <v>8537</v>
      </c>
      <c r="H8544" s="16">
        <f t="shared" ca="1" si="141"/>
        <v>6.3073430031938882E-2</v>
      </c>
    </row>
    <row r="8545" spans="7:8" x14ac:dyDescent="0.35">
      <c r="G8545" s="215">
        <v>8538</v>
      </c>
      <c r="H8545" s="16">
        <f t="shared" ca="1" si="141"/>
        <v>4.9079768618842667E-2</v>
      </c>
    </row>
    <row r="8546" spans="7:8" x14ac:dyDescent="0.35">
      <c r="G8546" s="215">
        <v>8539</v>
      </c>
      <c r="H8546" s="16">
        <f t="shared" ca="1" si="141"/>
        <v>2.7271232303811448E-2</v>
      </c>
    </row>
    <row r="8547" spans="7:8" x14ac:dyDescent="0.35">
      <c r="G8547" s="215">
        <v>8540</v>
      </c>
      <c r="H8547" s="16">
        <f t="shared" ca="1" si="141"/>
        <v>-0.10753211513175724</v>
      </c>
    </row>
    <row r="8548" spans="7:8" x14ac:dyDescent="0.35">
      <c r="G8548" s="215">
        <v>8541</v>
      </c>
      <c r="H8548" s="16">
        <f t="shared" ca="1" si="141"/>
        <v>-3.6621011723309116E-2</v>
      </c>
    </row>
    <row r="8549" spans="7:8" x14ac:dyDescent="0.35">
      <c r="G8549" s="215">
        <v>8542</v>
      </c>
      <c r="H8549" s="16">
        <f t="shared" ca="1" si="141"/>
        <v>-5.0490478311151457E-2</v>
      </c>
    </row>
    <row r="8550" spans="7:8" x14ac:dyDescent="0.35">
      <c r="G8550" s="215">
        <v>8543</v>
      </c>
      <c r="H8550" s="16">
        <f t="shared" ca="1" si="141"/>
        <v>4.6920965263483522E-2</v>
      </c>
    </row>
    <row r="8551" spans="7:8" x14ac:dyDescent="0.35">
      <c r="G8551" s="215">
        <v>8544</v>
      </c>
      <c r="H8551" s="16">
        <f t="shared" ca="1" si="141"/>
        <v>4.2543407276307829E-2</v>
      </c>
    </row>
    <row r="8552" spans="7:8" x14ac:dyDescent="0.35">
      <c r="G8552" s="215">
        <v>8545</v>
      </c>
      <c r="H8552" s="16">
        <f t="shared" ca="1" si="141"/>
        <v>-1.8467545367612338E-2</v>
      </c>
    </row>
    <row r="8553" spans="7:8" x14ac:dyDescent="0.35">
      <c r="G8553" s="215">
        <v>8546</v>
      </c>
      <c r="H8553" s="16">
        <f t="shared" ca="1" si="141"/>
        <v>8.8323041184623738E-2</v>
      </c>
    </row>
    <row r="8554" spans="7:8" x14ac:dyDescent="0.35">
      <c r="G8554" s="215">
        <v>8547</v>
      </c>
      <c r="H8554" s="16">
        <f t="shared" ca="1" si="141"/>
        <v>0.17304530979633539</v>
      </c>
    </row>
    <row r="8555" spans="7:8" x14ac:dyDescent="0.35">
      <c r="G8555" s="215">
        <v>8548</v>
      </c>
      <c r="H8555" s="16">
        <f t="shared" ca="1" si="141"/>
        <v>3.3423976442602803E-2</v>
      </c>
    </row>
    <row r="8556" spans="7:8" x14ac:dyDescent="0.35">
      <c r="G8556" s="215">
        <v>8549</v>
      </c>
      <c r="H8556" s="16">
        <f t="shared" ca="1" si="141"/>
        <v>-2.4753347245129249E-2</v>
      </c>
    </row>
    <row r="8557" spans="7:8" x14ac:dyDescent="0.35">
      <c r="G8557" s="215">
        <v>8550</v>
      </c>
      <c r="H8557" s="16">
        <f t="shared" ca="1" si="141"/>
        <v>-7.0656449083272829E-2</v>
      </c>
    </row>
    <row r="8558" spans="7:8" x14ac:dyDescent="0.35">
      <c r="G8558" s="215">
        <v>8551</v>
      </c>
      <c r="H8558" s="16">
        <f t="shared" ca="1" si="141"/>
        <v>-9.0726777854883041E-3</v>
      </c>
    </row>
    <row r="8559" spans="7:8" x14ac:dyDescent="0.35">
      <c r="G8559" s="215">
        <v>8552</v>
      </c>
      <c r="H8559" s="16">
        <f t="shared" ca="1" si="141"/>
        <v>-5.8668762592194418E-2</v>
      </c>
    </row>
    <row r="8560" spans="7:8" x14ac:dyDescent="0.35">
      <c r="G8560" s="215">
        <v>8553</v>
      </c>
      <c r="H8560" s="16">
        <f t="shared" ca="1" si="141"/>
        <v>-2.8106296113990892E-2</v>
      </c>
    </row>
    <row r="8561" spans="7:8" x14ac:dyDescent="0.35">
      <c r="G8561" s="215">
        <v>8554</v>
      </c>
      <c r="H8561" s="16">
        <f t="shared" ca="1" si="141"/>
        <v>-0.10268200110535167</v>
      </c>
    </row>
    <row r="8562" spans="7:8" x14ac:dyDescent="0.35">
      <c r="G8562" s="215">
        <v>8555</v>
      </c>
      <c r="H8562" s="16">
        <f t="shared" ca="1" si="141"/>
        <v>7.3671348243036408E-2</v>
      </c>
    </row>
    <row r="8563" spans="7:8" x14ac:dyDescent="0.35">
      <c r="G8563" s="215">
        <v>8556</v>
      </c>
      <c r="H8563" s="16">
        <f t="shared" ca="1" si="141"/>
        <v>2.411694604952962E-2</v>
      </c>
    </row>
    <row r="8564" spans="7:8" x14ac:dyDescent="0.35">
      <c r="G8564" s="215">
        <v>8557</v>
      </c>
      <c r="H8564" s="16">
        <f t="shared" ca="1" si="141"/>
        <v>7.8349695118366189E-2</v>
      </c>
    </row>
    <row r="8565" spans="7:8" x14ac:dyDescent="0.35">
      <c r="G8565" s="215">
        <v>8558</v>
      </c>
      <c r="H8565" s="16">
        <f t="shared" ca="1" si="141"/>
        <v>-4.2184416696671403E-2</v>
      </c>
    </row>
    <row r="8566" spans="7:8" x14ac:dyDescent="0.35">
      <c r="G8566" s="215">
        <v>8559</v>
      </c>
      <c r="H8566" s="16">
        <f t="shared" ca="1" si="141"/>
        <v>0.17273555906197355</v>
      </c>
    </row>
    <row r="8567" spans="7:8" x14ac:dyDescent="0.35">
      <c r="G8567" s="215">
        <v>8560</v>
      </c>
      <c r="H8567" s="16">
        <f t="shared" ca="1" si="141"/>
        <v>-8.7844585859738374E-3</v>
      </c>
    </row>
    <row r="8568" spans="7:8" x14ac:dyDescent="0.35">
      <c r="G8568" s="215">
        <v>8561</v>
      </c>
      <c r="H8568" s="16">
        <f t="shared" ca="1" si="141"/>
        <v>4.4835856044660866E-2</v>
      </c>
    </row>
    <row r="8569" spans="7:8" x14ac:dyDescent="0.35">
      <c r="G8569" s="215">
        <v>8562</v>
      </c>
      <c r="H8569" s="16">
        <f t="shared" ca="1" si="141"/>
        <v>-1.2162479394010318E-2</v>
      </c>
    </row>
    <row r="8570" spans="7:8" x14ac:dyDescent="0.35">
      <c r="G8570" s="215">
        <v>8563</v>
      </c>
      <c r="H8570" s="16">
        <f t="shared" ca="1" si="141"/>
        <v>-2.4602048879713029E-2</v>
      </c>
    </row>
    <row r="8571" spans="7:8" x14ac:dyDescent="0.35">
      <c r="G8571" s="215">
        <v>8564</v>
      </c>
      <c r="H8571" s="16">
        <f t="shared" ca="1" si="141"/>
        <v>-0.10934691970656073</v>
      </c>
    </row>
    <row r="8572" spans="7:8" x14ac:dyDescent="0.35">
      <c r="G8572" s="215">
        <v>8565</v>
      </c>
      <c r="H8572" s="16">
        <f t="shared" ca="1" si="141"/>
        <v>-0.11736881279990427</v>
      </c>
    </row>
    <row r="8573" spans="7:8" x14ac:dyDescent="0.35">
      <c r="G8573" s="215">
        <v>8566</v>
      </c>
      <c r="H8573" s="16">
        <f t="shared" ca="1" si="141"/>
        <v>3.8885839622536292E-2</v>
      </c>
    </row>
    <row r="8574" spans="7:8" x14ac:dyDescent="0.35">
      <c r="G8574" s="215">
        <v>8567</v>
      </c>
      <c r="H8574" s="16">
        <f t="shared" ca="1" si="141"/>
        <v>-2.7057514728654263E-2</v>
      </c>
    </row>
    <row r="8575" spans="7:8" x14ac:dyDescent="0.35">
      <c r="G8575" s="215">
        <v>8568</v>
      </c>
      <c r="H8575" s="16">
        <f t="shared" ca="1" si="141"/>
        <v>-5.2808391367531557E-2</v>
      </c>
    </row>
    <row r="8576" spans="7:8" x14ac:dyDescent="0.35">
      <c r="G8576" s="215">
        <v>8569</v>
      </c>
      <c r="H8576" s="16">
        <f t="shared" ca="1" si="141"/>
        <v>-5.0323153497889697E-2</v>
      </c>
    </row>
    <row r="8577" spans="7:8" x14ac:dyDescent="0.35">
      <c r="G8577" s="215">
        <v>8570</v>
      </c>
      <c r="H8577" s="16">
        <f t="shared" ca="1" si="141"/>
        <v>2.2575014337348098E-2</v>
      </c>
    </row>
    <row r="8578" spans="7:8" x14ac:dyDescent="0.35">
      <c r="G8578" s="215">
        <v>8571</v>
      </c>
      <c r="H8578" s="16">
        <f t="shared" ca="1" si="141"/>
        <v>-8.9106802610601693E-2</v>
      </c>
    </row>
    <row r="8579" spans="7:8" x14ac:dyDescent="0.35">
      <c r="G8579" s="215">
        <v>8572</v>
      </c>
      <c r="H8579" s="16">
        <f t="shared" ca="1" si="141"/>
        <v>-1.9352379466894273E-2</v>
      </c>
    </row>
    <row r="8580" spans="7:8" x14ac:dyDescent="0.35">
      <c r="G8580" s="215">
        <v>8573</v>
      </c>
      <c r="H8580" s="16">
        <f t="shared" ca="1" si="141"/>
        <v>5.5404266269635516E-3</v>
      </c>
    </row>
    <row r="8581" spans="7:8" x14ac:dyDescent="0.35">
      <c r="G8581" s="215">
        <v>8574</v>
      </c>
      <c r="H8581" s="16">
        <f t="shared" ca="1" si="141"/>
        <v>6.0877245658237336E-2</v>
      </c>
    </row>
    <row r="8582" spans="7:8" x14ac:dyDescent="0.35">
      <c r="G8582" s="215">
        <v>8575</v>
      </c>
      <c r="H8582" s="16">
        <f t="shared" ca="1" si="141"/>
        <v>1.9659957633873983E-2</v>
      </c>
    </row>
    <row r="8583" spans="7:8" x14ac:dyDescent="0.35">
      <c r="G8583" s="215">
        <v>8576</v>
      </c>
      <c r="H8583" s="16">
        <f t="shared" ca="1" si="141"/>
        <v>9.7880409732029161E-2</v>
      </c>
    </row>
    <row r="8584" spans="7:8" x14ac:dyDescent="0.35">
      <c r="G8584" s="215">
        <v>8577</v>
      </c>
      <c r="H8584" s="16">
        <f t="shared" ref="H8584:H8647" ca="1" si="142">_xlfn.NORM.INV(RAND(),M$10,M$11)</f>
        <v>5.5400241970127564E-2</v>
      </c>
    </row>
    <row r="8585" spans="7:8" x14ac:dyDescent="0.35">
      <c r="G8585" s="215">
        <v>8578</v>
      </c>
      <c r="H8585" s="16">
        <f t="shared" ca="1" si="142"/>
        <v>8.0611098106935494E-2</v>
      </c>
    </row>
    <row r="8586" spans="7:8" x14ac:dyDescent="0.35">
      <c r="G8586" s="215">
        <v>8579</v>
      </c>
      <c r="H8586" s="16">
        <f t="shared" ca="1" si="142"/>
        <v>1.2542488979922309E-2</v>
      </c>
    </row>
    <row r="8587" spans="7:8" x14ac:dyDescent="0.35">
      <c r="G8587" s="215">
        <v>8580</v>
      </c>
      <c r="H8587" s="16">
        <f t="shared" ca="1" si="142"/>
        <v>2.9623383495281312E-2</v>
      </c>
    </row>
    <row r="8588" spans="7:8" x14ac:dyDescent="0.35">
      <c r="G8588" s="215">
        <v>8581</v>
      </c>
      <c r="H8588" s="16">
        <f t="shared" ca="1" si="142"/>
        <v>0.1257493293554994</v>
      </c>
    </row>
    <row r="8589" spans="7:8" x14ac:dyDescent="0.35">
      <c r="G8589" s="215">
        <v>8582</v>
      </c>
      <c r="H8589" s="16">
        <f t="shared" ca="1" si="142"/>
        <v>-9.8588625759123014E-2</v>
      </c>
    </row>
    <row r="8590" spans="7:8" x14ac:dyDescent="0.35">
      <c r="G8590" s="215">
        <v>8583</v>
      </c>
      <c r="H8590" s="16">
        <f t="shared" ca="1" si="142"/>
        <v>1.1272222622639647E-3</v>
      </c>
    </row>
    <row r="8591" spans="7:8" x14ac:dyDescent="0.35">
      <c r="G8591" s="215">
        <v>8584</v>
      </c>
      <c r="H8591" s="16">
        <f t="shared" ca="1" si="142"/>
        <v>-8.8168712021638965E-2</v>
      </c>
    </row>
    <row r="8592" spans="7:8" x14ac:dyDescent="0.35">
      <c r="G8592" s="215">
        <v>8585</v>
      </c>
      <c r="H8592" s="16">
        <f t="shared" ca="1" si="142"/>
        <v>0.12493027654526834</v>
      </c>
    </row>
    <row r="8593" spans="7:8" x14ac:dyDescent="0.35">
      <c r="G8593" s="215">
        <v>8586</v>
      </c>
      <c r="H8593" s="16">
        <f t="shared" ca="1" si="142"/>
        <v>-0.11504183241270241</v>
      </c>
    </row>
    <row r="8594" spans="7:8" x14ac:dyDescent="0.35">
      <c r="G8594" s="215">
        <v>8587</v>
      </c>
      <c r="H8594" s="16">
        <f t="shared" ca="1" si="142"/>
        <v>9.9853098097745119E-2</v>
      </c>
    </row>
    <row r="8595" spans="7:8" x14ac:dyDescent="0.35">
      <c r="G8595" s="215">
        <v>8588</v>
      </c>
      <c r="H8595" s="16">
        <f t="shared" ca="1" si="142"/>
        <v>8.7871018993855771E-2</v>
      </c>
    </row>
    <row r="8596" spans="7:8" x14ac:dyDescent="0.35">
      <c r="G8596" s="215">
        <v>8589</v>
      </c>
      <c r="H8596" s="16">
        <f t="shared" ca="1" si="142"/>
        <v>3.1733423470348358E-3</v>
      </c>
    </row>
    <row r="8597" spans="7:8" x14ac:dyDescent="0.35">
      <c r="G8597" s="215">
        <v>8590</v>
      </c>
      <c r="H8597" s="16">
        <f t="shared" ca="1" si="142"/>
        <v>-2.4301928142213273E-2</v>
      </c>
    </row>
    <row r="8598" spans="7:8" x14ac:dyDescent="0.35">
      <c r="G8598" s="215">
        <v>8591</v>
      </c>
      <c r="H8598" s="16">
        <f t="shared" ca="1" si="142"/>
        <v>6.8763617219136486E-2</v>
      </c>
    </row>
    <row r="8599" spans="7:8" x14ac:dyDescent="0.35">
      <c r="G8599" s="215">
        <v>8592</v>
      </c>
      <c r="H8599" s="16">
        <f t="shared" ca="1" si="142"/>
        <v>-0.10170015582978313</v>
      </c>
    </row>
    <row r="8600" spans="7:8" x14ac:dyDescent="0.35">
      <c r="G8600" s="215">
        <v>8593</v>
      </c>
      <c r="H8600" s="16">
        <f t="shared" ca="1" si="142"/>
        <v>-4.8546319438911897E-2</v>
      </c>
    </row>
    <row r="8601" spans="7:8" x14ac:dyDescent="0.35">
      <c r="G8601" s="215">
        <v>8594</v>
      </c>
      <c r="H8601" s="16">
        <f t="shared" ca="1" si="142"/>
        <v>-7.2822813550656396E-2</v>
      </c>
    </row>
    <row r="8602" spans="7:8" x14ac:dyDescent="0.35">
      <c r="G8602" s="215">
        <v>8595</v>
      </c>
      <c r="H8602" s="16">
        <f t="shared" ca="1" si="142"/>
        <v>0.10306680958388022</v>
      </c>
    </row>
    <row r="8603" spans="7:8" x14ac:dyDescent="0.35">
      <c r="G8603" s="215">
        <v>8596</v>
      </c>
      <c r="H8603" s="16">
        <f t="shared" ca="1" si="142"/>
        <v>3.2529522899647501E-2</v>
      </c>
    </row>
    <row r="8604" spans="7:8" x14ac:dyDescent="0.35">
      <c r="G8604" s="215">
        <v>8597</v>
      </c>
      <c r="H8604" s="16">
        <f t="shared" ca="1" si="142"/>
        <v>4.2940964819779173E-2</v>
      </c>
    </row>
    <row r="8605" spans="7:8" x14ac:dyDescent="0.35">
      <c r="G8605" s="215">
        <v>8598</v>
      </c>
      <c r="H8605" s="16">
        <f t="shared" ca="1" si="142"/>
        <v>-5.849989134010361E-2</v>
      </c>
    </row>
    <row r="8606" spans="7:8" x14ac:dyDescent="0.35">
      <c r="G8606" s="215">
        <v>8599</v>
      </c>
      <c r="H8606" s="16">
        <f t="shared" ca="1" si="142"/>
        <v>7.4681948291939419E-3</v>
      </c>
    </row>
    <row r="8607" spans="7:8" x14ac:dyDescent="0.35">
      <c r="G8607" s="215">
        <v>8600</v>
      </c>
      <c r="H8607" s="16">
        <f t="shared" ca="1" si="142"/>
        <v>3.8874716743444095E-2</v>
      </c>
    </row>
    <row r="8608" spans="7:8" x14ac:dyDescent="0.35">
      <c r="G8608" s="215">
        <v>8601</v>
      </c>
      <c r="H8608" s="16">
        <f t="shared" ca="1" si="142"/>
        <v>5.8359520965672769E-3</v>
      </c>
    </row>
    <row r="8609" spans="7:8" x14ac:dyDescent="0.35">
      <c r="G8609" s="215">
        <v>8602</v>
      </c>
      <c r="H8609" s="16">
        <f t="shared" ca="1" si="142"/>
        <v>-3.2576450473688054E-2</v>
      </c>
    </row>
    <row r="8610" spans="7:8" x14ac:dyDescent="0.35">
      <c r="G8610" s="215">
        <v>8603</v>
      </c>
      <c r="H8610" s="16">
        <f t="shared" ca="1" si="142"/>
        <v>-0.11788152900978202</v>
      </c>
    </row>
    <row r="8611" spans="7:8" x14ac:dyDescent="0.35">
      <c r="G8611" s="215">
        <v>8604</v>
      </c>
      <c r="H8611" s="16">
        <f t="shared" ca="1" si="142"/>
        <v>1.8963106891627331E-2</v>
      </c>
    </row>
    <row r="8612" spans="7:8" x14ac:dyDescent="0.35">
      <c r="G8612" s="215">
        <v>8605</v>
      </c>
      <c r="H8612" s="16">
        <f t="shared" ca="1" si="142"/>
        <v>1.40265898256556E-2</v>
      </c>
    </row>
    <row r="8613" spans="7:8" x14ac:dyDescent="0.35">
      <c r="G8613" s="215">
        <v>8606</v>
      </c>
      <c r="H8613" s="16">
        <f t="shared" ca="1" si="142"/>
        <v>5.8225237033588534E-2</v>
      </c>
    </row>
    <row r="8614" spans="7:8" x14ac:dyDescent="0.35">
      <c r="G8614" s="215">
        <v>8607</v>
      </c>
      <c r="H8614" s="16">
        <f t="shared" ca="1" si="142"/>
        <v>-2.4734962730693973E-2</v>
      </c>
    </row>
    <row r="8615" spans="7:8" x14ac:dyDescent="0.35">
      <c r="G8615" s="215">
        <v>8608</v>
      </c>
      <c r="H8615" s="16">
        <f t="shared" ca="1" si="142"/>
        <v>-1.681905985867024E-2</v>
      </c>
    </row>
    <row r="8616" spans="7:8" x14ac:dyDescent="0.35">
      <c r="G8616" s="215">
        <v>8609</v>
      </c>
      <c r="H8616" s="16">
        <f t="shared" ca="1" si="142"/>
        <v>2.2904641495291467E-3</v>
      </c>
    </row>
    <row r="8617" spans="7:8" x14ac:dyDescent="0.35">
      <c r="G8617" s="215">
        <v>8610</v>
      </c>
      <c r="H8617" s="16">
        <f t="shared" ca="1" si="142"/>
        <v>2.6695112586641666E-2</v>
      </c>
    </row>
    <row r="8618" spans="7:8" x14ac:dyDescent="0.35">
      <c r="G8618" s="215">
        <v>8611</v>
      </c>
      <c r="H8618" s="16">
        <f t="shared" ca="1" si="142"/>
        <v>-4.6143258782984378E-2</v>
      </c>
    </row>
    <row r="8619" spans="7:8" x14ac:dyDescent="0.35">
      <c r="G8619" s="215">
        <v>8612</v>
      </c>
      <c r="H8619" s="16">
        <f t="shared" ca="1" si="142"/>
        <v>5.7609403441636106E-2</v>
      </c>
    </row>
    <row r="8620" spans="7:8" x14ac:dyDescent="0.35">
      <c r="G8620" s="215">
        <v>8613</v>
      </c>
      <c r="H8620" s="16">
        <f t="shared" ca="1" si="142"/>
        <v>9.3774807774378091E-3</v>
      </c>
    </row>
    <row r="8621" spans="7:8" x14ac:dyDescent="0.35">
      <c r="G8621" s="215">
        <v>8614</v>
      </c>
      <c r="H8621" s="16">
        <f t="shared" ca="1" si="142"/>
        <v>-1.8834550063239978E-2</v>
      </c>
    </row>
    <row r="8622" spans="7:8" x14ac:dyDescent="0.35">
      <c r="G8622" s="215">
        <v>8615</v>
      </c>
      <c r="H8622" s="16">
        <f t="shared" ca="1" si="142"/>
        <v>0.11708825609447336</v>
      </c>
    </row>
    <row r="8623" spans="7:8" x14ac:dyDescent="0.35">
      <c r="G8623" s="215">
        <v>8616</v>
      </c>
      <c r="H8623" s="16">
        <f t="shared" ca="1" si="142"/>
        <v>-7.5499859801383074E-2</v>
      </c>
    </row>
    <row r="8624" spans="7:8" x14ac:dyDescent="0.35">
      <c r="G8624" s="215">
        <v>8617</v>
      </c>
      <c r="H8624" s="16">
        <f t="shared" ca="1" si="142"/>
        <v>-9.7436431506791238E-2</v>
      </c>
    </row>
    <row r="8625" spans="7:8" x14ac:dyDescent="0.35">
      <c r="G8625" s="215">
        <v>8618</v>
      </c>
      <c r="H8625" s="16">
        <f t="shared" ca="1" si="142"/>
        <v>0.14346362379272037</v>
      </c>
    </row>
    <row r="8626" spans="7:8" x14ac:dyDescent="0.35">
      <c r="G8626" s="215">
        <v>8619</v>
      </c>
      <c r="H8626" s="16">
        <f t="shared" ca="1" si="142"/>
        <v>8.2852013425887258E-2</v>
      </c>
    </row>
    <row r="8627" spans="7:8" x14ac:dyDescent="0.35">
      <c r="G8627" s="215">
        <v>8620</v>
      </c>
      <c r="H8627" s="16">
        <f t="shared" ca="1" si="142"/>
        <v>-1.3652514611673851E-2</v>
      </c>
    </row>
    <row r="8628" spans="7:8" x14ac:dyDescent="0.35">
      <c r="G8628" s="215">
        <v>8621</v>
      </c>
      <c r="H8628" s="16">
        <f t="shared" ca="1" si="142"/>
        <v>-1.6906157179677229E-2</v>
      </c>
    </row>
    <row r="8629" spans="7:8" x14ac:dyDescent="0.35">
      <c r="G8629" s="215">
        <v>8622</v>
      </c>
      <c r="H8629" s="16">
        <f t="shared" ca="1" si="142"/>
        <v>5.772106022130763E-2</v>
      </c>
    </row>
    <row r="8630" spans="7:8" x14ac:dyDescent="0.35">
      <c r="G8630" s="215">
        <v>8623</v>
      </c>
      <c r="H8630" s="16">
        <f t="shared" ca="1" si="142"/>
        <v>0.12621956582607222</v>
      </c>
    </row>
    <row r="8631" spans="7:8" x14ac:dyDescent="0.35">
      <c r="G8631" s="215">
        <v>8624</v>
      </c>
      <c r="H8631" s="16">
        <f t="shared" ca="1" si="142"/>
        <v>-1.4590575690756492E-2</v>
      </c>
    </row>
    <row r="8632" spans="7:8" x14ac:dyDescent="0.35">
      <c r="G8632" s="215">
        <v>8625</v>
      </c>
      <c r="H8632" s="16">
        <f t="shared" ca="1" si="142"/>
        <v>-1.6284209357253266E-2</v>
      </c>
    </row>
    <row r="8633" spans="7:8" x14ac:dyDescent="0.35">
      <c r="G8633" s="215">
        <v>8626</v>
      </c>
      <c r="H8633" s="16">
        <f t="shared" ca="1" si="142"/>
        <v>-1.4810963518246591E-2</v>
      </c>
    </row>
    <row r="8634" spans="7:8" x14ac:dyDescent="0.35">
      <c r="G8634" s="215">
        <v>8627</v>
      </c>
      <c r="H8634" s="16">
        <f t="shared" ca="1" si="142"/>
        <v>-3.9335838049348232E-2</v>
      </c>
    </row>
    <row r="8635" spans="7:8" x14ac:dyDescent="0.35">
      <c r="G8635" s="215">
        <v>8628</v>
      </c>
      <c r="H8635" s="16">
        <f t="shared" ca="1" si="142"/>
        <v>3.8234677093171375E-2</v>
      </c>
    </row>
    <row r="8636" spans="7:8" x14ac:dyDescent="0.35">
      <c r="G8636" s="215">
        <v>8629</v>
      </c>
      <c r="H8636" s="16">
        <f t="shared" ca="1" si="142"/>
        <v>-1.721162791222591E-3</v>
      </c>
    </row>
    <row r="8637" spans="7:8" x14ac:dyDescent="0.35">
      <c r="G8637" s="215">
        <v>8630</v>
      </c>
      <c r="H8637" s="16">
        <f t="shared" ca="1" si="142"/>
        <v>7.3712645254706902E-2</v>
      </c>
    </row>
    <row r="8638" spans="7:8" x14ac:dyDescent="0.35">
      <c r="G8638" s="215">
        <v>8631</v>
      </c>
      <c r="H8638" s="16">
        <f t="shared" ca="1" si="142"/>
        <v>-3.5591448142923504E-2</v>
      </c>
    </row>
    <row r="8639" spans="7:8" x14ac:dyDescent="0.35">
      <c r="G8639" s="215">
        <v>8632</v>
      </c>
      <c r="H8639" s="16">
        <f t="shared" ca="1" si="142"/>
        <v>3.2709977771176749E-2</v>
      </c>
    </row>
    <row r="8640" spans="7:8" x14ac:dyDescent="0.35">
      <c r="G8640" s="215">
        <v>8633</v>
      </c>
      <c r="H8640" s="16">
        <f t="shared" ca="1" si="142"/>
        <v>-0.118311072387213</v>
      </c>
    </row>
    <row r="8641" spans="7:8" x14ac:dyDescent="0.35">
      <c r="G8641" s="215">
        <v>8634</v>
      </c>
      <c r="H8641" s="16">
        <f t="shared" ca="1" si="142"/>
        <v>0.11383438037238579</v>
      </c>
    </row>
    <row r="8642" spans="7:8" x14ac:dyDescent="0.35">
      <c r="G8642" s="215">
        <v>8635</v>
      </c>
      <c r="H8642" s="16">
        <f t="shared" ca="1" si="142"/>
        <v>0.10479441450873445</v>
      </c>
    </row>
    <row r="8643" spans="7:8" x14ac:dyDescent="0.35">
      <c r="G8643" s="215">
        <v>8636</v>
      </c>
      <c r="H8643" s="16">
        <f t="shared" ca="1" si="142"/>
        <v>0.17541649481452171</v>
      </c>
    </row>
    <row r="8644" spans="7:8" x14ac:dyDescent="0.35">
      <c r="G8644" s="215">
        <v>8637</v>
      </c>
      <c r="H8644" s="16">
        <f t="shared" ca="1" si="142"/>
        <v>9.663350128514013E-2</v>
      </c>
    </row>
    <row r="8645" spans="7:8" x14ac:dyDescent="0.35">
      <c r="G8645" s="215">
        <v>8638</v>
      </c>
      <c r="H8645" s="16">
        <f t="shared" ca="1" si="142"/>
        <v>9.1593929373140134E-2</v>
      </c>
    </row>
    <row r="8646" spans="7:8" x14ac:dyDescent="0.35">
      <c r="G8646" s="215">
        <v>8639</v>
      </c>
      <c r="H8646" s="16">
        <f t="shared" ca="1" si="142"/>
        <v>3.3529483245151911E-2</v>
      </c>
    </row>
    <row r="8647" spans="7:8" x14ac:dyDescent="0.35">
      <c r="G8647" s="215">
        <v>8640</v>
      </c>
      <c r="H8647" s="16">
        <f t="shared" ca="1" si="142"/>
        <v>4.355090321125011E-3</v>
      </c>
    </row>
    <row r="8648" spans="7:8" x14ac:dyDescent="0.35">
      <c r="G8648" s="215">
        <v>8641</v>
      </c>
      <c r="H8648" s="16">
        <f t="shared" ref="H8648:H8711" ca="1" si="143">_xlfn.NORM.INV(RAND(),M$10,M$11)</f>
        <v>-5.8032583210543012E-2</v>
      </c>
    </row>
    <row r="8649" spans="7:8" x14ac:dyDescent="0.35">
      <c r="G8649" s="215">
        <v>8642</v>
      </c>
      <c r="H8649" s="16">
        <f t="shared" ca="1" si="143"/>
        <v>8.9242939015958672E-2</v>
      </c>
    </row>
    <row r="8650" spans="7:8" x14ac:dyDescent="0.35">
      <c r="G8650" s="215">
        <v>8643</v>
      </c>
      <c r="H8650" s="16">
        <f t="shared" ca="1" si="143"/>
        <v>-3.6742065757407155E-2</v>
      </c>
    </row>
    <row r="8651" spans="7:8" x14ac:dyDescent="0.35">
      <c r="G8651" s="215">
        <v>8644</v>
      </c>
      <c r="H8651" s="16">
        <f t="shared" ca="1" si="143"/>
        <v>-3.0640615116030546E-2</v>
      </c>
    </row>
    <row r="8652" spans="7:8" x14ac:dyDescent="0.35">
      <c r="G8652" s="215">
        <v>8645</v>
      </c>
      <c r="H8652" s="16">
        <f t="shared" ca="1" si="143"/>
        <v>-2.3187890333329759E-2</v>
      </c>
    </row>
    <row r="8653" spans="7:8" x14ac:dyDescent="0.35">
      <c r="G8653" s="215">
        <v>8646</v>
      </c>
      <c r="H8653" s="16">
        <f t="shared" ca="1" si="143"/>
        <v>8.556608318333438E-3</v>
      </c>
    </row>
    <row r="8654" spans="7:8" x14ac:dyDescent="0.35">
      <c r="G8654" s="215">
        <v>8647</v>
      </c>
      <c r="H8654" s="16">
        <f t="shared" ca="1" si="143"/>
        <v>-1.1181266933420787E-2</v>
      </c>
    </row>
    <row r="8655" spans="7:8" x14ac:dyDescent="0.35">
      <c r="G8655" s="215">
        <v>8648</v>
      </c>
      <c r="H8655" s="16">
        <f t="shared" ca="1" si="143"/>
        <v>2.2741477060258301E-2</v>
      </c>
    </row>
    <row r="8656" spans="7:8" x14ac:dyDescent="0.35">
      <c r="G8656" s="215">
        <v>8649</v>
      </c>
      <c r="H8656" s="16">
        <f t="shared" ca="1" si="143"/>
        <v>3.1761433768764023E-2</v>
      </c>
    </row>
    <row r="8657" spans="7:8" x14ac:dyDescent="0.35">
      <c r="G8657" s="215">
        <v>8650</v>
      </c>
      <c r="H8657" s="16">
        <f t="shared" ca="1" si="143"/>
        <v>1.4238168128849357E-2</v>
      </c>
    </row>
    <row r="8658" spans="7:8" x14ac:dyDescent="0.35">
      <c r="G8658" s="215">
        <v>8651</v>
      </c>
      <c r="H8658" s="16">
        <f t="shared" ca="1" si="143"/>
        <v>2.1152422818749239E-2</v>
      </c>
    </row>
    <row r="8659" spans="7:8" x14ac:dyDescent="0.35">
      <c r="G8659" s="215">
        <v>8652</v>
      </c>
      <c r="H8659" s="16">
        <f t="shared" ca="1" si="143"/>
        <v>-2.7369066817832428E-2</v>
      </c>
    </row>
    <row r="8660" spans="7:8" x14ac:dyDescent="0.35">
      <c r="G8660" s="215">
        <v>8653</v>
      </c>
      <c r="H8660" s="16">
        <f t="shared" ca="1" si="143"/>
        <v>-2.5578695048990265E-2</v>
      </c>
    </row>
    <row r="8661" spans="7:8" x14ac:dyDescent="0.35">
      <c r="G8661" s="215">
        <v>8654</v>
      </c>
      <c r="H8661" s="16">
        <f t="shared" ca="1" si="143"/>
        <v>2.1596203987224366E-2</v>
      </c>
    </row>
    <row r="8662" spans="7:8" x14ac:dyDescent="0.35">
      <c r="G8662" s="215">
        <v>8655</v>
      </c>
      <c r="H8662" s="16">
        <f t="shared" ca="1" si="143"/>
        <v>-2.8606487363824418E-2</v>
      </c>
    </row>
    <row r="8663" spans="7:8" x14ac:dyDescent="0.35">
      <c r="G8663" s="215">
        <v>8656</v>
      </c>
      <c r="H8663" s="16">
        <f t="shared" ca="1" si="143"/>
        <v>3.5409313472417922E-2</v>
      </c>
    </row>
    <row r="8664" spans="7:8" x14ac:dyDescent="0.35">
      <c r="G8664" s="215">
        <v>8657</v>
      </c>
      <c r="H8664" s="16">
        <f t="shared" ca="1" si="143"/>
        <v>-4.7527866387069809E-2</v>
      </c>
    </row>
    <row r="8665" spans="7:8" x14ac:dyDescent="0.35">
      <c r="G8665" s="215">
        <v>8658</v>
      </c>
      <c r="H8665" s="16">
        <f t="shared" ca="1" si="143"/>
        <v>5.5033925503921055E-2</v>
      </c>
    </row>
    <row r="8666" spans="7:8" x14ac:dyDescent="0.35">
      <c r="G8666" s="215">
        <v>8659</v>
      </c>
      <c r="H8666" s="16">
        <f t="shared" ca="1" si="143"/>
        <v>-0.10717929408437053</v>
      </c>
    </row>
    <row r="8667" spans="7:8" x14ac:dyDescent="0.35">
      <c r="G8667" s="215">
        <v>8660</v>
      </c>
      <c r="H8667" s="16">
        <f t="shared" ca="1" si="143"/>
        <v>-7.0806320910399262E-2</v>
      </c>
    </row>
    <row r="8668" spans="7:8" x14ac:dyDescent="0.35">
      <c r="G8668" s="215">
        <v>8661</v>
      </c>
      <c r="H8668" s="16">
        <f t="shared" ca="1" si="143"/>
        <v>7.5432304578122625E-2</v>
      </c>
    </row>
    <row r="8669" spans="7:8" x14ac:dyDescent="0.35">
      <c r="G8669" s="215">
        <v>8662</v>
      </c>
      <c r="H8669" s="16">
        <f t="shared" ca="1" si="143"/>
        <v>-2.4358623270963411E-2</v>
      </c>
    </row>
    <row r="8670" spans="7:8" x14ac:dyDescent="0.35">
      <c r="G8670" s="215">
        <v>8663</v>
      </c>
      <c r="H8670" s="16">
        <f t="shared" ca="1" si="143"/>
        <v>-0.10659183764778174</v>
      </c>
    </row>
    <row r="8671" spans="7:8" x14ac:dyDescent="0.35">
      <c r="G8671" s="215">
        <v>8664</v>
      </c>
      <c r="H8671" s="16">
        <f t="shared" ca="1" si="143"/>
        <v>0.12321477030428787</v>
      </c>
    </row>
    <row r="8672" spans="7:8" x14ac:dyDescent="0.35">
      <c r="G8672" s="215">
        <v>8665</v>
      </c>
      <c r="H8672" s="16">
        <f t="shared" ca="1" si="143"/>
        <v>6.8226181995513793E-2</v>
      </c>
    </row>
    <row r="8673" spans="7:8" x14ac:dyDescent="0.35">
      <c r="G8673" s="215">
        <v>8666</v>
      </c>
      <c r="H8673" s="16">
        <f t="shared" ca="1" si="143"/>
        <v>5.0806975572038164E-3</v>
      </c>
    </row>
    <row r="8674" spans="7:8" x14ac:dyDescent="0.35">
      <c r="G8674" s="215">
        <v>8667</v>
      </c>
      <c r="H8674" s="16">
        <f t="shared" ca="1" si="143"/>
        <v>-0.10313621567673957</v>
      </c>
    </row>
    <row r="8675" spans="7:8" x14ac:dyDescent="0.35">
      <c r="G8675" s="215">
        <v>8668</v>
      </c>
      <c r="H8675" s="16">
        <f t="shared" ca="1" si="143"/>
        <v>-1.5998429283711101E-2</v>
      </c>
    </row>
    <row r="8676" spans="7:8" x14ac:dyDescent="0.35">
      <c r="G8676" s="215">
        <v>8669</v>
      </c>
      <c r="H8676" s="16">
        <f t="shared" ca="1" si="143"/>
        <v>0.12606316487237643</v>
      </c>
    </row>
    <row r="8677" spans="7:8" x14ac:dyDescent="0.35">
      <c r="G8677" s="215">
        <v>8670</v>
      </c>
      <c r="H8677" s="16">
        <f t="shared" ca="1" si="143"/>
        <v>2.4369710902469442E-2</v>
      </c>
    </row>
    <row r="8678" spans="7:8" x14ac:dyDescent="0.35">
      <c r="G8678" s="215">
        <v>8671</v>
      </c>
      <c r="H8678" s="16">
        <f t="shared" ca="1" si="143"/>
        <v>-3.115573999038744E-3</v>
      </c>
    </row>
    <row r="8679" spans="7:8" x14ac:dyDescent="0.35">
      <c r="G8679" s="215">
        <v>8672</v>
      </c>
      <c r="H8679" s="16">
        <f t="shared" ca="1" si="143"/>
        <v>0.15143624395245192</v>
      </c>
    </row>
    <row r="8680" spans="7:8" x14ac:dyDescent="0.35">
      <c r="G8680" s="215">
        <v>8673</v>
      </c>
      <c r="H8680" s="16">
        <f t="shared" ca="1" si="143"/>
        <v>5.3645133873648193E-2</v>
      </c>
    </row>
    <row r="8681" spans="7:8" x14ac:dyDescent="0.35">
      <c r="G8681" s="215">
        <v>8674</v>
      </c>
      <c r="H8681" s="16">
        <f t="shared" ca="1" si="143"/>
        <v>-0.10547689925872035</v>
      </c>
    </row>
    <row r="8682" spans="7:8" x14ac:dyDescent="0.35">
      <c r="G8682" s="215">
        <v>8675</v>
      </c>
      <c r="H8682" s="16">
        <f t="shared" ca="1" si="143"/>
        <v>1.155348472923229E-2</v>
      </c>
    </row>
    <row r="8683" spans="7:8" x14ac:dyDescent="0.35">
      <c r="G8683" s="215">
        <v>8676</v>
      </c>
      <c r="H8683" s="16">
        <f t="shared" ca="1" si="143"/>
        <v>-0.10773590581698958</v>
      </c>
    </row>
    <row r="8684" spans="7:8" x14ac:dyDescent="0.35">
      <c r="G8684" s="215">
        <v>8677</v>
      </c>
      <c r="H8684" s="16">
        <f t="shared" ca="1" si="143"/>
        <v>7.4652438045463565E-2</v>
      </c>
    </row>
    <row r="8685" spans="7:8" x14ac:dyDescent="0.35">
      <c r="G8685" s="215">
        <v>8678</v>
      </c>
      <c r="H8685" s="16">
        <f t="shared" ca="1" si="143"/>
        <v>-3.8676091181210015E-2</v>
      </c>
    </row>
    <row r="8686" spans="7:8" x14ac:dyDescent="0.35">
      <c r="G8686" s="215">
        <v>8679</v>
      </c>
      <c r="H8686" s="16">
        <f t="shared" ca="1" si="143"/>
        <v>0.10048691454154768</v>
      </c>
    </row>
    <row r="8687" spans="7:8" x14ac:dyDescent="0.35">
      <c r="G8687" s="215">
        <v>8680</v>
      </c>
      <c r="H8687" s="16">
        <f t="shared" ca="1" si="143"/>
        <v>-0.13979237078278978</v>
      </c>
    </row>
    <row r="8688" spans="7:8" x14ac:dyDescent="0.35">
      <c r="G8688" s="215">
        <v>8681</v>
      </c>
      <c r="H8688" s="16">
        <f t="shared" ca="1" si="143"/>
        <v>0.16728839120636999</v>
      </c>
    </row>
    <row r="8689" spans="7:8" x14ac:dyDescent="0.35">
      <c r="G8689" s="215">
        <v>8682</v>
      </c>
      <c r="H8689" s="16">
        <f t="shared" ca="1" si="143"/>
        <v>-3.5129077743068698E-2</v>
      </c>
    </row>
    <row r="8690" spans="7:8" x14ac:dyDescent="0.35">
      <c r="G8690" s="215">
        <v>8683</v>
      </c>
      <c r="H8690" s="16">
        <f t="shared" ca="1" si="143"/>
        <v>-7.5830580379075176E-4</v>
      </c>
    </row>
    <row r="8691" spans="7:8" x14ac:dyDescent="0.35">
      <c r="G8691" s="215">
        <v>8684</v>
      </c>
      <c r="H8691" s="16">
        <f t="shared" ca="1" si="143"/>
        <v>-1.3002494067650538E-2</v>
      </c>
    </row>
    <row r="8692" spans="7:8" x14ac:dyDescent="0.35">
      <c r="G8692" s="215">
        <v>8685</v>
      </c>
      <c r="H8692" s="16">
        <f t="shared" ca="1" si="143"/>
        <v>-0.15526491616293814</v>
      </c>
    </row>
    <row r="8693" spans="7:8" x14ac:dyDescent="0.35">
      <c r="G8693" s="215">
        <v>8686</v>
      </c>
      <c r="H8693" s="16">
        <f t="shared" ca="1" si="143"/>
        <v>-0.10129740762518241</v>
      </c>
    </row>
    <row r="8694" spans="7:8" x14ac:dyDescent="0.35">
      <c r="G8694" s="215">
        <v>8687</v>
      </c>
      <c r="H8694" s="16">
        <f t="shared" ca="1" si="143"/>
        <v>-2.9699103550955008E-4</v>
      </c>
    </row>
    <row r="8695" spans="7:8" x14ac:dyDescent="0.35">
      <c r="G8695" s="215">
        <v>8688</v>
      </c>
      <c r="H8695" s="16">
        <f t="shared" ca="1" si="143"/>
        <v>2.8436688571756359E-2</v>
      </c>
    </row>
    <row r="8696" spans="7:8" x14ac:dyDescent="0.35">
      <c r="G8696" s="215">
        <v>8689</v>
      </c>
      <c r="H8696" s="16">
        <f t="shared" ca="1" si="143"/>
        <v>-3.939538332223208E-2</v>
      </c>
    </row>
    <row r="8697" spans="7:8" x14ac:dyDescent="0.35">
      <c r="G8697" s="215">
        <v>8690</v>
      </c>
      <c r="H8697" s="16">
        <f t="shared" ca="1" si="143"/>
        <v>-3.7169106554068868E-2</v>
      </c>
    </row>
    <row r="8698" spans="7:8" x14ac:dyDescent="0.35">
      <c r="G8698" s="215">
        <v>8691</v>
      </c>
      <c r="H8698" s="16">
        <f t="shared" ca="1" si="143"/>
        <v>-5.2407612846869067E-2</v>
      </c>
    </row>
    <row r="8699" spans="7:8" x14ac:dyDescent="0.35">
      <c r="G8699" s="215">
        <v>8692</v>
      </c>
      <c r="H8699" s="16">
        <f t="shared" ca="1" si="143"/>
        <v>1.8229021082565626E-2</v>
      </c>
    </row>
    <row r="8700" spans="7:8" x14ac:dyDescent="0.35">
      <c r="G8700" s="215">
        <v>8693</v>
      </c>
      <c r="H8700" s="16">
        <f t="shared" ca="1" si="143"/>
        <v>3.9108727328609327E-3</v>
      </c>
    </row>
    <row r="8701" spans="7:8" x14ac:dyDescent="0.35">
      <c r="G8701" s="215">
        <v>8694</v>
      </c>
      <c r="H8701" s="16">
        <f t="shared" ca="1" si="143"/>
        <v>1.6742216132469047E-3</v>
      </c>
    </row>
    <row r="8702" spans="7:8" x14ac:dyDescent="0.35">
      <c r="G8702" s="215">
        <v>8695</v>
      </c>
      <c r="H8702" s="16">
        <f t="shared" ca="1" si="143"/>
        <v>0.12075708934889277</v>
      </c>
    </row>
    <row r="8703" spans="7:8" x14ac:dyDescent="0.35">
      <c r="G8703" s="215">
        <v>8696</v>
      </c>
      <c r="H8703" s="16">
        <f t="shared" ca="1" si="143"/>
        <v>1.9833460418653311E-2</v>
      </c>
    </row>
    <row r="8704" spans="7:8" x14ac:dyDescent="0.35">
      <c r="G8704" s="215">
        <v>8697</v>
      </c>
      <c r="H8704" s="16">
        <f t="shared" ca="1" si="143"/>
        <v>0.104495697397121</v>
      </c>
    </row>
    <row r="8705" spans="7:8" x14ac:dyDescent="0.35">
      <c r="G8705" s="215">
        <v>8698</v>
      </c>
      <c r="H8705" s="16">
        <f t="shared" ca="1" si="143"/>
        <v>6.7022199274602831E-2</v>
      </c>
    </row>
    <row r="8706" spans="7:8" x14ac:dyDescent="0.35">
      <c r="G8706" s="215">
        <v>8699</v>
      </c>
      <c r="H8706" s="16">
        <f t="shared" ca="1" si="143"/>
        <v>1.5402145363239443E-2</v>
      </c>
    </row>
    <row r="8707" spans="7:8" x14ac:dyDescent="0.35">
      <c r="G8707" s="215">
        <v>8700</v>
      </c>
      <c r="H8707" s="16">
        <f t="shared" ca="1" si="143"/>
        <v>0.1099091685467955</v>
      </c>
    </row>
    <row r="8708" spans="7:8" x14ac:dyDescent="0.35">
      <c r="G8708" s="215">
        <v>8701</v>
      </c>
      <c r="H8708" s="16">
        <f t="shared" ca="1" si="143"/>
        <v>-1.1305774801495624E-2</v>
      </c>
    </row>
    <row r="8709" spans="7:8" x14ac:dyDescent="0.35">
      <c r="G8709" s="215">
        <v>8702</v>
      </c>
      <c r="H8709" s="16">
        <f t="shared" ca="1" si="143"/>
        <v>-5.1570935061983902E-2</v>
      </c>
    </row>
    <row r="8710" spans="7:8" x14ac:dyDescent="0.35">
      <c r="G8710" s="215">
        <v>8703</v>
      </c>
      <c r="H8710" s="16">
        <f t="shared" ca="1" si="143"/>
        <v>2.9297330498364152E-2</v>
      </c>
    </row>
    <row r="8711" spans="7:8" x14ac:dyDescent="0.35">
      <c r="G8711" s="215">
        <v>8704</v>
      </c>
      <c r="H8711" s="16">
        <f t="shared" ca="1" si="143"/>
        <v>0.18721618388163266</v>
      </c>
    </row>
    <row r="8712" spans="7:8" x14ac:dyDescent="0.35">
      <c r="G8712" s="215">
        <v>8705</v>
      </c>
      <c r="H8712" s="16">
        <f t="shared" ref="H8712:H8775" ca="1" si="144">_xlfn.NORM.INV(RAND(),M$10,M$11)</f>
        <v>8.7265716859660239E-2</v>
      </c>
    </row>
    <row r="8713" spans="7:8" x14ac:dyDescent="0.35">
      <c r="G8713" s="215">
        <v>8706</v>
      </c>
      <c r="H8713" s="16">
        <f t="shared" ca="1" si="144"/>
        <v>0.10018105509143795</v>
      </c>
    </row>
    <row r="8714" spans="7:8" x14ac:dyDescent="0.35">
      <c r="G8714" s="215">
        <v>8707</v>
      </c>
      <c r="H8714" s="16">
        <f t="shared" ca="1" si="144"/>
        <v>4.1554528240282565E-2</v>
      </c>
    </row>
    <row r="8715" spans="7:8" x14ac:dyDescent="0.35">
      <c r="G8715" s="215">
        <v>8708</v>
      </c>
      <c r="H8715" s="16">
        <f t="shared" ca="1" si="144"/>
        <v>9.889593938326581E-2</v>
      </c>
    </row>
    <row r="8716" spans="7:8" x14ac:dyDescent="0.35">
      <c r="G8716" s="215">
        <v>8709</v>
      </c>
      <c r="H8716" s="16">
        <f t="shared" ca="1" si="144"/>
        <v>4.2797034963465305E-2</v>
      </c>
    </row>
    <row r="8717" spans="7:8" x14ac:dyDescent="0.35">
      <c r="G8717" s="215">
        <v>8710</v>
      </c>
      <c r="H8717" s="16">
        <f t="shared" ca="1" si="144"/>
        <v>3.2562097016411121E-2</v>
      </c>
    </row>
    <row r="8718" spans="7:8" x14ac:dyDescent="0.35">
      <c r="G8718" s="215">
        <v>8711</v>
      </c>
      <c r="H8718" s="16">
        <f t="shared" ca="1" si="144"/>
        <v>-6.6788445045380673E-5</v>
      </c>
    </row>
    <row r="8719" spans="7:8" x14ac:dyDescent="0.35">
      <c r="G8719" s="215">
        <v>8712</v>
      </c>
      <c r="H8719" s="16">
        <f t="shared" ca="1" si="144"/>
        <v>0.12287038355046247</v>
      </c>
    </row>
    <row r="8720" spans="7:8" x14ac:dyDescent="0.35">
      <c r="G8720" s="215">
        <v>8713</v>
      </c>
      <c r="H8720" s="16">
        <f t="shared" ca="1" si="144"/>
        <v>-1.5289353338775874E-2</v>
      </c>
    </row>
    <row r="8721" spans="7:8" x14ac:dyDescent="0.35">
      <c r="G8721" s="215">
        <v>8714</v>
      </c>
      <c r="H8721" s="16">
        <f t="shared" ca="1" si="144"/>
        <v>0.1531790801200747</v>
      </c>
    </row>
    <row r="8722" spans="7:8" x14ac:dyDescent="0.35">
      <c r="G8722" s="215">
        <v>8715</v>
      </c>
      <c r="H8722" s="16">
        <f t="shared" ca="1" si="144"/>
        <v>-5.5124493957566217E-2</v>
      </c>
    </row>
    <row r="8723" spans="7:8" x14ac:dyDescent="0.35">
      <c r="G8723" s="215">
        <v>8716</v>
      </c>
      <c r="H8723" s="16">
        <f t="shared" ca="1" si="144"/>
        <v>-5.4958418739537787E-2</v>
      </c>
    </row>
    <row r="8724" spans="7:8" x14ac:dyDescent="0.35">
      <c r="G8724" s="215">
        <v>8717</v>
      </c>
      <c r="H8724" s="16">
        <f t="shared" ca="1" si="144"/>
        <v>5.0810166372426482E-2</v>
      </c>
    </row>
    <row r="8725" spans="7:8" x14ac:dyDescent="0.35">
      <c r="G8725" s="215">
        <v>8718</v>
      </c>
      <c r="H8725" s="16">
        <f t="shared" ca="1" si="144"/>
        <v>-2.0990172246405137E-2</v>
      </c>
    </row>
    <row r="8726" spans="7:8" x14ac:dyDescent="0.35">
      <c r="G8726" s="215">
        <v>8719</v>
      </c>
      <c r="H8726" s="16">
        <f t="shared" ca="1" si="144"/>
        <v>-4.2702736941619329E-2</v>
      </c>
    </row>
    <row r="8727" spans="7:8" x14ac:dyDescent="0.35">
      <c r="G8727" s="215">
        <v>8720</v>
      </c>
      <c r="H8727" s="16">
        <f t="shared" ca="1" si="144"/>
        <v>1.8664131016433425E-2</v>
      </c>
    </row>
    <row r="8728" spans="7:8" x14ac:dyDescent="0.35">
      <c r="G8728" s="215">
        <v>8721</v>
      </c>
      <c r="H8728" s="16">
        <f t="shared" ca="1" si="144"/>
        <v>-7.8031688315872878E-3</v>
      </c>
    </row>
    <row r="8729" spans="7:8" x14ac:dyDescent="0.35">
      <c r="G8729" s="215">
        <v>8722</v>
      </c>
      <c r="H8729" s="16">
        <f t="shared" ca="1" si="144"/>
        <v>-0.11287734204221658</v>
      </c>
    </row>
    <row r="8730" spans="7:8" x14ac:dyDescent="0.35">
      <c r="G8730" s="215">
        <v>8723</v>
      </c>
      <c r="H8730" s="16">
        <f t="shared" ca="1" si="144"/>
        <v>0.11664043222211602</v>
      </c>
    </row>
    <row r="8731" spans="7:8" x14ac:dyDescent="0.35">
      <c r="G8731" s="215">
        <v>8724</v>
      </c>
      <c r="H8731" s="16">
        <f t="shared" ca="1" si="144"/>
        <v>-4.2665104939985057E-2</v>
      </c>
    </row>
    <row r="8732" spans="7:8" x14ac:dyDescent="0.35">
      <c r="G8732" s="215">
        <v>8725</v>
      </c>
      <c r="H8732" s="16">
        <f t="shared" ca="1" si="144"/>
        <v>5.975099430842927E-2</v>
      </c>
    </row>
    <row r="8733" spans="7:8" x14ac:dyDescent="0.35">
      <c r="G8733" s="215">
        <v>8726</v>
      </c>
      <c r="H8733" s="16">
        <f t="shared" ca="1" si="144"/>
        <v>7.8094186196127017E-3</v>
      </c>
    </row>
    <row r="8734" spans="7:8" x14ac:dyDescent="0.35">
      <c r="G8734" s="215">
        <v>8727</v>
      </c>
      <c r="H8734" s="16">
        <f t="shared" ca="1" si="144"/>
        <v>-0.1700547729349435</v>
      </c>
    </row>
    <row r="8735" spans="7:8" x14ac:dyDescent="0.35">
      <c r="G8735" s="215">
        <v>8728</v>
      </c>
      <c r="H8735" s="16">
        <f t="shared" ca="1" si="144"/>
        <v>8.8548846033987133E-2</v>
      </c>
    </row>
    <row r="8736" spans="7:8" x14ac:dyDescent="0.35">
      <c r="G8736" s="215">
        <v>8729</v>
      </c>
      <c r="H8736" s="16">
        <f t="shared" ca="1" si="144"/>
        <v>5.3969979470324296E-3</v>
      </c>
    </row>
    <row r="8737" spans="7:8" x14ac:dyDescent="0.35">
      <c r="G8737" s="215">
        <v>8730</v>
      </c>
      <c r="H8737" s="16">
        <f t="shared" ca="1" si="144"/>
        <v>5.305194842223937E-2</v>
      </c>
    </row>
    <row r="8738" spans="7:8" x14ac:dyDescent="0.35">
      <c r="G8738" s="215">
        <v>8731</v>
      </c>
      <c r="H8738" s="16">
        <f t="shared" ca="1" si="144"/>
        <v>6.3083789182654157E-2</v>
      </c>
    </row>
    <row r="8739" spans="7:8" x14ac:dyDescent="0.35">
      <c r="G8739" s="215">
        <v>8732</v>
      </c>
      <c r="H8739" s="16">
        <f t="shared" ca="1" si="144"/>
        <v>-2.6719995827323848E-2</v>
      </c>
    </row>
    <row r="8740" spans="7:8" x14ac:dyDescent="0.35">
      <c r="G8740" s="215">
        <v>8733</v>
      </c>
      <c r="H8740" s="16">
        <f t="shared" ca="1" si="144"/>
        <v>-1.2778499918858086E-2</v>
      </c>
    </row>
    <row r="8741" spans="7:8" x14ac:dyDescent="0.35">
      <c r="G8741" s="215">
        <v>8734</v>
      </c>
      <c r="H8741" s="16">
        <f t="shared" ca="1" si="144"/>
        <v>0.12618389430108851</v>
      </c>
    </row>
    <row r="8742" spans="7:8" x14ac:dyDescent="0.35">
      <c r="G8742" s="215">
        <v>8735</v>
      </c>
      <c r="H8742" s="16">
        <f t="shared" ca="1" si="144"/>
        <v>5.2016159629642983E-2</v>
      </c>
    </row>
    <row r="8743" spans="7:8" x14ac:dyDescent="0.35">
      <c r="G8743" s="215">
        <v>8736</v>
      </c>
      <c r="H8743" s="16">
        <f t="shared" ca="1" si="144"/>
        <v>-8.5593080253970777E-2</v>
      </c>
    </row>
    <row r="8744" spans="7:8" x14ac:dyDescent="0.35">
      <c r="G8744" s="215">
        <v>8737</v>
      </c>
      <c r="H8744" s="16">
        <f t="shared" ca="1" si="144"/>
        <v>5.6764190039523238E-2</v>
      </c>
    </row>
    <row r="8745" spans="7:8" x14ac:dyDescent="0.35">
      <c r="G8745" s="215">
        <v>8738</v>
      </c>
      <c r="H8745" s="16">
        <f t="shared" ca="1" si="144"/>
        <v>-4.6810281663879627E-2</v>
      </c>
    </row>
    <row r="8746" spans="7:8" x14ac:dyDescent="0.35">
      <c r="G8746" s="215">
        <v>8739</v>
      </c>
      <c r="H8746" s="16">
        <f t="shared" ca="1" si="144"/>
        <v>-0.19045226454068628</v>
      </c>
    </row>
    <row r="8747" spans="7:8" x14ac:dyDescent="0.35">
      <c r="G8747" s="215">
        <v>8740</v>
      </c>
      <c r="H8747" s="16">
        <f t="shared" ca="1" si="144"/>
        <v>-0.16850822166801638</v>
      </c>
    </row>
    <row r="8748" spans="7:8" x14ac:dyDescent="0.35">
      <c r="G8748" s="215">
        <v>8741</v>
      </c>
      <c r="H8748" s="16">
        <f t="shared" ca="1" si="144"/>
        <v>0.16128461177620773</v>
      </c>
    </row>
    <row r="8749" spans="7:8" x14ac:dyDescent="0.35">
      <c r="G8749" s="215">
        <v>8742</v>
      </c>
      <c r="H8749" s="16">
        <f t="shared" ca="1" si="144"/>
        <v>3.4580122338899025E-2</v>
      </c>
    </row>
    <row r="8750" spans="7:8" x14ac:dyDescent="0.35">
      <c r="G8750" s="215">
        <v>8743</v>
      </c>
      <c r="H8750" s="16">
        <f t="shared" ca="1" si="144"/>
        <v>-6.3506058554395867E-2</v>
      </c>
    </row>
    <row r="8751" spans="7:8" x14ac:dyDescent="0.35">
      <c r="G8751" s="215">
        <v>8744</v>
      </c>
      <c r="H8751" s="16">
        <f t="shared" ca="1" si="144"/>
        <v>8.4843992699581011E-2</v>
      </c>
    </row>
    <row r="8752" spans="7:8" x14ac:dyDescent="0.35">
      <c r="G8752" s="215">
        <v>8745</v>
      </c>
      <c r="H8752" s="16">
        <f t="shared" ca="1" si="144"/>
        <v>-0.10976587191812229</v>
      </c>
    </row>
    <row r="8753" spans="7:8" x14ac:dyDescent="0.35">
      <c r="G8753" s="215">
        <v>8746</v>
      </c>
      <c r="H8753" s="16">
        <f t="shared" ca="1" si="144"/>
        <v>-1.8169859524593504E-2</v>
      </c>
    </row>
    <row r="8754" spans="7:8" x14ac:dyDescent="0.35">
      <c r="G8754" s="215">
        <v>8747</v>
      </c>
      <c r="H8754" s="16">
        <f t="shared" ca="1" si="144"/>
        <v>-1.318148953226693E-2</v>
      </c>
    </row>
    <row r="8755" spans="7:8" x14ac:dyDescent="0.35">
      <c r="G8755" s="215">
        <v>8748</v>
      </c>
      <c r="H8755" s="16">
        <f t="shared" ca="1" si="144"/>
        <v>4.0880695756704638E-2</v>
      </c>
    </row>
    <row r="8756" spans="7:8" x14ac:dyDescent="0.35">
      <c r="G8756" s="215">
        <v>8749</v>
      </c>
      <c r="H8756" s="16">
        <f t="shared" ca="1" si="144"/>
        <v>5.2301914981364495E-2</v>
      </c>
    </row>
    <row r="8757" spans="7:8" x14ac:dyDescent="0.35">
      <c r="G8757" s="215">
        <v>8750</v>
      </c>
      <c r="H8757" s="16">
        <f t="shared" ca="1" si="144"/>
        <v>-4.2411904989590937E-2</v>
      </c>
    </row>
    <row r="8758" spans="7:8" x14ac:dyDescent="0.35">
      <c r="G8758" s="215">
        <v>8751</v>
      </c>
      <c r="H8758" s="16">
        <f t="shared" ca="1" si="144"/>
        <v>-1.0210890271933087E-2</v>
      </c>
    </row>
    <row r="8759" spans="7:8" x14ac:dyDescent="0.35">
      <c r="G8759" s="215">
        <v>8752</v>
      </c>
      <c r="H8759" s="16">
        <f t="shared" ca="1" si="144"/>
        <v>-6.1902820679519951E-2</v>
      </c>
    </row>
    <row r="8760" spans="7:8" x14ac:dyDescent="0.35">
      <c r="G8760" s="215">
        <v>8753</v>
      </c>
      <c r="H8760" s="16">
        <f t="shared" ca="1" si="144"/>
        <v>0.18383002235138252</v>
      </c>
    </row>
    <row r="8761" spans="7:8" x14ac:dyDescent="0.35">
      <c r="G8761" s="215">
        <v>8754</v>
      </c>
      <c r="H8761" s="16">
        <f t="shared" ca="1" si="144"/>
        <v>-5.4009962980594545E-2</v>
      </c>
    </row>
    <row r="8762" spans="7:8" x14ac:dyDescent="0.35">
      <c r="G8762" s="215">
        <v>8755</v>
      </c>
      <c r="H8762" s="16">
        <f t="shared" ca="1" si="144"/>
        <v>7.1540152511904181E-2</v>
      </c>
    </row>
    <row r="8763" spans="7:8" x14ac:dyDescent="0.35">
      <c r="G8763" s="215">
        <v>8756</v>
      </c>
      <c r="H8763" s="16">
        <f t="shared" ca="1" si="144"/>
        <v>1.7096664998179571E-2</v>
      </c>
    </row>
    <row r="8764" spans="7:8" x14ac:dyDescent="0.35">
      <c r="G8764" s="215">
        <v>8757</v>
      </c>
      <c r="H8764" s="16">
        <f t="shared" ca="1" si="144"/>
        <v>4.5832371973696426E-2</v>
      </c>
    </row>
    <row r="8765" spans="7:8" x14ac:dyDescent="0.35">
      <c r="G8765" s="215">
        <v>8758</v>
      </c>
      <c r="H8765" s="16">
        <f t="shared" ca="1" si="144"/>
        <v>-7.0113833068561102E-2</v>
      </c>
    </row>
    <row r="8766" spans="7:8" x14ac:dyDescent="0.35">
      <c r="G8766" s="215">
        <v>8759</v>
      </c>
      <c r="H8766" s="16">
        <f t="shared" ca="1" si="144"/>
        <v>-8.3507135979122835E-2</v>
      </c>
    </row>
    <row r="8767" spans="7:8" x14ac:dyDescent="0.35">
      <c r="G8767" s="215">
        <v>8760</v>
      </c>
      <c r="H8767" s="16">
        <f t="shared" ca="1" si="144"/>
        <v>8.5144379734757719E-2</v>
      </c>
    </row>
    <row r="8768" spans="7:8" x14ac:dyDescent="0.35">
      <c r="G8768" s="215">
        <v>8761</v>
      </c>
      <c r="H8768" s="16">
        <f t="shared" ca="1" si="144"/>
        <v>5.6262428604998374E-2</v>
      </c>
    </row>
    <row r="8769" spans="7:8" x14ac:dyDescent="0.35">
      <c r="G8769" s="215">
        <v>8762</v>
      </c>
      <c r="H8769" s="16">
        <f t="shared" ca="1" si="144"/>
        <v>-5.4376259069685157E-2</v>
      </c>
    </row>
    <row r="8770" spans="7:8" x14ac:dyDescent="0.35">
      <c r="G8770" s="215">
        <v>8763</v>
      </c>
      <c r="H8770" s="16">
        <f t="shared" ca="1" si="144"/>
        <v>4.1000752678982108E-2</v>
      </c>
    </row>
    <row r="8771" spans="7:8" x14ac:dyDescent="0.35">
      <c r="G8771" s="215">
        <v>8764</v>
      </c>
      <c r="H8771" s="16">
        <f t="shared" ca="1" si="144"/>
        <v>0.15323868673607735</v>
      </c>
    </row>
    <row r="8772" spans="7:8" x14ac:dyDescent="0.35">
      <c r="G8772" s="215">
        <v>8765</v>
      </c>
      <c r="H8772" s="16">
        <f t="shared" ca="1" si="144"/>
        <v>-6.9207510472858211E-2</v>
      </c>
    </row>
    <row r="8773" spans="7:8" x14ac:dyDescent="0.35">
      <c r="G8773" s="215">
        <v>8766</v>
      </c>
      <c r="H8773" s="16">
        <f t="shared" ca="1" si="144"/>
        <v>6.7683574747653116E-2</v>
      </c>
    </row>
    <row r="8774" spans="7:8" x14ac:dyDescent="0.35">
      <c r="G8774" s="215">
        <v>8767</v>
      </c>
      <c r="H8774" s="16">
        <f t="shared" ca="1" si="144"/>
        <v>-2.4027506411740552E-3</v>
      </c>
    </row>
    <row r="8775" spans="7:8" x14ac:dyDescent="0.35">
      <c r="G8775" s="215">
        <v>8768</v>
      </c>
      <c r="H8775" s="16">
        <f t="shared" ca="1" si="144"/>
        <v>0.11476797389053789</v>
      </c>
    </row>
    <row r="8776" spans="7:8" x14ac:dyDescent="0.35">
      <c r="G8776" s="215">
        <v>8769</v>
      </c>
      <c r="H8776" s="16">
        <f t="shared" ref="H8776:H8839" ca="1" si="145">_xlfn.NORM.INV(RAND(),M$10,M$11)</f>
        <v>5.8252763762594834E-2</v>
      </c>
    </row>
    <row r="8777" spans="7:8" x14ac:dyDescent="0.35">
      <c r="G8777" s="215">
        <v>8770</v>
      </c>
      <c r="H8777" s="16">
        <f t="shared" ca="1" si="145"/>
        <v>-2.332252733426703E-2</v>
      </c>
    </row>
    <row r="8778" spans="7:8" x14ac:dyDescent="0.35">
      <c r="G8778" s="215">
        <v>8771</v>
      </c>
      <c r="H8778" s="16">
        <f t="shared" ca="1" si="145"/>
        <v>-7.5816868948589952E-2</v>
      </c>
    </row>
    <row r="8779" spans="7:8" x14ac:dyDescent="0.35">
      <c r="G8779" s="215">
        <v>8772</v>
      </c>
      <c r="H8779" s="16">
        <f t="shared" ca="1" si="145"/>
        <v>6.8249589269103877E-2</v>
      </c>
    </row>
    <row r="8780" spans="7:8" x14ac:dyDescent="0.35">
      <c r="G8780" s="215">
        <v>8773</v>
      </c>
      <c r="H8780" s="16">
        <f t="shared" ca="1" si="145"/>
        <v>2.4590733983566218E-2</v>
      </c>
    </row>
    <row r="8781" spans="7:8" x14ac:dyDescent="0.35">
      <c r="G8781" s="215">
        <v>8774</v>
      </c>
      <c r="H8781" s="16">
        <f t="shared" ca="1" si="145"/>
        <v>-9.2992632970119962E-2</v>
      </c>
    </row>
    <row r="8782" spans="7:8" x14ac:dyDescent="0.35">
      <c r="G8782" s="215">
        <v>8775</v>
      </c>
      <c r="H8782" s="16">
        <f t="shared" ca="1" si="145"/>
        <v>2.3403716166139382E-2</v>
      </c>
    </row>
    <row r="8783" spans="7:8" x14ac:dyDescent="0.35">
      <c r="G8783" s="215">
        <v>8776</v>
      </c>
      <c r="H8783" s="16">
        <f t="shared" ca="1" si="145"/>
        <v>-3.6277908569596576E-2</v>
      </c>
    </row>
    <row r="8784" spans="7:8" x14ac:dyDescent="0.35">
      <c r="G8784" s="215">
        <v>8777</v>
      </c>
      <c r="H8784" s="16">
        <f t="shared" ca="1" si="145"/>
        <v>2.4577297792040285E-2</v>
      </c>
    </row>
    <row r="8785" spans="7:8" x14ac:dyDescent="0.35">
      <c r="G8785" s="215">
        <v>8778</v>
      </c>
      <c r="H8785" s="16">
        <f t="shared" ca="1" si="145"/>
        <v>-6.3865046799337133E-2</v>
      </c>
    </row>
    <row r="8786" spans="7:8" x14ac:dyDescent="0.35">
      <c r="G8786" s="215">
        <v>8779</v>
      </c>
      <c r="H8786" s="16">
        <f t="shared" ca="1" si="145"/>
        <v>0.13535610098458717</v>
      </c>
    </row>
    <row r="8787" spans="7:8" x14ac:dyDescent="0.35">
      <c r="G8787" s="215">
        <v>8780</v>
      </c>
      <c r="H8787" s="16">
        <f t="shared" ca="1" si="145"/>
        <v>-5.4863141819926464E-2</v>
      </c>
    </row>
    <row r="8788" spans="7:8" x14ac:dyDescent="0.35">
      <c r="G8788" s="215">
        <v>8781</v>
      </c>
      <c r="H8788" s="16">
        <f t="shared" ca="1" si="145"/>
        <v>-6.8821043038649443E-2</v>
      </c>
    </row>
    <row r="8789" spans="7:8" x14ac:dyDescent="0.35">
      <c r="G8789" s="215">
        <v>8782</v>
      </c>
      <c r="H8789" s="16">
        <f t="shared" ca="1" si="145"/>
        <v>1.071543207598552E-2</v>
      </c>
    </row>
    <row r="8790" spans="7:8" x14ac:dyDescent="0.35">
      <c r="G8790" s="215">
        <v>8783</v>
      </c>
      <c r="H8790" s="16">
        <f t="shared" ca="1" si="145"/>
        <v>2.999082899459788E-2</v>
      </c>
    </row>
    <row r="8791" spans="7:8" x14ac:dyDescent="0.35">
      <c r="G8791" s="215">
        <v>8784</v>
      </c>
      <c r="H8791" s="16">
        <f t="shared" ca="1" si="145"/>
        <v>2.0661666687246061E-2</v>
      </c>
    </row>
    <row r="8792" spans="7:8" x14ac:dyDescent="0.35">
      <c r="G8792" s="215">
        <v>8785</v>
      </c>
      <c r="H8792" s="16">
        <f t="shared" ca="1" si="145"/>
        <v>1.1068966857648525E-3</v>
      </c>
    </row>
    <row r="8793" spans="7:8" x14ac:dyDescent="0.35">
      <c r="G8793" s="215">
        <v>8786</v>
      </c>
      <c r="H8793" s="16">
        <f t="shared" ca="1" si="145"/>
        <v>4.3495293306497519E-2</v>
      </c>
    </row>
    <row r="8794" spans="7:8" x14ac:dyDescent="0.35">
      <c r="G8794" s="215">
        <v>8787</v>
      </c>
      <c r="H8794" s="16">
        <f t="shared" ca="1" si="145"/>
        <v>-6.8210542668102211E-2</v>
      </c>
    </row>
    <row r="8795" spans="7:8" x14ac:dyDescent="0.35">
      <c r="G8795" s="215">
        <v>8788</v>
      </c>
      <c r="H8795" s="16">
        <f t="shared" ca="1" si="145"/>
        <v>-1.3919806178663841E-2</v>
      </c>
    </row>
    <row r="8796" spans="7:8" x14ac:dyDescent="0.35">
      <c r="G8796" s="215">
        <v>8789</v>
      </c>
      <c r="H8796" s="16">
        <f t="shared" ca="1" si="145"/>
        <v>-8.7106938450557975E-2</v>
      </c>
    </row>
    <row r="8797" spans="7:8" x14ac:dyDescent="0.35">
      <c r="G8797" s="215">
        <v>8790</v>
      </c>
      <c r="H8797" s="16">
        <f t="shared" ca="1" si="145"/>
        <v>0.15660992771185467</v>
      </c>
    </row>
    <row r="8798" spans="7:8" x14ac:dyDescent="0.35">
      <c r="G8798" s="215">
        <v>8791</v>
      </c>
      <c r="H8798" s="16">
        <f t="shared" ca="1" si="145"/>
        <v>5.1623912717301768E-2</v>
      </c>
    </row>
    <row r="8799" spans="7:8" x14ac:dyDescent="0.35">
      <c r="G8799" s="215">
        <v>8792</v>
      </c>
      <c r="H8799" s="16">
        <f t="shared" ca="1" si="145"/>
        <v>4.8019905410555438E-2</v>
      </c>
    </row>
    <row r="8800" spans="7:8" x14ac:dyDescent="0.35">
      <c r="G8800" s="215">
        <v>8793</v>
      </c>
      <c r="H8800" s="16">
        <f t="shared" ca="1" si="145"/>
        <v>-2.3392359282561451E-2</v>
      </c>
    </row>
    <row r="8801" spans="7:8" x14ac:dyDescent="0.35">
      <c r="G8801" s="215">
        <v>8794</v>
      </c>
      <c r="H8801" s="16">
        <f t="shared" ca="1" si="145"/>
        <v>-3.6358564978490826E-2</v>
      </c>
    </row>
    <row r="8802" spans="7:8" x14ac:dyDescent="0.35">
      <c r="G8802" s="215">
        <v>8795</v>
      </c>
      <c r="H8802" s="16">
        <f t="shared" ca="1" si="145"/>
        <v>-0.12672777137529348</v>
      </c>
    </row>
    <row r="8803" spans="7:8" x14ac:dyDescent="0.35">
      <c r="G8803" s="215">
        <v>8796</v>
      </c>
      <c r="H8803" s="16">
        <f t="shared" ca="1" si="145"/>
        <v>-3.8759248520634865E-2</v>
      </c>
    </row>
    <row r="8804" spans="7:8" x14ac:dyDescent="0.35">
      <c r="G8804" s="215">
        <v>8797</v>
      </c>
      <c r="H8804" s="16">
        <f t="shared" ca="1" si="145"/>
        <v>-0.13004817911292102</v>
      </c>
    </row>
    <row r="8805" spans="7:8" x14ac:dyDescent="0.35">
      <c r="G8805" s="215">
        <v>8798</v>
      </c>
      <c r="H8805" s="16">
        <f t="shared" ca="1" si="145"/>
        <v>-0.13546348504795483</v>
      </c>
    </row>
    <row r="8806" spans="7:8" x14ac:dyDescent="0.35">
      <c r="G8806" s="215">
        <v>8799</v>
      </c>
      <c r="H8806" s="16">
        <f t="shared" ca="1" si="145"/>
        <v>-2.1170076328716775E-2</v>
      </c>
    </row>
    <row r="8807" spans="7:8" x14ac:dyDescent="0.35">
      <c r="G8807" s="215">
        <v>8800</v>
      </c>
      <c r="H8807" s="16">
        <f t="shared" ca="1" si="145"/>
        <v>6.1985897710044355E-2</v>
      </c>
    </row>
    <row r="8808" spans="7:8" x14ac:dyDescent="0.35">
      <c r="G8808" s="215">
        <v>8801</v>
      </c>
      <c r="H8808" s="16">
        <f t="shared" ca="1" si="145"/>
        <v>-0.10105202245514347</v>
      </c>
    </row>
    <row r="8809" spans="7:8" x14ac:dyDescent="0.35">
      <c r="G8809" s="215">
        <v>8802</v>
      </c>
      <c r="H8809" s="16">
        <f t="shared" ca="1" si="145"/>
        <v>2.4890757366121081E-2</v>
      </c>
    </row>
    <row r="8810" spans="7:8" x14ac:dyDescent="0.35">
      <c r="G8810" s="215">
        <v>8803</v>
      </c>
      <c r="H8810" s="16">
        <f t="shared" ca="1" si="145"/>
        <v>-1.0010560133765511E-2</v>
      </c>
    </row>
    <row r="8811" spans="7:8" x14ac:dyDescent="0.35">
      <c r="G8811" s="215">
        <v>8804</v>
      </c>
      <c r="H8811" s="16">
        <f t="shared" ca="1" si="145"/>
        <v>5.5152756860462268E-2</v>
      </c>
    </row>
    <row r="8812" spans="7:8" x14ac:dyDescent="0.35">
      <c r="G8812" s="215">
        <v>8805</v>
      </c>
      <c r="H8812" s="16">
        <f t="shared" ca="1" si="145"/>
        <v>-4.0484246644346841E-2</v>
      </c>
    </row>
    <row r="8813" spans="7:8" x14ac:dyDescent="0.35">
      <c r="G8813" s="215">
        <v>8806</v>
      </c>
      <c r="H8813" s="16">
        <f t="shared" ca="1" si="145"/>
        <v>5.5155747932751548E-2</v>
      </c>
    </row>
    <row r="8814" spans="7:8" x14ac:dyDescent="0.35">
      <c r="G8814" s="215">
        <v>8807</v>
      </c>
      <c r="H8814" s="16">
        <f t="shared" ca="1" si="145"/>
        <v>-2.2002383969055374E-2</v>
      </c>
    </row>
    <row r="8815" spans="7:8" x14ac:dyDescent="0.35">
      <c r="G8815" s="215">
        <v>8808</v>
      </c>
      <c r="H8815" s="16">
        <f t="shared" ca="1" si="145"/>
        <v>-0.10169972999690015</v>
      </c>
    </row>
    <row r="8816" spans="7:8" x14ac:dyDescent="0.35">
      <c r="G8816" s="215">
        <v>8809</v>
      </c>
      <c r="H8816" s="16">
        <f t="shared" ca="1" si="145"/>
        <v>-2.3200343195221514E-2</v>
      </c>
    </row>
    <row r="8817" spans="7:8" x14ac:dyDescent="0.35">
      <c r="G8817" s="215">
        <v>8810</v>
      </c>
      <c r="H8817" s="16">
        <f t="shared" ca="1" si="145"/>
        <v>-2.9271212476911872E-2</v>
      </c>
    </row>
    <row r="8818" spans="7:8" x14ac:dyDescent="0.35">
      <c r="G8818" s="215">
        <v>8811</v>
      </c>
      <c r="H8818" s="16">
        <f t="shared" ca="1" si="145"/>
        <v>5.5760394449731474E-3</v>
      </c>
    </row>
    <row r="8819" spans="7:8" x14ac:dyDescent="0.35">
      <c r="G8819" s="215">
        <v>8812</v>
      </c>
      <c r="H8819" s="16">
        <f t="shared" ca="1" si="145"/>
        <v>8.3847619689099762E-2</v>
      </c>
    </row>
    <row r="8820" spans="7:8" x14ac:dyDescent="0.35">
      <c r="G8820" s="215">
        <v>8813</v>
      </c>
      <c r="H8820" s="16">
        <f t="shared" ca="1" si="145"/>
        <v>-6.5199114858828178E-2</v>
      </c>
    </row>
    <row r="8821" spans="7:8" x14ac:dyDescent="0.35">
      <c r="G8821" s="215">
        <v>8814</v>
      </c>
      <c r="H8821" s="16">
        <f t="shared" ca="1" si="145"/>
        <v>-3.2802370320350979E-2</v>
      </c>
    </row>
    <row r="8822" spans="7:8" x14ac:dyDescent="0.35">
      <c r="G8822" s="215">
        <v>8815</v>
      </c>
      <c r="H8822" s="16">
        <f t="shared" ca="1" si="145"/>
        <v>1.4799179637757905E-2</v>
      </c>
    </row>
    <row r="8823" spans="7:8" x14ac:dyDescent="0.35">
      <c r="G8823" s="215">
        <v>8816</v>
      </c>
      <c r="H8823" s="16">
        <f t="shared" ca="1" si="145"/>
        <v>2.7146220606454805E-2</v>
      </c>
    </row>
    <row r="8824" spans="7:8" x14ac:dyDescent="0.35">
      <c r="G8824" s="215">
        <v>8817</v>
      </c>
      <c r="H8824" s="16">
        <f t="shared" ca="1" si="145"/>
        <v>2.7485240720225894E-2</v>
      </c>
    </row>
    <row r="8825" spans="7:8" x14ac:dyDescent="0.35">
      <c r="G8825" s="215">
        <v>8818</v>
      </c>
      <c r="H8825" s="16">
        <f t="shared" ca="1" si="145"/>
        <v>-6.668145599451647E-2</v>
      </c>
    </row>
    <row r="8826" spans="7:8" x14ac:dyDescent="0.35">
      <c r="G8826" s="215">
        <v>8819</v>
      </c>
      <c r="H8826" s="16">
        <f t="shared" ca="1" si="145"/>
        <v>-9.2507991671818418E-3</v>
      </c>
    </row>
    <row r="8827" spans="7:8" x14ac:dyDescent="0.35">
      <c r="G8827" s="215">
        <v>8820</v>
      </c>
      <c r="H8827" s="16">
        <f t="shared" ca="1" si="145"/>
        <v>1.1721752807759427E-2</v>
      </c>
    </row>
    <row r="8828" spans="7:8" x14ac:dyDescent="0.35">
      <c r="G8828" s="215">
        <v>8821</v>
      </c>
      <c r="H8828" s="16">
        <f t="shared" ca="1" si="145"/>
        <v>-4.2961787436751719E-2</v>
      </c>
    </row>
    <row r="8829" spans="7:8" x14ac:dyDescent="0.35">
      <c r="G8829" s="215">
        <v>8822</v>
      </c>
      <c r="H8829" s="16">
        <f t="shared" ca="1" si="145"/>
        <v>9.187761423590235E-2</v>
      </c>
    </row>
    <row r="8830" spans="7:8" x14ac:dyDescent="0.35">
      <c r="G8830" s="215">
        <v>8823</v>
      </c>
      <c r="H8830" s="16">
        <f t="shared" ca="1" si="145"/>
        <v>-6.7351594178777618E-2</v>
      </c>
    </row>
    <row r="8831" spans="7:8" x14ac:dyDescent="0.35">
      <c r="G8831" s="215">
        <v>8824</v>
      </c>
      <c r="H8831" s="16">
        <f t="shared" ca="1" si="145"/>
        <v>7.585128484720563E-2</v>
      </c>
    </row>
    <row r="8832" spans="7:8" x14ac:dyDescent="0.35">
      <c r="G8832" s="215">
        <v>8825</v>
      </c>
      <c r="H8832" s="16">
        <f t="shared" ca="1" si="145"/>
        <v>0.18037923339522074</v>
      </c>
    </row>
    <row r="8833" spans="7:8" x14ac:dyDescent="0.35">
      <c r="G8833" s="215">
        <v>8826</v>
      </c>
      <c r="H8833" s="16">
        <f t="shared" ca="1" si="145"/>
        <v>-3.6709266406095273E-2</v>
      </c>
    </row>
    <row r="8834" spans="7:8" x14ac:dyDescent="0.35">
      <c r="G8834" s="215">
        <v>8827</v>
      </c>
      <c r="H8834" s="16">
        <f t="shared" ca="1" si="145"/>
        <v>0.13692877419095115</v>
      </c>
    </row>
    <row r="8835" spans="7:8" x14ac:dyDescent="0.35">
      <c r="G8835" s="215">
        <v>8828</v>
      </c>
      <c r="H8835" s="16">
        <f t="shared" ca="1" si="145"/>
        <v>-1.8657946518984073E-2</v>
      </c>
    </row>
    <row r="8836" spans="7:8" x14ac:dyDescent="0.35">
      <c r="G8836" s="215">
        <v>8829</v>
      </c>
      <c r="H8836" s="16">
        <f t="shared" ca="1" si="145"/>
        <v>3.9573454467854513E-2</v>
      </c>
    </row>
    <row r="8837" spans="7:8" x14ac:dyDescent="0.35">
      <c r="G8837" s="215">
        <v>8830</v>
      </c>
      <c r="H8837" s="16">
        <f t="shared" ca="1" si="145"/>
        <v>3.1343602886312424E-2</v>
      </c>
    </row>
    <row r="8838" spans="7:8" x14ac:dyDescent="0.35">
      <c r="G8838" s="215">
        <v>8831</v>
      </c>
      <c r="H8838" s="16">
        <f t="shared" ca="1" si="145"/>
        <v>8.1394119273874521E-2</v>
      </c>
    </row>
    <row r="8839" spans="7:8" x14ac:dyDescent="0.35">
      <c r="G8839" s="215">
        <v>8832</v>
      </c>
      <c r="H8839" s="16">
        <f t="shared" ca="1" si="145"/>
        <v>-3.313846620455492E-2</v>
      </c>
    </row>
    <row r="8840" spans="7:8" x14ac:dyDescent="0.35">
      <c r="G8840" s="215">
        <v>8833</v>
      </c>
      <c r="H8840" s="16">
        <f t="shared" ref="H8840:H8903" ca="1" si="146">_xlfn.NORM.INV(RAND(),M$10,M$11)</f>
        <v>0.15509177234015858</v>
      </c>
    </row>
    <row r="8841" spans="7:8" x14ac:dyDescent="0.35">
      <c r="G8841" s="215">
        <v>8834</v>
      </c>
      <c r="H8841" s="16">
        <f t="shared" ca="1" si="146"/>
        <v>5.9366040838164285E-3</v>
      </c>
    </row>
    <row r="8842" spans="7:8" x14ac:dyDescent="0.35">
      <c r="G8842" s="215">
        <v>8835</v>
      </c>
      <c r="H8842" s="16">
        <f t="shared" ca="1" si="146"/>
        <v>5.8852086346463175E-2</v>
      </c>
    </row>
    <row r="8843" spans="7:8" x14ac:dyDescent="0.35">
      <c r="G8843" s="215">
        <v>8836</v>
      </c>
      <c r="H8843" s="16">
        <f t="shared" ca="1" si="146"/>
        <v>-1.4168507387878337E-2</v>
      </c>
    </row>
    <row r="8844" spans="7:8" x14ac:dyDescent="0.35">
      <c r="G8844" s="215">
        <v>8837</v>
      </c>
      <c r="H8844" s="16">
        <f t="shared" ca="1" si="146"/>
        <v>-8.5228314667397664E-2</v>
      </c>
    </row>
    <row r="8845" spans="7:8" x14ac:dyDescent="0.35">
      <c r="G8845" s="215">
        <v>8838</v>
      </c>
      <c r="H8845" s="16">
        <f t="shared" ca="1" si="146"/>
        <v>-1.6499190734720507E-2</v>
      </c>
    </row>
    <row r="8846" spans="7:8" x14ac:dyDescent="0.35">
      <c r="G8846" s="215">
        <v>8839</v>
      </c>
      <c r="H8846" s="16">
        <f t="shared" ca="1" si="146"/>
        <v>1.5972143378101614E-2</v>
      </c>
    </row>
    <row r="8847" spans="7:8" x14ac:dyDescent="0.35">
      <c r="G8847" s="215">
        <v>8840</v>
      </c>
      <c r="H8847" s="16">
        <f t="shared" ca="1" si="146"/>
        <v>7.5905758720574812E-2</v>
      </c>
    </row>
    <row r="8848" spans="7:8" x14ac:dyDescent="0.35">
      <c r="G8848" s="215">
        <v>8841</v>
      </c>
      <c r="H8848" s="16">
        <f t="shared" ca="1" si="146"/>
        <v>9.169243830176059E-2</v>
      </c>
    </row>
    <row r="8849" spans="7:8" x14ac:dyDescent="0.35">
      <c r="G8849" s="215">
        <v>8842</v>
      </c>
      <c r="H8849" s="16">
        <f t="shared" ca="1" si="146"/>
        <v>-8.6470660045063846E-2</v>
      </c>
    </row>
    <row r="8850" spans="7:8" x14ac:dyDescent="0.35">
      <c r="G8850" s="215">
        <v>8843</v>
      </c>
      <c r="H8850" s="16">
        <f t="shared" ca="1" si="146"/>
        <v>3.101517577545532E-2</v>
      </c>
    </row>
    <row r="8851" spans="7:8" x14ac:dyDescent="0.35">
      <c r="G8851" s="215">
        <v>8844</v>
      </c>
      <c r="H8851" s="16">
        <f t="shared" ca="1" si="146"/>
        <v>-1.5372636281823841E-2</v>
      </c>
    </row>
    <row r="8852" spans="7:8" x14ac:dyDescent="0.35">
      <c r="G8852" s="215">
        <v>8845</v>
      </c>
      <c r="H8852" s="16">
        <f t="shared" ca="1" si="146"/>
        <v>-0.11332890592367179</v>
      </c>
    </row>
    <row r="8853" spans="7:8" x14ac:dyDescent="0.35">
      <c r="G8853" s="215">
        <v>8846</v>
      </c>
      <c r="H8853" s="16">
        <f t="shared" ca="1" si="146"/>
        <v>-4.3150080989128758E-2</v>
      </c>
    </row>
    <row r="8854" spans="7:8" x14ac:dyDescent="0.35">
      <c r="G8854" s="215">
        <v>8847</v>
      </c>
      <c r="H8854" s="16">
        <f t="shared" ca="1" si="146"/>
        <v>2.3878819366958674E-2</v>
      </c>
    </row>
    <row r="8855" spans="7:8" x14ac:dyDescent="0.35">
      <c r="G8855" s="215">
        <v>8848</v>
      </c>
      <c r="H8855" s="16">
        <f t="shared" ca="1" si="146"/>
        <v>3.1676043158394729E-2</v>
      </c>
    </row>
    <row r="8856" spans="7:8" x14ac:dyDescent="0.35">
      <c r="G8856" s="215">
        <v>8849</v>
      </c>
      <c r="H8856" s="16">
        <f t="shared" ca="1" si="146"/>
        <v>3.9175713571118764E-2</v>
      </c>
    </row>
    <row r="8857" spans="7:8" x14ac:dyDescent="0.35">
      <c r="G8857" s="215">
        <v>8850</v>
      </c>
      <c r="H8857" s="16">
        <f t="shared" ca="1" si="146"/>
        <v>9.219886458770947E-2</v>
      </c>
    </row>
    <row r="8858" spans="7:8" x14ac:dyDescent="0.35">
      <c r="G8858" s="215">
        <v>8851</v>
      </c>
      <c r="H8858" s="16">
        <f t="shared" ca="1" si="146"/>
        <v>0.12198537582080725</v>
      </c>
    </row>
    <row r="8859" spans="7:8" x14ac:dyDescent="0.35">
      <c r="G8859" s="215">
        <v>8852</v>
      </c>
      <c r="H8859" s="16">
        <f t="shared" ca="1" si="146"/>
        <v>0.11031909828148453</v>
      </c>
    </row>
    <row r="8860" spans="7:8" x14ac:dyDescent="0.35">
      <c r="G8860" s="215">
        <v>8853</v>
      </c>
      <c r="H8860" s="16">
        <f t="shared" ca="1" si="146"/>
        <v>3.8000390628583139E-2</v>
      </c>
    </row>
    <row r="8861" spans="7:8" x14ac:dyDescent="0.35">
      <c r="G8861" s="215">
        <v>8854</v>
      </c>
      <c r="H8861" s="16">
        <f t="shared" ca="1" si="146"/>
        <v>5.2449647237877373E-2</v>
      </c>
    </row>
    <row r="8862" spans="7:8" x14ac:dyDescent="0.35">
      <c r="G8862" s="215">
        <v>8855</v>
      </c>
      <c r="H8862" s="16">
        <f t="shared" ca="1" si="146"/>
        <v>5.8035823201969483E-2</v>
      </c>
    </row>
    <row r="8863" spans="7:8" x14ac:dyDescent="0.35">
      <c r="G8863" s="215">
        <v>8856</v>
      </c>
      <c r="H8863" s="16">
        <f t="shared" ca="1" si="146"/>
        <v>4.914130890905706E-2</v>
      </c>
    </row>
    <row r="8864" spans="7:8" x14ac:dyDescent="0.35">
      <c r="G8864" s="215">
        <v>8857</v>
      </c>
      <c r="H8864" s="16">
        <f t="shared" ca="1" si="146"/>
        <v>8.4160015857184349E-3</v>
      </c>
    </row>
    <row r="8865" spans="7:8" x14ac:dyDescent="0.35">
      <c r="G8865" s="215">
        <v>8858</v>
      </c>
      <c r="H8865" s="16">
        <f t="shared" ca="1" si="146"/>
        <v>6.0084355812476203E-2</v>
      </c>
    </row>
    <row r="8866" spans="7:8" x14ac:dyDescent="0.35">
      <c r="G8866" s="215">
        <v>8859</v>
      </c>
      <c r="H8866" s="16">
        <f t="shared" ca="1" si="146"/>
        <v>-2.9376511992926253E-2</v>
      </c>
    </row>
    <row r="8867" spans="7:8" x14ac:dyDescent="0.35">
      <c r="G8867" s="215">
        <v>8860</v>
      </c>
      <c r="H8867" s="16">
        <f t="shared" ca="1" si="146"/>
        <v>3.0519326975114256E-2</v>
      </c>
    </row>
    <row r="8868" spans="7:8" x14ac:dyDescent="0.35">
      <c r="G8868" s="215">
        <v>8861</v>
      </c>
      <c r="H8868" s="16">
        <f t="shared" ca="1" si="146"/>
        <v>0.10551186809861426</v>
      </c>
    </row>
    <row r="8869" spans="7:8" x14ac:dyDescent="0.35">
      <c r="G8869" s="215">
        <v>8862</v>
      </c>
      <c r="H8869" s="16">
        <f t="shared" ca="1" si="146"/>
        <v>9.2282468369685525E-2</v>
      </c>
    </row>
    <row r="8870" spans="7:8" x14ac:dyDescent="0.35">
      <c r="G8870" s="215">
        <v>8863</v>
      </c>
      <c r="H8870" s="16">
        <f t="shared" ca="1" si="146"/>
        <v>5.7281166185660981E-2</v>
      </c>
    </row>
    <row r="8871" spans="7:8" x14ac:dyDescent="0.35">
      <c r="G8871" s="215">
        <v>8864</v>
      </c>
      <c r="H8871" s="16">
        <f t="shared" ca="1" si="146"/>
        <v>-9.9961034499022453E-2</v>
      </c>
    </row>
    <row r="8872" spans="7:8" x14ac:dyDescent="0.35">
      <c r="G8872" s="215">
        <v>8865</v>
      </c>
      <c r="H8872" s="16">
        <f t="shared" ca="1" si="146"/>
        <v>2.3992799234093296E-2</v>
      </c>
    </row>
    <row r="8873" spans="7:8" x14ac:dyDescent="0.35">
      <c r="G8873" s="215">
        <v>8866</v>
      </c>
      <c r="H8873" s="16">
        <f t="shared" ca="1" si="146"/>
        <v>-0.16234218091176766</v>
      </c>
    </row>
    <row r="8874" spans="7:8" x14ac:dyDescent="0.35">
      <c r="G8874" s="215">
        <v>8867</v>
      </c>
      <c r="H8874" s="16">
        <f t="shared" ca="1" si="146"/>
        <v>7.3502719672307482E-2</v>
      </c>
    </row>
    <row r="8875" spans="7:8" x14ac:dyDescent="0.35">
      <c r="G8875" s="215">
        <v>8868</v>
      </c>
      <c r="H8875" s="16">
        <f t="shared" ca="1" si="146"/>
        <v>0.14633240661322755</v>
      </c>
    </row>
    <row r="8876" spans="7:8" x14ac:dyDescent="0.35">
      <c r="G8876" s="215">
        <v>8869</v>
      </c>
      <c r="H8876" s="16">
        <f t="shared" ca="1" si="146"/>
        <v>1.9435938942002771E-2</v>
      </c>
    </row>
    <row r="8877" spans="7:8" x14ac:dyDescent="0.35">
      <c r="G8877" s="215">
        <v>8870</v>
      </c>
      <c r="H8877" s="16">
        <f t="shared" ca="1" si="146"/>
        <v>6.8225141346400509E-2</v>
      </c>
    </row>
    <row r="8878" spans="7:8" x14ac:dyDescent="0.35">
      <c r="G8878" s="215">
        <v>8871</v>
      </c>
      <c r="H8878" s="16">
        <f t="shared" ca="1" si="146"/>
        <v>2.8280724371966277E-2</v>
      </c>
    </row>
    <row r="8879" spans="7:8" x14ac:dyDescent="0.35">
      <c r="G8879" s="215">
        <v>8872</v>
      </c>
      <c r="H8879" s="16">
        <f t="shared" ca="1" si="146"/>
        <v>0.10464829885874934</v>
      </c>
    </row>
    <row r="8880" spans="7:8" x14ac:dyDescent="0.35">
      <c r="G8880" s="215">
        <v>8873</v>
      </c>
      <c r="H8880" s="16">
        <f t="shared" ca="1" si="146"/>
        <v>-1.0651620339381898E-2</v>
      </c>
    </row>
    <row r="8881" spans="7:8" x14ac:dyDescent="0.35">
      <c r="G8881" s="215">
        <v>8874</v>
      </c>
      <c r="H8881" s="16">
        <f t="shared" ca="1" si="146"/>
        <v>-0.11461764179470518</v>
      </c>
    </row>
    <row r="8882" spans="7:8" x14ac:dyDescent="0.35">
      <c r="G8882" s="215">
        <v>8875</v>
      </c>
      <c r="H8882" s="16">
        <f t="shared" ca="1" si="146"/>
        <v>0.11935009171461812</v>
      </c>
    </row>
    <row r="8883" spans="7:8" x14ac:dyDescent="0.35">
      <c r="G8883" s="215">
        <v>8876</v>
      </c>
      <c r="H8883" s="16">
        <f t="shared" ca="1" si="146"/>
        <v>4.9451417664715225E-2</v>
      </c>
    </row>
    <row r="8884" spans="7:8" x14ac:dyDescent="0.35">
      <c r="G8884" s="215">
        <v>8877</v>
      </c>
      <c r="H8884" s="16">
        <f t="shared" ca="1" si="146"/>
        <v>8.4774272389131503E-2</v>
      </c>
    </row>
    <row r="8885" spans="7:8" x14ac:dyDescent="0.35">
      <c r="G8885" s="215">
        <v>8878</v>
      </c>
      <c r="H8885" s="16">
        <f t="shared" ca="1" si="146"/>
        <v>5.871133555176164E-2</v>
      </c>
    </row>
    <row r="8886" spans="7:8" x14ac:dyDescent="0.35">
      <c r="G8886" s="215">
        <v>8879</v>
      </c>
      <c r="H8886" s="16">
        <f t="shared" ca="1" si="146"/>
        <v>-8.7924940435468113E-2</v>
      </c>
    </row>
    <row r="8887" spans="7:8" x14ac:dyDescent="0.35">
      <c r="G8887" s="215">
        <v>8880</v>
      </c>
      <c r="H8887" s="16">
        <f t="shared" ca="1" si="146"/>
        <v>-5.9638443507470509E-2</v>
      </c>
    </row>
    <row r="8888" spans="7:8" x14ac:dyDescent="0.35">
      <c r="G8888" s="215">
        <v>8881</v>
      </c>
      <c r="H8888" s="16">
        <f t="shared" ca="1" si="146"/>
        <v>-9.9945368452436609E-2</v>
      </c>
    </row>
    <row r="8889" spans="7:8" x14ac:dyDescent="0.35">
      <c r="G8889" s="215">
        <v>8882</v>
      </c>
      <c r="H8889" s="16">
        <f t="shared" ca="1" si="146"/>
        <v>-2.7211106652323038E-2</v>
      </c>
    </row>
    <row r="8890" spans="7:8" x14ac:dyDescent="0.35">
      <c r="G8890" s="215">
        <v>8883</v>
      </c>
      <c r="H8890" s="16">
        <f t="shared" ca="1" si="146"/>
        <v>-5.2142424842660157E-2</v>
      </c>
    </row>
    <row r="8891" spans="7:8" x14ac:dyDescent="0.35">
      <c r="G8891" s="215">
        <v>8884</v>
      </c>
      <c r="H8891" s="16">
        <f t="shared" ca="1" si="146"/>
        <v>0.13104743540964578</v>
      </c>
    </row>
    <row r="8892" spans="7:8" x14ac:dyDescent="0.35">
      <c r="G8892" s="215">
        <v>8885</v>
      </c>
      <c r="H8892" s="16">
        <f t="shared" ca="1" si="146"/>
        <v>-1.8093772769157059E-2</v>
      </c>
    </row>
    <row r="8893" spans="7:8" x14ac:dyDescent="0.35">
      <c r="G8893" s="215">
        <v>8886</v>
      </c>
      <c r="H8893" s="16">
        <f t="shared" ca="1" si="146"/>
        <v>4.530578065766544E-2</v>
      </c>
    </row>
    <row r="8894" spans="7:8" x14ac:dyDescent="0.35">
      <c r="G8894" s="215">
        <v>8887</v>
      </c>
      <c r="H8894" s="16">
        <f t="shared" ca="1" si="146"/>
        <v>-7.7246623014223026E-2</v>
      </c>
    </row>
    <row r="8895" spans="7:8" x14ac:dyDescent="0.35">
      <c r="G8895" s="215">
        <v>8888</v>
      </c>
      <c r="H8895" s="16">
        <f t="shared" ca="1" si="146"/>
        <v>0.11973337927898066</v>
      </c>
    </row>
    <row r="8896" spans="7:8" x14ac:dyDescent="0.35">
      <c r="G8896" s="215">
        <v>8889</v>
      </c>
      <c r="H8896" s="16">
        <f t="shared" ca="1" si="146"/>
        <v>0.14415340002754831</v>
      </c>
    </row>
    <row r="8897" spans="7:8" x14ac:dyDescent="0.35">
      <c r="G8897" s="215">
        <v>8890</v>
      </c>
      <c r="H8897" s="16">
        <f t="shared" ca="1" si="146"/>
        <v>3.2333312521020889E-2</v>
      </c>
    </row>
    <row r="8898" spans="7:8" x14ac:dyDescent="0.35">
      <c r="G8898" s="215">
        <v>8891</v>
      </c>
      <c r="H8898" s="16">
        <f t="shared" ca="1" si="146"/>
        <v>7.5482001316402508E-2</v>
      </c>
    </row>
    <row r="8899" spans="7:8" x14ac:dyDescent="0.35">
      <c r="G8899" s="215">
        <v>8892</v>
      </c>
      <c r="H8899" s="16">
        <f t="shared" ca="1" si="146"/>
        <v>6.9322263295166525E-2</v>
      </c>
    </row>
    <row r="8900" spans="7:8" x14ac:dyDescent="0.35">
      <c r="G8900" s="215">
        <v>8893</v>
      </c>
      <c r="H8900" s="16">
        <f t="shared" ca="1" si="146"/>
        <v>-1.0055924861188236E-2</v>
      </c>
    </row>
    <row r="8901" spans="7:8" x14ac:dyDescent="0.35">
      <c r="G8901" s="215">
        <v>8894</v>
      </c>
      <c r="H8901" s="16">
        <f t="shared" ca="1" si="146"/>
        <v>4.4853005561507425E-2</v>
      </c>
    </row>
    <row r="8902" spans="7:8" x14ac:dyDescent="0.35">
      <c r="G8902" s="215">
        <v>8895</v>
      </c>
      <c r="H8902" s="16">
        <f t="shared" ca="1" si="146"/>
        <v>5.8424450231426825E-2</v>
      </c>
    </row>
    <row r="8903" spans="7:8" x14ac:dyDescent="0.35">
      <c r="G8903" s="215">
        <v>8896</v>
      </c>
      <c r="H8903" s="16">
        <f t="shared" ca="1" si="146"/>
        <v>-2.6050356705010495E-2</v>
      </c>
    </row>
    <row r="8904" spans="7:8" x14ac:dyDescent="0.35">
      <c r="G8904" s="215">
        <v>8897</v>
      </c>
      <c r="H8904" s="16">
        <f t="shared" ref="H8904:H8967" ca="1" si="147">_xlfn.NORM.INV(RAND(),M$10,M$11)</f>
        <v>-2.2394519187914862E-2</v>
      </c>
    </row>
    <row r="8905" spans="7:8" x14ac:dyDescent="0.35">
      <c r="G8905" s="215">
        <v>8898</v>
      </c>
      <c r="H8905" s="16">
        <f t="shared" ca="1" si="147"/>
        <v>-9.7160478563761865E-2</v>
      </c>
    </row>
    <row r="8906" spans="7:8" x14ac:dyDescent="0.35">
      <c r="G8906" s="215">
        <v>8899</v>
      </c>
      <c r="H8906" s="16">
        <f t="shared" ca="1" si="147"/>
        <v>4.8690894064339893E-2</v>
      </c>
    </row>
    <row r="8907" spans="7:8" x14ac:dyDescent="0.35">
      <c r="G8907" s="215">
        <v>8900</v>
      </c>
      <c r="H8907" s="16">
        <f t="shared" ca="1" si="147"/>
        <v>-2.0816137980138174E-2</v>
      </c>
    </row>
    <row r="8908" spans="7:8" x14ac:dyDescent="0.35">
      <c r="G8908" s="215">
        <v>8901</v>
      </c>
      <c r="H8908" s="16">
        <f t="shared" ca="1" si="147"/>
        <v>-5.7847307921374512E-3</v>
      </c>
    </row>
    <row r="8909" spans="7:8" x14ac:dyDescent="0.35">
      <c r="G8909" s="215">
        <v>8902</v>
      </c>
      <c r="H8909" s="16">
        <f t="shared" ca="1" si="147"/>
        <v>-2.3455181208192916E-2</v>
      </c>
    </row>
    <row r="8910" spans="7:8" x14ac:dyDescent="0.35">
      <c r="G8910" s="215">
        <v>8903</v>
      </c>
      <c r="H8910" s="16">
        <f t="shared" ca="1" si="147"/>
        <v>-2.4220564222404279E-2</v>
      </c>
    </row>
    <row r="8911" spans="7:8" x14ac:dyDescent="0.35">
      <c r="G8911" s="215">
        <v>8904</v>
      </c>
      <c r="H8911" s="16">
        <f t="shared" ca="1" si="147"/>
        <v>4.7087776507023879E-2</v>
      </c>
    </row>
    <row r="8912" spans="7:8" x14ac:dyDescent="0.35">
      <c r="G8912" s="215">
        <v>8905</v>
      </c>
      <c r="H8912" s="16">
        <f t="shared" ca="1" si="147"/>
        <v>-7.1760101278591726E-2</v>
      </c>
    </row>
    <row r="8913" spans="7:8" x14ac:dyDescent="0.35">
      <c r="G8913" s="215">
        <v>8906</v>
      </c>
      <c r="H8913" s="16">
        <f t="shared" ca="1" si="147"/>
        <v>4.647095162831047E-2</v>
      </c>
    </row>
    <row r="8914" spans="7:8" x14ac:dyDescent="0.35">
      <c r="G8914" s="215">
        <v>8907</v>
      </c>
      <c r="H8914" s="16">
        <f t="shared" ca="1" si="147"/>
        <v>0.16709403300367096</v>
      </c>
    </row>
    <row r="8915" spans="7:8" x14ac:dyDescent="0.35">
      <c r="G8915" s="215">
        <v>8908</v>
      </c>
      <c r="H8915" s="16">
        <f t="shared" ca="1" si="147"/>
        <v>8.2679023401251037E-2</v>
      </c>
    </row>
    <row r="8916" spans="7:8" x14ac:dyDescent="0.35">
      <c r="G8916" s="215">
        <v>8909</v>
      </c>
      <c r="H8916" s="16">
        <f t="shared" ca="1" si="147"/>
        <v>1.674820374980035E-2</v>
      </c>
    </row>
    <row r="8917" spans="7:8" x14ac:dyDescent="0.35">
      <c r="G8917" s="215">
        <v>8910</v>
      </c>
      <c r="H8917" s="16">
        <f t="shared" ca="1" si="147"/>
        <v>8.0008091653032673E-2</v>
      </c>
    </row>
    <row r="8918" spans="7:8" x14ac:dyDescent="0.35">
      <c r="G8918" s="215">
        <v>8911</v>
      </c>
      <c r="H8918" s="16">
        <f t="shared" ca="1" si="147"/>
        <v>-0.10035523330638126</v>
      </c>
    </row>
    <row r="8919" spans="7:8" x14ac:dyDescent="0.35">
      <c r="G8919" s="215">
        <v>8912</v>
      </c>
      <c r="H8919" s="16">
        <f t="shared" ca="1" si="147"/>
        <v>1.4699948244451401E-2</v>
      </c>
    </row>
    <row r="8920" spans="7:8" x14ac:dyDescent="0.35">
      <c r="G8920" s="215">
        <v>8913</v>
      </c>
      <c r="H8920" s="16">
        <f t="shared" ca="1" si="147"/>
        <v>-4.1073522000746224E-2</v>
      </c>
    </row>
    <row r="8921" spans="7:8" x14ac:dyDescent="0.35">
      <c r="G8921" s="215">
        <v>8914</v>
      </c>
      <c r="H8921" s="16">
        <f t="shared" ca="1" si="147"/>
        <v>-9.546796777069734E-2</v>
      </c>
    </row>
    <row r="8922" spans="7:8" x14ac:dyDescent="0.35">
      <c r="G8922" s="215">
        <v>8915</v>
      </c>
      <c r="H8922" s="16">
        <f t="shared" ca="1" si="147"/>
        <v>4.1544351212056733E-2</v>
      </c>
    </row>
    <row r="8923" spans="7:8" x14ac:dyDescent="0.35">
      <c r="G8923" s="215">
        <v>8916</v>
      </c>
      <c r="H8923" s="16">
        <f t="shared" ca="1" si="147"/>
        <v>0.17730834702513656</v>
      </c>
    </row>
    <row r="8924" spans="7:8" x14ac:dyDescent="0.35">
      <c r="G8924" s="215">
        <v>8917</v>
      </c>
      <c r="H8924" s="16">
        <f t="shared" ca="1" si="147"/>
        <v>5.612568401660749E-3</v>
      </c>
    </row>
    <row r="8925" spans="7:8" x14ac:dyDescent="0.35">
      <c r="G8925" s="215">
        <v>8918</v>
      </c>
      <c r="H8925" s="16">
        <f t="shared" ca="1" si="147"/>
        <v>-4.0266269579496389E-2</v>
      </c>
    </row>
    <row r="8926" spans="7:8" x14ac:dyDescent="0.35">
      <c r="G8926" s="215">
        <v>8919</v>
      </c>
      <c r="H8926" s="16">
        <f t="shared" ca="1" si="147"/>
        <v>-1.2588385769198639E-2</v>
      </c>
    </row>
    <row r="8927" spans="7:8" x14ac:dyDescent="0.35">
      <c r="G8927" s="215">
        <v>8920</v>
      </c>
      <c r="H8927" s="16">
        <f t="shared" ca="1" si="147"/>
        <v>4.7076847484121082E-2</v>
      </c>
    </row>
    <row r="8928" spans="7:8" x14ac:dyDescent="0.35">
      <c r="G8928" s="215">
        <v>8921</v>
      </c>
      <c r="H8928" s="16">
        <f t="shared" ca="1" si="147"/>
        <v>-8.6509283809366559E-3</v>
      </c>
    </row>
    <row r="8929" spans="7:8" x14ac:dyDescent="0.35">
      <c r="G8929" s="215">
        <v>8922</v>
      </c>
      <c r="H8929" s="16">
        <f t="shared" ca="1" si="147"/>
        <v>-1.3979934128988427E-2</v>
      </c>
    </row>
    <row r="8930" spans="7:8" x14ac:dyDescent="0.35">
      <c r="G8930" s="215">
        <v>8923</v>
      </c>
      <c r="H8930" s="16">
        <f t="shared" ca="1" si="147"/>
        <v>-1.136711141822086E-2</v>
      </c>
    </row>
    <row r="8931" spans="7:8" x14ac:dyDescent="0.35">
      <c r="G8931" s="215">
        <v>8924</v>
      </c>
      <c r="H8931" s="16">
        <f t="shared" ca="1" si="147"/>
        <v>-1.9880867567975993E-2</v>
      </c>
    </row>
    <row r="8932" spans="7:8" x14ac:dyDescent="0.35">
      <c r="G8932" s="215">
        <v>8925</v>
      </c>
      <c r="H8932" s="16">
        <f t="shared" ca="1" si="147"/>
        <v>6.9579969863719053E-3</v>
      </c>
    </row>
    <row r="8933" spans="7:8" x14ac:dyDescent="0.35">
      <c r="G8933" s="215">
        <v>8926</v>
      </c>
      <c r="H8933" s="16">
        <f t="shared" ca="1" si="147"/>
        <v>0.15465323284772722</v>
      </c>
    </row>
    <row r="8934" spans="7:8" x14ac:dyDescent="0.35">
      <c r="G8934" s="215">
        <v>8927</v>
      </c>
      <c r="H8934" s="16">
        <f t="shared" ca="1" si="147"/>
        <v>6.3262943169210134E-2</v>
      </c>
    </row>
    <row r="8935" spans="7:8" x14ac:dyDescent="0.35">
      <c r="G8935" s="215">
        <v>8928</v>
      </c>
      <c r="H8935" s="16">
        <f t="shared" ca="1" si="147"/>
        <v>9.8893928541959608E-2</v>
      </c>
    </row>
    <row r="8936" spans="7:8" x14ac:dyDescent="0.35">
      <c r="G8936" s="215">
        <v>8929</v>
      </c>
      <c r="H8936" s="16">
        <f t="shared" ca="1" si="147"/>
        <v>7.0143178024466126E-3</v>
      </c>
    </row>
    <row r="8937" spans="7:8" x14ac:dyDescent="0.35">
      <c r="G8937" s="215">
        <v>8930</v>
      </c>
      <c r="H8937" s="16">
        <f t="shared" ca="1" si="147"/>
        <v>-3.2812000310302403E-2</v>
      </c>
    </row>
    <row r="8938" spans="7:8" x14ac:dyDescent="0.35">
      <c r="G8938" s="215">
        <v>8931</v>
      </c>
      <c r="H8938" s="16">
        <f t="shared" ca="1" si="147"/>
        <v>-6.2022830077297142E-2</v>
      </c>
    </row>
    <row r="8939" spans="7:8" x14ac:dyDescent="0.35">
      <c r="G8939" s="215">
        <v>8932</v>
      </c>
      <c r="H8939" s="16">
        <f t="shared" ca="1" si="147"/>
        <v>-0.15810996919374637</v>
      </c>
    </row>
    <row r="8940" spans="7:8" x14ac:dyDescent="0.35">
      <c r="G8940" s="215">
        <v>8933</v>
      </c>
      <c r="H8940" s="16">
        <f t="shared" ca="1" si="147"/>
        <v>-2.3358341413323557E-2</v>
      </c>
    </row>
    <row r="8941" spans="7:8" x14ac:dyDescent="0.35">
      <c r="G8941" s="215">
        <v>8934</v>
      </c>
      <c r="H8941" s="16">
        <f t="shared" ca="1" si="147"/>
        <v>0.12310392566122363</v>
      </c>
    </row>
    <row r="8942" spans="7:8" x14ac:dyDescent="0.35">
      <c r="G8942" s="215">
        <v>8935</v>
      </c>
      <c r="H8942" s="16">
        <f t="shared" ca="1" si="147"/>
        <v>0.17953980880944487</v>
      </c>
    </row>
    <row r="8943" spans="7:8" x14ac:dyDescent="0.35">
      <c r="G8943" s="215">
        <v>8936</v>
      </c>
      <c r="H8943" s="16">
        <f t="shared" ca="1" si="147"/>
        <v>1.2715078269604375E-3</v>
      </c>
    </row>
    <row r="8944" spans="7:8" x14ac:dyDescent="0.35">
      <c r="G8944" s="215">
        <v>8937</v>
      </c>
      <c r="H8944" s="16">
        <f t="shared" ca="1" si="147"/>
        <v>1.8096542289724463E-2</v>
      </c>
    </row>
    <row r="8945" spans="7:8" x14ac:dyDescent="0.35">
      <c r="G8945" s="215">
        <v>8938</v>
      </c>
      <c r="H8945" s="16">
        <f t="shared" ca="1" si="147"/>
        <v>-3.6988767950041926E-2</v>
      </c>
    </row>
    <row r="8946" spans="7:8" x14ac:dyDescent="0.35">
      <c r="G8946" s="215">
        <v>8939</v>
      </c>
      <c r="H8946" s="16">
        <f t="shared" ca="1" si="147"/>
        <v>5.4239808669393E-2</v>
      </c>
    </row>
    <row r="8947" spans="7:8" x14ac:dyDescent="0.35">
      <c r="G8947" s="215">
        <v>8940</v>
      </c>
      <c r="H8947" s="16">
        <f t="shared" ca="1" si="147"/>
        <v>0.1122063833324688</v>
      </c>
    </row>
    <row r="8948" spans="7:8" x14ac:dyDescent="0.35">
      <c r="G8948" s="215">
        <v>8941</v>
      </c>
      <c r="H8948" s="16">
        <f t="shared" ca="1" si="147"/>
        <v>-7.3220643705180569E-2</v>
      </c>
    </row>
    <row r="8949" spans="7:8" x14ac:dyDescent="0.35">
      <c r="G8949" s="215">
        <v>8942</v>
      </c>
      <c r="H8949" s="16">
        <f t="shared" ca="1" si="147"/>
        <v>1.546583080116606E-2</v>
      </c>
    </row>
    <row r="8950" spans="7:8" x14ac:dyDescent="0.35">
      <c r="G8950" s="215">
        <v>8943</v>
      </c>
      <c r="H8950" s="16">
        <f t="shared" ca="1" si="147"/>
        <v>0.11494287879073051</v>
      </c>
    </row>
    <row r="8951" spans="7:8" x14ac:dyDescent="0.35">
      <c r="G8951" s="215">
        <v>8944</v>
      </c>
      <c r="H8951" s="16">
        <f t="shared" ca="1" si="147"/>
        <v>-9.3898405742943655E-4</v>
      </c>
    </row>
    <row r="8952" spans="7:8" x14ac:dyDescent="0.35">
      <c r="G8952" s="215">
        <v>8945</v>
      </c>
      <c r="H8952" s="16">
        <f t="shared" ca="1" si="147"/>
        <v>-3.9716409506484231E-3</v>
      </c>
    </row>
    <row r="8953" spans="7:8" x14ac:dyDescent="0.35">
      <c r="G8953" s="215">
        <v>8946</v>
      </c>
      <c r="H8953" s="16">
        <f t="shared" ca="1" si="147"/>
        <v>2.8209575095215021E-2</v>
      </c>
    </row>
    <row r="8954" spans="7:8" x14ac:dyDescent="0.35">
      <c r="G8954" s="215">
        <v>8947</v>
      </c>
      <c r="H8954" s="16">
        <f t="shared" ca="1" si="147"/>
        <v>1.5363622516626417E-2</v>
      </c>
    </row>
    <row r="8955" spans="7:8" x14ac:dyDescent="0.35">
      <c r="G8955" s="215">
        <v>8948</v>
      </c>
      <c r="H8955" s="16">
        <f t="shared" ca="1" si="147"/>
        <v>3.4100087033850271E-2</v>
      </c>
    </row>
    <row r="8956" spans="7:8" x14ac:dyDescent="0.35">
      <c r="G8956" s="215">
        <v>8949</v>
      </c>
      <c r="H8956" s="16">
        <f t="shared" ca="1" si="147"/>
        <v>-2.4118762927670772E-2</v>
      </c>
    </row>
    <row r="8957" spans="7:8" x14ac:dyDescent="0.35">
      <c r="G8957" s="215">
        <v>8950</v>
      </c>
      <c r="H8957" s="16">
        <f t="shared" ca="1" si="147"/>
        <v>9.6837846541392908E-2</v>
      </c>
    </row>
    <row r="8958" spans="7:8" x14ac:dyDescent="0.35">
      <c r="G8958" s="215">
        <v>8951</v>
      </c>
      <c r="H8958" s="16">
        <f t="shared" ca="1" si="147"/>
        <v>8.4035093805689947E-3</v>
      </c>
    </row>
    <row r="8959" spans="7:8" x14ac:dyDescent="0.35">
      <c r="G8959" s="215">
        <v>8952</v>
      </c>
      <c r="H8959" s="16">
        <f t="shared" ca="1" si="147"/>
        <v>-6.5021690102804702E-2</v>
      </c>
    </row>
    <row r="8960" spans="7:8" x14ac:dyDescent="0.35">
      <c r="G8960" s="215">
        <v>8953</v>
      </c>
      <c r="H8960" s="16">
        <f t="shared" ca="1" si="147"/>
        <v>0.14768510050140721</v>
      </c>
    </row>
    <row r="8961" spans="7:8" x14ac:dyDescent="0.35">
      <c r="G8961" s="215">
        <v>8954</v>
      </c>
      <c r="H8961" s="16">
        <f t="shared" ca="1" si="147"/>
        <v>-4.8646765449243165E-2</v>
      </c>
    </row>
    <row r="8962" spans="7:8" x14ac:dyDescent="0.35">
      <c r="G8962" s="215">
        <v>8955</v>
      </c>
      <c r="H8962" s="16">
        <f t="shared" ca="1" si="147"/>
        <v>-1.4465209762061653E-2</v>
      </c>
    </row>
    <row r="8963" spans="7:8" x14ac:dyDescent="0.35">
      <c r="G8963" s="215">
        <v>8956</v>
      </c>
      <c r="H8963" s="16">
        <f t="shared" ca="1" si="147"/>
        <v>5.9039588241396573E-2</v>
      </c>
    </row>
    <row r="8964" spans="7:8" x14ac:dyDescent="0.35">
      <c r="G8964" s="215">
        <v>8957</v>
      </c>
      <c r="H8964" s="16">
        <f t="shared" ca="1" si="147"/>
        <v>-0.14225575189794679</v>
      </c>
    </row>
    <row r="8965" spans="7:8" x14ac:dyDescent="0.35">
      <c r="G8965" s="215">
        <v>8958</v>
      </c>
      <c r="H8965" s="16">
        <f t="shared" ca="1" si="147"/>
        <v>3.864569173931548E-2</v>
      </c>
    </row>
    <row r="8966" spans="7:8" x14ac:dyDescent="0.35">
      <c r="G8966" s="215">
        <v>8959</v>
      </c>
      <c r="H8966" s="16">
        <f t="shared" ca="1" si="147"/>
        <v>-0.15544773468392878</v>
      </c>
    </row>
    <row r="8967" spans="7:8" x14ac:dyDescent="0.35">
      <c r="G8967" s="215">
        <v>8960</v>
      </c>
      <c r="H8967" s="16">
        <f t="shared" ca="1" si="147"/>
        <v>6.5386036473811679E-2</v>
      </c>
    </row>
    <row r="8968" spans="7:8" x14ac:dyDescent="0.35">
      <c r="G8968" s="215">
        <v>8961</v>
      </c>
      <c r="H8968" s="16">
        <f t="shared" ref="H8968:H9031" ca="1" si="148">_xlfn.NORM.INV(RAND(),M$10,M$11)</f>
        <v>-5.1769214881473305E-2</v>
      </c>
    </row>
    <row r="8969" spans="7:8" x14ac:dyDescent="0.35">
      <c r="G8969" s="215">
        <v>8962</v>
      </c>
      <c r="H8969" s="16">
        <f t="shared" ca="1" si="148"/>
        <v>-2.6202778153014902E-3</v>
      </c>
    </row>
    <row r="8970" spans="7:8" x14ac:dyDescent="0.35">
      <c r="G8970" s="215">
        <v>8963</v>
      </c>
      <c r="H8970" s="16">
        <f t="shared" ca="1" si="148"/>
        <v>-1.7254354794671928E-2</v>
      </c>
    </row>
    <row r="8971" spans="7:8" x14ac:dyDescent="0.35">
      <c r="G8971" s="215">
        <v>8964</v>
      </c>
      <c r="H8971" s="16">
        <f t="shared" ca="1" si="148"/>
        <v>5.9822872747804755E-4</v>
      </c>
    </row>
    <row r="8972" spans="7:8" x14ac:dyDescent="0.35">
      <c r="G8972" s="215">
        <v>8965</v>
      </c>
      <c r="H8972" s="16">
        <f t="shared" ca="1" si="148"/>
        <v>5.7049647817667692E-2</v>
      </c>
    </row>
    <row r="8973" spans="7:8" x14ac:dyDescent="0.35">
      <c r="G8973" s="215">
        <v>8966</v>
      </c>
      <c r="H8973" s="16">
        <f t="shared" ca="1" si="148"/>
        <v>-1.1618629952018279E-2</v>
      </c>
    </row>
    <row r="8974" spans="7:8" x14ac:dyDescent="0.35">
      <c r="G8974" s="215">
        <v>8967</v>
      </c>
      <c r="H8974" s="16">
        <f t="shared" ca="1" si="148"/>
        <v>5.6569503619723654E-2</v>
      </c>
    </row>
    <row r="8975" spans="7:8" x14ac:dyDescent="0.35">
      <c r="G8975" s="215">
        <v>8968</v>
      </c>
      <c r="H8975" s="16">
        <f t="shared" ca="1" si="148"/>
        <v>8.6664552277790199E-2</v>
      </c>
    </row>
    <row r="8976" spans="7:8" x14ac:dyDescent="0.35">
      <c r="G8976" s="215">
        <v>8969</v>
      </c>
      <c r="H8976" s="16">
        <f t="shared" ca="1" si="148"/>
        <v>3.6855329286985164E-2</v>
      </c>
    </row>
    <row r="8977" spans="7:8" x14ac:dyDescent="0.35">
      <c r="G8977" s="215">
        <v>8970</v>
      </c>
      <c r="H8977" s="16">
        <f t="shared" ca="1" si="148"/>
        <v>-6.5545215576333443E-2</v>
      </c>
    </row>
    <row r="8978" spans="7:8" x14ac:dyDescent="0.35">
      <c r="G8978" s="215">
        <v>8971</v>
      </c>
      <c r="H8978" s="16">
        <f t="shared" ca="1" si="148"/>
        <v>-4.3539485672780168E-2</v>
      </c>
    </row>
    <row r="8979" spans="7:8" x14ac:dyDescent="0.35">
      <c r="G8979" s="215">
        <v>8972</v>
      </c>
      <c r="H8979" s="16">
        <f t="shared" ca="1" si="148"/>
        <v>0.13003911564236476</v>
      </c>
    </row>
    <row r="8980" spans="7:8" x14ac:dyDescent="0.35">
      <c r="G8980" s="215">
        <v>8973</v>
      </c>
      <c r="H8980" s="16">
        <f t="shared" ca="1" si="148"/>
        <v>6.0477438440501935E-2</v>
      </c>
    </row>
    <row r="8981" spans="7:8" x14ac:dyDescent="0.35">
      <c r="G8981" s="215">
        <v>8974</v>
      </c>
      <c r="H8981" s="16">
        <f t="shared" ca="1" si="148"/>
        <v>7.0078041332336624E-2</v>
      </c>
    </row>
    <row r="8982" spans="7:8" x14ac:dyDescent="0.35">
      <c r="G8982" s="215">
        <v>8975</v>
      </c>
      <c r="H8982" s="16">
        <f t="shared" ca="1" si="148"/>
        <v>-5.4235273342053317E-2</v>
      </c>
    </row>
    <row r="8983" spans="7:8" x14ac:dyDescent="0.35">
      <c r="G8983" s="215">
        <v>8976</v>
      </c>
      <c r="H8983" s="16">
        <f t="shared" ca="1" si="148"/>
        <v>-4.9848125902512724E-2</v>
      </c>
    </row>
    <row r="8984" spans="7:8" x14ac:dyDescent="0.35">
      <c r="G8984" s="215">
        <v>8977</v>
      </c>
      <c r="H8984" s="16">
        <f t="shared" ca="1" si="148"/>
        <v>-2.1781136613464331E-2</v>
      </c>
    </row>
    <row r="8985" spans="7:8" x14ac:dyDescent="0.35">
      <c r="G8985" s="215">
        <v>8978</v>
      </c>
      <c r="H8985" s="16">
        <f t="shared" ca="1" si="148"/>
        <v>-6.9519849367455547E-2</v>
      </c>
    </row>
    <row r="8986" spans="7:8" x14ac:dyDescent="0.35">
      <c r="G8986" s="215">
        <v>8979</v>
      </c>
      <c r="H8986" s="16">
        <f t="shared" ca="1" si="148"/>
        <v>-0.11269528357728273</v>
      </c>
    </row>
    <row r="8987" spans="7:8" x14ac:dyDescent="0.35">
      <c r="G8987" s="215">
        <v>8980</v>
      </c>
      <c r="H8987" s="16">
        <f t="shared" ca="1" si="148"/>
        <v>-4.5742861945224783E-2</v>
      </c>
    </row>
    <row r="8988" spans="7:8" x14ac:dyDescent="0.35">
      <c r="G8988" s="215">
        <v>8981</v>
      </c>
      <c r="H8988" s="16">
        <f t="shared" ca="1" si="148"/>
        <v>0.12276165372509619</v>
      </c>
    </row>
    <row r="8989" spans="7:8" x14ac:dyDescent="0.35">
      <c r="G8989" s="215">
        <v>8982</v>
      </c>
      <c r="H8989" s="16">
        <f t="shared" ca="1" si="148"/>
        <v>-8.4206404819864744E-2</v>
      </c>
    </row>
    <row r="8990" spans="7:8" x14ac:dyDescent="0.35">
      <c r="G8990" s="215">
        <v>8983</v>
      </c>
      <c r="H8990" s="16">
        <f t="shared" ca="1" si="148"/>
        <v>-6.2006916099765094E-2</v>
      </c>
    </row>
    <row r="8991" spans="7:8" x14ac:dyDescent="0.35">
      <c r="G8991" s="215">
        <v>8984</v>
      </c>
      <c r="H8991" s="16">
        <f t="shared" ca="1" si="148"/>
        <v>5.5068534102600278E-2</v>
      </c>
    </row>
    <row r="8992" spans="7:8" x14ac:dyDescent="0.35">
      <c r="G8992" s="215">
        <v>8985</v>
      </c>
      <c r="H8992" s="16">
        <f t="shared" ca="1" si="148"/>
        <v>9.4648240022409416E-2</v>
      </c>
    </row>
    <row r="8993" spans="7:8" x14ac:dyDescent="0.35">
      <c r="G8993" s="215">
        <v>8986</v>
      </c>
      <c r="H8993" s="16">
        <f t="shared" ca="1" si="148"/>
        <v>-2.3359523420300208E-2</v>
      </c>
    </row>
    <row r="8994" spans="7:8" x14ac:dyDescent="0.35">
      <c r="G8994" s="215">
        <v>8987</v>
      </c>
      <c r="H8994" s="16">
        <f t="shared" ca="1" si="148"/>
        <v>-6.5325997745034933E-2</v>
      </c>
    </row>
    <row r="8995" spans="7:8" x14ac:dyDescent="0.35">
      <c r="G8995" s="215">
        <v>8988</v>
      </c>
      <c r="H8995" s="16">
        <f t="shared" ca="1" si="148"/>
        <v>-4.5459208373666668E-2</v>
      </c>
    </row>
    <row r="8996" spans="7:8" x14ac:dyDescent="0.35">
      <c r="G8996" s="215">
        <v>8989</v>
      </c>
      <c r="H8996" s="16">
        <f t="shared" ca="1" si="148"/>
        <v>0.14356429776601454</v>
      </c>
    </row>
    <row r="8997" spans="7:8" x14ac:dyDescent="0.35">
      <c r="G8997" s="215">
        <v>8990</v>
      </c>
      <c r="H8997" s="16">
        <f t="shared" ca="1" si="148"/>
        <v>4.4167567615549311E-2</v>
      </c>
    </row>
    <row r="8998" spans="7:8" x14ac:dyDescent="0.35">
      <c r="G8998" s="215">
        <v>8991</v>
      </c>
      <c r="H8998" s="16">
        <f t="shared" ca="1" si="148"/>
        <v>3.3064019875199205E-2</v>
      </c>
    </row>
    <row r="8999" spans="7:8" x14ac:dyDescent="0.35">
      <c r="G8999" s="215">
        <v>8992</v>
      </c>
      <c r="H8999" s="16">
        <f t="shared" ca="1" si="148"/>
        <v>9.6023125501181972E-2</v>
      </c>
    </row>
    <row r="9000" spans="7:8" x14ac:dyDescent="0.35">
      <c r="G9000" s="215">
        <v>8993</v>
      </c>
      <c r="H9000" s="16">
        <f t="shared" ca="1" si="148"/>
        <v>-5.0280017331182481E-2</v>
      </c>
    </row>
    <row r="9001" spans="7:8" x14ac:dyDescent="0.35">
      <c r="G9001" s="215">
        <v>8994</v>
      </c>
      <c r="H9001" s="16">
        <f t="shared" ca="1" si="148"/>
        <v>-4.2369145707546081E-3</v>
      </c>
    </row>
    <row r="9002" spans="7:8" x14ac:dyDescent="0.35">
      <c r="G9002" s="215">
        <v>8995</v>
      </c>
      <c r="H9002" s="16">
        <f t="shared" ca="1" si="148"/>
        <v>7.5369117574921457E-4</v>
      </c>
    </row>
    <row r="9003" spans="7:8" x14ac:dyDescent="0.35">
      <c r="G9003" s="215">
        <v>8996</v>
      </c>
      <c r="H9003" s="16">
        <f t="shared" ca="1" si="148"/>
        <v>8.5780611012075663E-3</v>
      </c>
    </row>
    <row r="9004" spans="7:8" x14ac:dyDescent="0.35">
      <c r="G9004" s="215">
        <v>8997</v>
      </c>
      <c r="H9004" s="16">
        <f t="shared" ca="1" si="148"/>
        <v>-4.4057165040906933E-3</v>
      </c>
    </row>
    <row r="9005" spans="7:8" x14ac:dyDescent="0.35">
      <c r="G9005" s="215">
        <v>8998</v>
      </c>
      <c r="H9005" s="16">
        <f t="shared" ca="1" si="148"/>
        <v>-7.7401927230548243E-3</v>
      </c>
    </row>
    <row r="9006" spans="7:8" x14ac:dyDescent="0.35">
      <c r="G9006" s="215">
        <v>8999</v>
      </c>
      <c r="H9006" s="16">
        <f t="shared" ca="1" si="148"/>
        <v>0.19100621777719412</v>
      </c>
    </row>
    <row r="9007" spans="7:8" x14ac:dyDescent="0.35">
      <c r="G9007" s="215">
        <v>9000</v>
      </c>
      <c r="H9007" s="16">
        <f t="shared" ca="1" si="148"/>
        <v>4.5874398703996122E-3</v>
      </c>
    </row>
    <row r="9008" spans="7:8" x14ac:dyDescent="0.35">
      <c r="G9008" s="215">
        <v>9001</v>
      </c>
      <c r="H9008" s="16">
        <f t="shared" ca="1" si="148"/>
        <v>-9.9334215694050251E-2</v>
      </c>
    </row>
    <row r="9009" spans="7:8" x14ac:dyDescent="0.35">
      <c r="G9009" s="215">
        <v>9002</v>
      </c>
      <c r="H9009" s="16">
        <f t="shared" ca="1" si="148"/>
        <v>-4.7624267661603048E-2</v>
      </c>
    </row>
    <row r="9010" spans="7:8" x14ac:dyDescent="0.35">
      <c r="G9010" s="215">
        <v>9003</v>
      </c>
      <c r="H9010" s="16">
        <f t="shared" ca="1" si="148"/>
        <v>7.4584877679991349E-2</v>
      </c>
    </row>
    <row r="9011" spans="7:8" x14ac:dyDescent="0.35">
      <c r="G9011" s="215">
        <v>9004</v>
      </c>
      <c r="H9011" s="16">
        <f t="shared" ca="1" si="148"/>
        <v>1.4508646443178322E-2</v>
      </c>
    </row>
    <row r="9012" spans="7:8" x14ac:dyDescent="0.35">
      <c r="G9012" s="215">
        <v>9005</v>
      </c>
      <c r="H9012" s="16">
        <f t="shared" ca="1" si="148"/>
        <v>7.4566766028481363E-2</v>
      </c>
    </row>
    <row r="9013" spans="7:8" x14ac:dyDescent="0.35">
      <c r="G9013" s="215">
        <v>9006</v>
      </c>
      <c r="H9013" s="16">
        <f t="shared" ca="1" si="148"/>
        <v>-3.5748480453458728E-2</v>
      </c>
    </row>
    <row r="9014" spans="7:8" x14ac:dyDescent="0.35">
      <c r="G9014" s="215">
        <v>9007</v>
      </c>
      <c r="H9014" s="16">
        <f t="shared" ca="1" si="148"/>
        <v>6.1303920851701207E-2</v>
      </c>
    </row>
    <row r="9015" spans="7:8" x14ac:dyDescent="0.35">
      <c r="G9015" s="215">
        <v>9008</v>
      </c>
      <c r="H9015" s="16">
        <f t="shared" ca="1" si="148"/>
        <v>6.2493521617391259E-2</v>
      </c>
    </row>
    <row r="9016" spans="7:8" x14ac:dyDescent="0.35">
      <c r="G9016" s="215">
        <v>9009</v>
      </c>
      <c r="H9016" s="16">
        <f t="shared" ca="1" si="148"/>
        <v>-8.5183656390075496E-2</v>
      </c>
    </row>
    <row r="9017" spans="7:8" x14ac:dyDescent="0.35">
      <c r="G9017" s="215">
        <v>9010</v>
      </c>
      <c r="H9017" s="16">
        <f t="shared" ca="1" si="148"/>
        <v>-3.4433807801039856E-2</v>
      </c>
    </row>
    <row r="9018" spans="7:8" x14ac:dyDescent="0.35">
      <c r="G9018" s="215">
        <v>9011</v>
      </c>
      <c r="H9018" s="16">
        <f t="shared" ca="1" si="148"/>
        <v>2.748756223658376E-2</v>
      </c>
    </row>
    <row r="9019" spans="7:8" x14ac:dyDescent="0.35">
      <c r="G9019" s="215">
        <v>9012</v>
      </c>
      <c r="H9019" s="16">
        <f t="shared" ca="1" si="148"/>
        <v>3.9315749381126711E-2</v>
      </c>
    </row>
    <row r="9020" spans="7:8" x14ac:dyDescent="0.35">
      <c r="G9020" s="215">
        <v>9013</v>
      </c>
      <c r="H9020" s="16">
        <f t="shared" ca="1" si="148"/>
        <v>-0.12849678291183092</v>
      </c>
    </row>
    <row r="9021" spans="7:8" x14ac:dyDescent="0.35">
      <c r="G9021" s="215">
        <v>9014</v>
      </c>
      <c r="H9021" s="16">
        <f t="shared" ca="1" si="148"/>
        <v>6.7151190702264024E-2</v>
      </c>
    </row>
    <row r="9022" spans="7:8" x14ac:dyDescent="0.35">
      <c r="G9022" s="215">
        <v>9015</v>
      </c>
      <c r="H9022" s="16">
        <f t="shared" ca="1" si="148"/>
        <v>-1.3411639405241337E-2</v>
      </c>
    </row>
    <row r="9023" spans="7:8" x14ac:dyDescent="0.35">
      <c r="G9023" s="215">
        <v>9016</v>
      </c>
      <c r="H9023" s="16">
        <f t="shared" ca="1" si="148"/>
        <v>0.10530852130887677</v>
      </c>
    </row>
    <row r="9024" spans="7:8" x14ac:dyDescent="0.35">
      <c r="G9024" s="215">
        <v>9017</v>
      </c>
      <c r="H9024" s="16">
        <f t="shared" ca="1" si="148"/>
        <v>5.4022981767839363E-3</v>
      </c>
    </row>
    <row r="9025" spans="7:8" x14ac:dyDescent="0.35">
      <c r="G9025" s="215">
        <v>9018</v>
      </c>
      <c r="H9025" s="16">
        <f t="shared" ca="1" si="148"/>
        <v>3.9401824918772921E-2</v>
      </c>
    </row>
    <row r="9026" spans="7:8" x14ac:dyDescent="0.35">
      <c r="G9026" s="215">
        <v>9019</v>
      </c>
      <c r="H9026" s="16">
        <f t="shared" ca="1" si="148"/>
        <v>4.9806201812149231E-2</v>
      </c>
    </row>
    <row r="9027" spans="7:8" x14ac:dyDescent="0.35">
      <c r="G9027" s="215">
        <v>9020</v>
      </c>
      <c r="H9027" s="16">
        <f t="shared" ca="1" si="148"/>
        <v>-1.7040144944836508E-2</v>
      </c>
    </row>
    <row r="9028" spans="7:8" x14ac:dyDescent="0.35">
      <c r="G9028" s="215">
        <v>9021</v>
      </c>
      <c r="H9028" s="16">
        <f t="shared" ca="1" si="148"/>
        <v>3.2629359661234786E-2</v>
      </c>
    </row>
    <row r="9029" spans="7:8" x14ac:dyDescent="0.35">
      <c r="G9029" s="215">
        <v>9022</v>
      </c>
      <c r="H9029" s="16">
        <f t="shared" ca="1" si="148"/>
        <v>8.1551924271348802E-2</v>
      </c>
    </row>
    <row r="9030" spans="7:8" x14ac:dyDescent="0.35">
      <c r="G9030" s="215">
        <v>9023</v>
      </c>
      <c r="H9030" s="16">
        <f t="shared" ca="1" si="148"/>
        <v>-2.1743555161390059E-3</v>
      </c>
    </row>
    <row r="9031" spans="7:8" x14ac:dyDescent="0.35">
      <c r="G9031" s="215">
        <v>9024</v>
      </c>
      <c r="H9031" s="16">
        <f t="shared" ca="1" si="148"/>
        <v>0.10237801053467335</v>
      </c>
    </row>
    <row r="9032" spans="7:8" x14ac:dyDescent="0.35">
      <c r="G9032" s="215">
        <v>9025</v>
      </c>
      <c r="H9032" s="16">
        <f t="shared" ref="H9032:H9095" ca="1" si="149">_xlfn.NORM.INV(RAND(),M$10,M$11)</f>
        <v>8.0575571736533624E-3</v>
      </c>
    </row>
    <row r="9033" spans="7:8" x14ac:dyDescent="0.35">
      <c r="G9033" s="215">
        <v>9026</v>
      </c>
      <c r="H9033" s="16">
        <f t="shared" ca="1" si="149"/>
        <v>-0.13942641749547102</v>
      </c>
    </row>
    <row r="9034" spans="7:8" x14ac:dyDescent="0.35">
      <c r="G9034" s="215">
        <v>9027</v>
      </c>
      <c r="H9034" s="16">
        <f t="shared" ca="1" si="149"/>
        <v>5.886835837534668E-2</v>
      </c>
    </row>
    <row r="9035" spans="7:8" x14ac:dyDescent="0.35">
      <c r="G9035" s="215">
        <v>9028</v>
      </c>
      <c r="H9035" s="16">
        <f t="shared" ca="1" si="149"/>
        <v>4.936929501355003E-2</v>
      </c>
    </row>
    <row r="9036" spans="7:8" x14ac:dyDescent="0.35">
      <c r="G9036" s="215">
        <v>9029</v>
      </c>
      <c r="H9036" s="16">
        <f t="shared" ca="1" si="149"/>
        <v>0.15055517307357358</v>
      </c>
    </row>
    <row r="9037" spans="7:8" x14ac:dyDescent="0.35">
      <c r="G9037" s="215">
        <v>9030</v>
      </c>
      <c r="H9037" s="16">
        <f t="shared" ca="1" si="149"/>
        <v>0.13427032169492778</v>
      </c>
    </row>
    <row r="9038" spans="7:8" x14ac:dyDescent="0.35">
      <c r="G9038" s="215">
        <v>9031</v>
      </c>
      <c r="H9038" s="16">
        <f t="shared" ca="1" si="149"/>
        <v>0.1478112915564597</v>
      </c>
    </row>
    <row r="9039" spans="7:8" x14ac:dyDescent="0.35">
      <c r="G9039" s="215">
        <v>9032</v>
      </c>
      <c r="H9039" s="16">
        <f t="shared" ca="1" si="149"/>
        <v>1.6549465848048579E-2</v>
      </c>
    </row>
    <row r="9040" spans="7:8" x14ac:dyDescent="0.35">
      <c r="G9040" s="215">
        <v>9033</v>
      </c>
      <c r="H9040" s="16">
        <f t="shared" ca="1" si="149"/>
        <v>3.0780124376612424E-2</v>
      </c>
    </row>
    <row r="9041" spans="7:8" x14ac:dyDescent="0.35">
      <c r="G9041" s="215">
        <v>9034</v>
      </c>
      <c r="H9041" s="16">
        <f t="shared" ca="1" si="149"/>
        <v>-1.7207284931440602E-2</v>
      </c>
    </row>
    <row r="9042" spans="7:8" x14ac:dyDescent="0.35">
      <c r="G9042" s="215">
        <v>9035</v>
      </c>
      <c r="H9042" s="16">
        <f t="shared" ca="1" si="149"/>
        <v>0.10840611392206716</v>
      </c>
    </row>
    <row r="9043" spans="7:8" x14ac:dyDescent="0.35">
      <c r="G9043" s="215">
        <v>9036</v>
      </c>
      <c r="H9043" s="16">
        <f t="shared" ca="1" si="149"/>
        <v>0.11969891094101785</v>
      </c>
    </row>
    <row r="9044" spans="7:8" x14ac:dyDescent="0.35">
      <c r="G9044" s="215">
        <v>9037</v>
      </c>
      <c r="H9044" s="16">
        <f t="shared" ca="1" si="149"/>
        <v>2.4844792154600795E-2</v>
      </c>
    </row>
    <row r="9045" spans="7:8" x14ac:dyDescent="0.35">
      <c r="G9045" s="215">
        <v>9038</v>
      </c>
      <c r="H9045" s="16">
        <f t="shared" ca="1" si="149"/>
        <v>8.9754403070011271E-2</v>
      </c>
    </row>
    <row r="9046" spans="7:8" x14ac:dyDescent="0.35">
      <c r="G9046" s="215">
        <v>9039</v>
      </c>
      <c r="H9046" s="16">
        <f t="shared" ca="1" si="149"/>
        <v>-9.3390064718426077E-2</v>
      </c>
    </row>
    <row r="9047" spans="7:8" x14ac:dyDescent="0.35">
      <c r="G9047" s="215">
        <v>9040</v>
      </c>
      <c r="H9047" s="16">
        <f t="shared" ca="1" si="149"/>
        <v>6.0059825238503875E-3</v>
      </c>
    </row>
    <row r="9048" spans="7:8" x14ac:dyDescent="0.35">
      <c r="G9048" s="215">
        <v>9041</v>
      </c>
      <c r="H9048" s="16">
        <f t="shared" ca="1" si="149"/>
        <v>-4.8164968546247869E-2</v>
      </c>
    </row>
    <row r="9049" spans="7:8" x14ac:dyDescent="0.35">
      <c r="G9049" s="215">
        <v>9042</v>
      </c>
      <c r="H9049" s="16">
        <f t="shared" ca="1" si="149"/>
        <v>7.8145519635181113E-2</v>
      </c>
    </row>
    <row r="9050" spans="7:8" x14ac:dyDescent="0.35">
      <c r="G9050" s="215">
        <v>9043</v>
      </c>
      <c r="H9050" s="16">
        <f t="shared" ca="1" si="149"/>
        <v>-7.550823019137802E-2</v>
      </c>
    </row>
    <row r="9051" spans="7:8" x14ac:dyDescent="0.35">
      <c r="G9051" s="215">
        <v>9044</v>
      </c>
      <c r="H9051" s="16">
        <f t="shared" ca="1" si="149"/>
        <v>1.4248986771820609E-2</v>
      </c>
    </row>
    <row r="9052" spans="7:8" x14ac:dyDescent="0.35">
      <c r="G9052" s="215">
        <v>9045</v>
      </c>
      <c r="H9052" s="16">
        <f t="shared" ca="1" si="149"/>
        <v>4.0938815251408231E-2</v>
      </c>
    </row>
    <row r="9053" spans="7:8" x14ac:dyDescent="0.35">
      <c r="G9053" s="215">
        <v>9046</v>
      </c>
      <c r="H9053" s="16">
        <f t="shared" ca="1" si="149"/>
        <v>1.263499334205859E-2</v>
      </c>
    </row>
    <row r="9054" spans="7:8" x14ac:dyDescent="0.35">
      <c r="G9054" s="215">
        <v>9047</v>
      </c>
      <c r="H9054" s="16">
        <f t="shared" ca="1" si="149"/>
        <v>-4.0251189566224532E-2</v>
      </c>
    </row>
    <row r="9055" spans="7:8" x14ac:dyDescent="0.35">
      <c r="G9055" s="215">
        <v>9048</v>
      </c>
      <c r="H9055" s="16">
        <f t="shared" ca="1" si="149"/>
        <v>9.8731257570861597E-2</v>
      </c>
    </row>
    <row r="9056" spans="7:8" x14ac:dyDescent="0.35">
      <c r="G9056" s="215">
        <v>9049</v>
      </c>
      <c r="H9056" s="16">
        <f t="shared" ca="1" si="149"/>
        <v>1.6787483349004609E-2</v>
      </c>
    </row>
    <row r="9057" spans="7:8" x14ac:dyDescent="0.35">
      <c r="G9057" s="215">
        <v>9050</v>
      </c>
      <c r="H9057" s="16">
        <f t="shared" ca="1" si="149"/>
        <v>5.4630948258350659E-2</v>
      </c>
    </row>
    <row r="9058" spans="7:8" x14ac:dyDescent="0.35">
      <c r="G9058" s="215">
        <v>9051</v>
      </c>
      <c r="H9058" s="16">
        <f t="shared" ca="1" si="149"/>
        <v>4.6013248075630647E-2</v>
      </c>
    </row>
    <row r="9059" spans="7:8" x14ac:dyDescent="0.35">
      <c r="G9059" s="215">
        <v>9052</v>
      </c>
      <c r="H9059" s="16">
        <f t="shared" ca="1" si="149"/>
        <v>2.2961895041531989E-2</v>
      </c>
    </row>
    <row r="9060" spans="7:8" x14ac:dyDescent="0.35">
      <c r="G9060" s="215">
        <v>9053</v>
      </c>
      <c r="H9060" s="16">
        <f t="shared" ca="1" si="149"/>
        <v>-5.735782279412964E-2</v>
      </c>
    </row>
    <row r="9061" spans="7:8" x14ac:dyDescent="0.35">
      <c r="G9061" s="215">
        <v>9054</v>
      </c>
      <c r="H9061" s="16">
        <f t="shared" ca="1" si="149"/>
        <v>-2.5103054912957588E-2</v>
      </c>
    </row>
    <row r="9062" spans="7:8" x14ac:dyDescent="0.35">
      <c r="G9062" s="215">
        <v>9055</v>
      </c>
      <c r="H9062" s="16">
        <f t="shared" ca="1" si="149"/>
        <v>7.7554895276088748E-2</v>
      </c>
    </row>
    <row r="9063" spans="7:8" x14ac:dyDescent="0.35">
      <c r="G9063" s="215">
        <v>9056</v>
      </c>
      <c r="H9063" s="16">
        <f t="shared" ca="1" si="149"/>
        <v>6.2895063397925374E-2</v>
      </c>
    </row>
    <row r="9064" spans="7:8" x14ac:dyDescent="0.35">
      <c r="G9064" s="215">
        <v>9057</v>
      </c>
      <c r="H9064" s="16">
        <f t="shared" ca="1" si="149"/>
        <v>7.7145866227738974E-2</v>
      </c>
    </row>
    <row r="9065" spans="7:8" x14ac:dyDescent="0.35">
      <c r="G9065" s="215">
        <v>9058</v>
      </c>
      <c r="H9065" s="16">
        <f t="shared" ca="1" si="149"/>
        <v>-5.7195032177475263E-2</v>
      </c>
    </row>
    <row r="9066" spans="7:8" x14ac:dyDescent="0.35">
      <c r="G9066" s="215">
        <v>9059</v>
      </c>
      <c r="H9066" s="16">
        <f t="shared" ca="1" si="149"/>
        <v>6.645842777808475E-2</v>
      </c>
    </row>
    <row r="9067" spans="7:8" x14ac:dyDescent="0.35">
      <c r="G9067" s="215">
        <v>9060</v>
      </c>
      <c r="H9067" s="16">
        <f t="shared" ca="1" si="149"/>
        <v>-4.7648906232427096E-2</v>
      </c>
    </row>
    <row r="9068" spans="7:8" x14ac:dyDescent="0.35">
      <c r="G9068" s="215">
        <v>9061</v>
      </c>
      <c r="H9068" s="16">
        <f t="shared" ca="1" si="149"/>
        <v>6.4869659935755497E-2</v>
      </c>
    </row>
    <row r="9069" spans="7:8" x14ac:dyDescent="0.35">
      <c r="G9069" s="215">
        <v>9062</v>
      </c>
      <c r="H9069" s="16">
        <f t="shared" ca="1" si="149"/>
        <v>-1.0389017852548504E-2</v>
      </c>
    </row>
    <row r="9070" spans="7:8" x14ac:dyDescent="0.35">
      <c r="G9070" s="215">
        <v>9063</v>
      </c>
      <c r="H9070" s="16">
        <f t="shared" ca="1" si="149"/>
        <v>0.14100475790071362</v>
      </c>
    </row>
    <row r="9071" spans="7:8" x14ac:dyDescent="0.35">
      <c r="G9071" s="215">
        <v>9064</v>
      </c>
      <c r="H9071" s="16">
        <f t="shared" ca="1" si="149"/>
        <v>4.6110893865556779E-2</v>
      </c>
    </row>
    <row r="9072" spans="7:8" x14ac:dyDescent="0.35">
      <c r="G9072" s="215">
        <v>9065</v>
      </c>
      <c r="H9072" s="16">
        <f t="shared" ca="1" si="149"/>
        <v>4.4083465694457813E-2</v>
      </c>
    </row>
    <row r="9073" spans="7:8" x14ac:dyDescent="0.35">
      <c r="G9073" s="215">
        <v>9066</v>
      </c>
      <c r="H9073" s="16">
        <f t="shared" ca="1" si="149"/>
        <v>5.861880312031327E-2</v>
      </c>
    </row>
    <row r="9074" spans="7:8" x14ac:dyDescent="0.35">
      <c r="G9074" s="215">
        <v>9067</v>
      </c>
      <c r="H9074" s="16">
        <f t="shared" ca="1" si="149"/>
        <v>-6.5556657390180156E-2</v>
      </c>
    </row>
    <row r="9075" spans="7:8" x14ac:dyDescent="0.35">
      <c r="G9075" s="215">
        <v>9068</v>
      </c>
      <c r="H9075" s="16">
        <f t="shared" ca="1" si="149"/>
        <v>-3.0756742432890925E-3</v>
      </c>
    </row>
    <row r="9076" spans="7:8" x14ac:dyDescent="0.35">
      <c r="G9076" s="215">
        <v>9069</v>
      </c>
      <c r="H9076" s="16">
        <f t="shared" ca="1" si="149"/>
        <v>-5.4192466936058975E-3</v>
      </c>
    </row>
    <row r="9077" spans="7:8" x14ac:dyDescent="0.35">
      <c r="G9077" s="215">
        <v>9070</v>
      </c>
      <c r="H9077" s="16">
        <f t="shared" ca="1" si="149"/>
        <v>-3.7153543115626603E-2</v>
      </c>
    </row>
    <row r="9078" spans="7:8" x14ac:dyDescent="0.35">
      <c r="G9078" s="215">
        <v>9071</v>
      </c>
      <c r="H9078" s="16">
        <f t="shared" ca="1" si="149"/>
        <v>-0.24629495216163891</v>
      </c>
    </row>
    <row r="9079" spans="7:8" x14ac:dyDescent="0.35">
      <c r="G9079" s="215">
        <v>9072</v>
      </c>
      <c r="H9079" s="16">
        <f t="shared" ca="1" si="149"/>
        <v>0.20926483611417693</v>
      </c>
    </row>
    <row r="9080" spans="7:8" x14ac:dyDescent="0.35">
      <c r="G9080" s="215">
        <v>9073</v>
      </c>
      <c r="H9080" s="16">
        <f t="shared" ca="1" si="149"/>
        <v>0.12031690802601552</v>
      </c>
    </row>
    <row r="9081" spans="7:8" x14ac:dyDescent="0.35">
      <c r="G9081" s="215">
        <v>9074</v>
      </c>
      <c r="H9081" s="16">
        <f t="shared" ca="1" si="149"/>
        <v>-1.4745788270870936E-2</v>
      </c>
    </row>
    <row r="9082" spans="7:8" x14ac:dyDescent="0.35">
      <c r="G9082" s="215">
        <v>9075</v>
      </c>
      <c r="H9082" s="16">
        <f t="shared" ca="1" si="149"/>
        <v>-7.6417368585251513E-2</v>
      </c>
    </row>
    <row r="9083" spans="7:8" x14ac:dyDescent="0.35">
      <c r="G9083" s="215">
        <v>9076</v>
      </c>
      <c r="H9083" s="16">
        <f t="shared" ca="1" si="149"/>
        <v>-6.6895668993535613E-3</v>
      </c>
    </row>
    <row r="9084" spans="7:8" x14ac:dyDescent="0.35">
      <c r="G9084" s="215">
        <v>9077</v>
      </c>
      <c r="H9084" s="16">
        <f t="shared" ca="1" si="149"/>
        <v>-9.6359281351086033E-3</v>
      </c>
    </row>
    <row r="9085" spans="7:8" x14ac:dyDescent="0.35">
      <c r="G9085" s="215">
        <v>9078</v>
      </c>
      <c r="H9085" s="16">
        <f t="shared" ca="1" si="149"/>
        <v>0.13872344105939224</v>
      </c>
    </row>
    <row r="9086" spans="7:8" x14ac:dyDescent="0.35">
      <c r="G9086" s="215">
        <v>9079</v>
      </c>
      <c r="H9086" s="16">
        <f t="shared" ca="1" si="149"/>
        <v>0.11555670281385545</v>
      </c>
    </row>
    <row r="9087" spans="7:8" x14ac:dyDescent="0.35">
      <c r="G9087" s="215">
        <v>9080</v>
      </c>
      <c r="H9087" s="16">
        <f t="shared" ca="1" si="149"/>
        <v>8.6096565621835638E-2</v>
      </c>
    </row>
    <row r="9088" spans="7:8" x14ac:dyDescent="0.35">
      <c r="G9088" s="215">
        <v>9081</v>
      </c>
      <c r="H9088" s="16">
        <f t="shared" ca="1" si="149"/>
        <v>-5.7967595256809834E-2</v>
      </c>
    </row>
    <row r="9089" spans="7:8" x14ac:dyDescent="0.35">
      <c r="G9089" s="215">
        <v>9082</v>
      </c>
      <c r="H9089" s="16">
        <f t="shared" ca="1" si="149"/>
        <v>-3.5387839447444114E-2</v>
      </c>
    </row>
    <row r="9090" spans="7:8" x14ac:dyDescent="0.35">
      <c r="G9090" s="215">
        <v>9083</v>
      </c>
      <c r="H9090" s="16">
        <f t="shared" ca="1" si="149"/>
        <v>3.396609948015171E-2</v>
      </c>
    </row>
    <row r="9091" spans="7:8" x14ac:dyDescent="0.35">
      <c r="G9091" s="215">
        <v>9084</v>
      </c>
      <c r="H9091" s="16">
        <f t="shared" ca="1" si="149"/>
        <v>0.13790706906586284</v>
      </c>
    </row>
    <row r="9092" spans="7:8" x14ac:dyDescent="0.35">
      <c r="G9092" s="215">
        <v>9085</v>
      </c>
      <c r="H9092" s="16">
        <f t="shared" ca="1" si="149"/>
        <v>-1.0741466514084638E-2</v>
      </c>
    </row>
    <row r="9093" spans="7:8" x14ac:dyDescent="0.35">
      <c r="G9093" s="215">
        <v>9086</v>
      </c>
      <c r="H9093" s="16">
        <f t="shared" ca="1" si="149"/>
        <v>1.5398917113383228E-2</v>
      </c>
    </row>
    <row r="9094" spans="7:8" x14ac:dyDescent="0.35">
      <c r="G9094" s="215">
        <v>9087</v>
      </c>
      <c r="H9094" s="16">
        <f t="shared" ca="1" si="149"/>
        <v>-5.022753208440274E-2</v>
      </c>
    </row>
    <row r="9095" spans="7:8" x14ac:dyDescent="0.35">
      <c r="G9095" s="215">
        <v>9088</v>
      </c>
      <c r="H9095" s="16">
        <f t="shared" ca="1" si="149"/>
        <v>2.1711693582442355E-2</v>
      </c>
    </row>
    <row r="9096" spans="7:8" x14ac:dyDescent="0.35">
      <c r="G9096" s="215">
        <v>9089</v>
      </c>
      <c r="H9096" s="16">
        <f t="shared" ref="H9096:H9159" ca="1" si="150">_xlfn.NORM.INV(RAND(),M$10,M$11)</f>
        <v>-3.5521213022932568E-2</v>
      </c>
    </row>
    <row r="9097" spans="7:8" x14ac:dyDescent="0.35">
      <c r="G9097" s="215">
        <v>9090</v>
      </c>
      <c r="H9097" s="16">
        <f t="shared" ca="1" si="150"/>
        <v>-2.6864578165688133E-2</v>
      </c>
    </row>
    <row r="9098" spans="7:8" x14ac:dyDescent="0.35">
      <c r="G9098" s="215">
        <v>9091</v>
      </c>
      <c r="H9098" s="16">
        <f t="shared" ca="1" si="150"/>
        <v>8.7597400372132234E-2</v>
      </c>
    </row>
    <row r="9099" spans="7:8" x14ac:dyDescent="0.35">
      <c r="G9099" s="215">
        <v>9092</v>
      </c>
      <c r="H9099" s="16">
        <f t="shared" ca="1" si="150"/>
        <v>0.18837990620415088</v>
      </c>
    </row>
    <row r="9100" spans="7:8" x14ac:dyDescent="0.35">
      <c r="G9100" s="215">
        <v>9093</v>
      </c>
      <c r="H9100" s="16">
        <f t="shared" ca="1" si="150"/>
        <v>8.8537995574559963E-2</v>
      </c>
    </row>
    <row r="9101" spans="7:8" x14ac:dyDescent="0.35">
      <c r="G9101" s="215">
        <v>9094</v>
      </c>
      <c r="H9101" s="16">
        <f t="shared" ca="1" si="150"/>
        <v>3.7626916458871194E-2</v>
      </c>
    </row>
    <row r="9102" spans="7:8" x14ac:dyDescent="0.35">
      <c r="G9102" s="215">
        <v>9095</v>
      </c>
      <c r="H9102" s="16">
        <f t="shared" ca="1" si="150"/>
        <v>-4.0646625860006863E-2</v>
      </c>
    </row>
    <row r="9103" spans="7:8" x14ac:dyDescent="0.35">
      <c r="G9103" s="215">
        <v>9096</v>
      </c>
      <c r="H9103" s="16">
        <f t="shared" ca="1" si="150"/>
        <v>-0.10055013469867234</v>
      </c>
    </row>
    <row r="9104" spans="7:8" x14ac:dyDescent="0.35">
      <c r="G9104" s="215">
        <v>9097</v>
      </c>
      <c r="H9104" s="16">
        <f t="shared" ca="1" si="150"/>
        <v>6.6213911212286633E-3</v>
      </c>
    </row>
    <row r="9105" spans="7:8" x14ac:dyDescent="0.35">
      <c r="G9105" s="215">
        <v>9098</v>
      </c>
      <c r="H9105" s="16">
        <f t="shared" ca="1" si="150"/>
        <v>3.6254817293309469E-2</v>
      </c>
    </row>
    <row r="9106" spans="7:8" x14ac:dyDescent="0.35">
      <c r="G9106" s="215">
        <v>9099</v>
      </c>
      <c r="H9106" s="16">
        <f t="shared" ca="1" si="150"/>
        <v>-1.8752449501005502E-2</v>
      </c>
    </row>
    <row r="9107" spans="7:8" x14ac:dyDescent="0.35">
      <c r="G9107" s="215">
        <v>9100</v>
      </c>
      <c r="H9107" s="16">
        <f t="shared" ca="1" si="150"/>
        <v>-9.9588078076172301E-2</v>
      </c>
    </row>
    <row r="9108" spans="7:8" x14ac:dyDescent="0.35">
      <c r="G9108" s="215">
        <v>9101</v>
      </c>
      <c r="H9108" s="16">
        <f t="shared" ca="1" si="150"/>
        <v>9.9564548295421287E-2</v>
      </c>
    </row>
    <row r="9109" spans="7:8" x14ac:dyDescent="0.35">
      <c r="G9109" s="215">
        <v>9102</v>
      </c>
      <c r="H9109" s="16">
        <f t="shared" ca="1" si="150"/>
        <v>-0.10748947605223658</v>
      </c>
    </row>
    <row r="9110" spans="7:8" x14ac:dyDescent="0.35">
      <c r="G9110" s="215">
        <v>9103</v>
      </c>
      <c r="H9110" s="16">
        <f t="shared" ca="1" si="150"/>
        <v>6.9259987452648747E-2</v>
      </c>
    </row>
    <row r="9111" spans="7:8" x14ac:dyDescent="0.35">
      <c r="G9111" s="215">
        <v>9104</v>
      </c>
      <c r="H9111" s="16">
        <f t="shared" ca="1" si="150"/>
        <v>0.11611194402953708</v>
      </c>
    </row>
    <row r="9112" spans="7:8" x14ac:dyDescent="0.35">
      <c r="G9112" s="215">
        <v>9105</v>
      </c>
      <c r="H9112" s="16">
        <f t="shared" ca="1" si="150"/>
        <v>2.1861837486070717E-2</v>
      </c>
    </row>
    <row r="9113" spans="7:8" x14ac:dyDescent="0.35">
      <c r="G9113" s="215">
        <v>9106</v>
      </c>
      <c r="H9113" s="16">
        <f t="shared" ca="1" si="150"/>
        <v>5.1217115050838632E-2</v>
      </c>
    </row>
    <row r="9114" spans="7:8" x14ac:dyDescent="0.35">
      <c r="G9114" s="215">
        <v>9107</v>
      </c>
      <c r="H9114" s="16">
        <f t="shared" ca="1" si="150"/>
        <v>-2.6480742642843832E-2</v>
      </c>
    </row>
    <row r="9115" spans="7:8" x14ac:dyDescent="0.35">
      <c r="G9115" s="215">
        <v>9108</v>
      </c>
      <c r="H9115" s="16">
        <f t="shared" ca="1" si="150"/>
        <v>6.582346929059027E-2</v>
      </c>
    </row>
    <row r="9116" spans="7:8" x14ac:dyDescent="0.35">
      <c r="G9116" s="215">
        <v>9109</v>
      </c>
      <c r="H9116" s="16">
        <f t="shared" ca="1" si="150"/>
        <v>-3.5658936328943597E-2</v>
      </c>
    </row>
    <row r="9117" spans="7:8" x14ac:dyDescent="0.35">
      <c r="G9117" s="215">
        <v>9110</v>
      </c>
      <c r="H9117" s="16">
        <f t="shared" ca="1" si="150"/>
        <v>0.10685819959058288</v>
      </c>
    </row>
    <row r="9118" spans="7:8" x14ac:dyDescent="0.35">
      <c r="G9118" s="215">
        <v>9111</v>
      </c>
      <c r="H9118" s="16">
        <f t="shared" ca="1" si="150"/>
        <v>9.5360253736256659E-2</v>
      </c>
    </row>
    <row r="9119" spans="7:8" x14ac:dyDescent="0.35">
      <c r="G9119" s="215">
        <v>9112</v>
      </c>
      <c r="H9119" s="16">
        <f t="shared" ca="1" si="150"/>
        <v>0.11706990878633525</v>
      </c>
    </row>
    <row r="9120" spans="7:8" x14ac:dyDescent="0.35">
      <c r="G9120" s="215">
        <v>9113</v>
      </c>
      <c r="H9120" s="16">
        <f t="shared" ca="1" si="150"/>
        <v>-0.12606385638292425</v>
      </c>
    </row>
    <row r="9121" spans="7:8" x14ac:dyDescent="0.35">
      <c r="G9121" s="215">
        <v>9114</v>
      </c>
      <c r="H9121" s="16">
        <f t="shared" ca="1" si="150"/>
        <v>-7.3530637221022613E-2</v>
      </c>
    </row>
    <row r="9122" spans="7:8" x14ac:dyDescent="0.35">
      <c r="G9122" s="215">
        <v>9115</v>
      </c>
      <c r="H9122" s="16">
        <f t="shared" ca="1" si="150"/>
        <v>-0.16679583094706421</v>
      </c>
    </row>
    <row r="9123" spans="7:8" x14ac:dyDescent="0.35">
      <c r="G9123" s="215">
        <v>9116</v>
      </c>
      <c r="H9123" s="16">
        <f t="shared" ca="1" si="150"/>
        <v>-3.3316757406702688E-2</v>
      </c>
    </row>
    <row r="9124" spans="7:8" x14ac:dyDescent="0.35">
      <c r="G9124" s="215">
        <v>9117</v>
      </c>
      <c r="H9124" s="16">
        <f t="shared" ca="1" si="150"/>
        <v>9.3127364245644256E-3</v>
      </c>
    </row>
    <row r="9125" spans="7:8" x14ac:dyDescent="0.35">
      <c r="G9125" s="215">
        <v>9118</v>
      </c>
      <c r="H9125" s="16">
        <f t="shared" ca="1" si="150"/>
        <v>1.6551038631493539E-2</v>
      </c>
    </row>
    <row r="9126" spans="7:8" x14ac:dyDescent="0.35">
      <c r="G9126" s="215">
        <v>9119</v>
      </c>
      <c r="H9126" s="16">
        <f t="shared" ca="1" si="150"/>
        <v>1.3799850314867952E-2</v>
      </c>
    </row>
    <row r="9127" spans="7:8" x14ac:dyDescent="0.35">
      <c r="G9127" s="215">
        <v>9120</v>
      </c>
      <c r="H9127" s="16">
        <f t="shared" ca="1" si="150"/>
        <v>7.8842151151029827E-2</v>
      </c>
    </row>
    <row r="9128" spans="7:8" x14ac:dyDescent="0.35">
      <c r="G9128" s="215">
        <v>9121</v>
      </c>
      <c r="H9128" s="16">
        <f t="shared" ca="1" si="150"/>
        <v>6.2100839304571401E-2</v>
      </c>
    </row>
    <row r="9129" spans="7:8" x14ac:dyDescent="0.35">
      <c r="G9129" s="215">
        <v>9122</v>
      </c>
      <c r="H9129" s="16">
        <f t="shared" ca="1" si="150"/>
        <v>2.2482223385384376E-2</v>
      </c>
    </row>
    <row r="9130" spans="7:8" x14ac:dyDescent="0.35">
      <c r="G9130" s="215">
        <v>9123</v>
      </c>
      <c r="H9130" s="16">
        <f t="shared" ca="1" si="150"/>
        <v>-2.0234240363592105E-2</v>
      </c>
    </row>
    <row r="9131" spans="7:8" x14ac:dyDescent="0.35">
      <c r="G9131" s="215">
        <v>9124</v>
      </c>
      <c r="H9131" s="16">
        <f t="shared" ca="1" si="150"/>
        <v>-1.2694705811455303E-2</v>
      </c>
    </row>
    <row r="9132" spans="7:8" x14ac:dyDescent="0.35">
      <c r="G9132" s="215">
        <v>9125</v>
      </c>
      <c r="H9132" s="16">
        <f t="shared" ca="1" si="150"/>
        <v>0.10243086296593912</v>
      </c>
    </row>
    <row r="9133" spans="7:8" x14ac:dyDescent="0.35">
      <c r="G9133" s="215">
        <v>9126</v>
      </c>
      <c r="H9133" s="16">
        <f t="shared" ca="1" si="150"/>
        <v>3.1472833474758738E-2</v>
      </c>
    </row>
    <row r="9134" spans="7:8" x14ac:dyDescent="0.35">
      <c r="G9134" s="215">
        <v>9127</v>
      </c>
      <c r="H9134" s="16">
        <f t="shared" ca="1" si="150"/>
        <v>6.2181280086617954E-2</v>
      </c>
    </row>
    <row r="9135" spans="7:8" x14ac:dyDescent="0.35">
      <c r="G9135" s="215">
        <v>9128</v>
      </c>
      <c r="H9135" s="16">
        <f t="shared" ca="1" si="150"/>
        <v>9.2281337013778553E-2</v>
      </c>
    </row>
    <row r="9136" spans="7:8" x14ac:dyDescent="0.35">
      <c r="G9136" s="215">
        <v>9129</v>
      </c>
      <c r="H9136" s="16">
        <f t="shared" ca="1" si="150"/>
        <v>4.2887291737414499E-2</v>
      </c>
    </row>
    <row r="9137" spans="7:8" x14ac:dyDescent="0.35">
      <c r="G9137" s="215">
        <v>9130</v>
      </c>
      <c r="H9137" s="16">
        <f t="shared" ca="1" si="150"/>
        <v>1.7780636044896769E-2</v>
      </c>
    </row>
    <row r="9138" spans="7:8" x14ac:dyDescent="0.35">
      <c r="G9138" s="215">
        <v>9131</v>
      </c>
      <c r="H9138" s="16">
        <f t="shared" ca="1" si="150"/>
        <v>-3.2877164624722316E-2</v>
      </c>
    </row>
    <row r="9139" spans="7:8" x14ac:dyDescent="0.35">
      <c r="G9139" s="215">
        <v>9132</v>
      </c>
      <c r="H9139" s="16">
        <f t="shared" ca="1" si="150"/>
        <v>-7.0695793306314175E-2</v>
      </c>
    </row>
    <row r="9140" spans="7:8" x14ac:dyDescent="0.35">
      <c r="G9140" s="215">
        <v>9133</v>
      </c>
      <c r="H9140" s="16">
        <f t="shared" ca="1" si="150"/>
        <v>7.4963100666047416E-2</v>
      </c>
    </row>
    <row r="9141" spans="7:8" x14ac:dyDescent="0.35">
      <c r="G9141" s="215">
        <v>9134</v>
      </c>
      <c r="H9141" s="16">
        <f t="shared" ca="1" si="150"/>
        <v>9.9251988568633237E-2</v>
      </c>
    </row>
    <row r="9142" spans="7:8" x14ac:dyDescent="0.35">
      <c r="G9142" s="215">
        <v>9135</v>
      </c>
      <c r="H9142" s="16">
        <f t="shared" ca="1" si="150"/>
        <v>4.1477693439566643E-2</v>
      </c>
    </row>
    <row r="9143" spans="7:8" x14ac:dyDescent="0.35">
      <c r="G9143" s="215">
        <v>9136</v>
      </c>
      <c r="H9143" s="16">
        <f t="shared" ca="1" si="150"/>
        <v>0.17237227750045683</v>
      </c>
    </row>
    <row r="9144" spans="7:8" x14ac:dyDescent="0.35">
      <c r="G9144" s="215">
        <v>9137</v>
      </c>
      <c r="H9144" s="16">
        <f t="shared" ca="1" si="150"/>
        <v>4.27133238364725E-2</v>
      </c>
    </row>
    <row r="9145" spans="7:8" x14ac:dyDescent="0.35">
      <c r="G9145" s="215">
        <v>9138</v>
      </c>
      <c r="H9145" s="16">
        <f t="shared" ca="1" si="150"/>
        <v>2.9142835974568695E-2</v>
      </c>
    </row>
    <row r="9146" spans="7:8" x14ac:dyDescent="0.35">
      <c r="G9146" s="215">
        <v>9139</v>
      </c>
      <c r="H9146" s="16">
        <f t="shared" ca="1" si="150"/>
        <v>-3.2116943104949558E-2</v>
      </c>
    </row>
    <row r="9147" spans="7:8" x14ac:dyDescent="0.35">
      <c r="G9147" s="215">
        <v>9140</v>
      </c>
      <c r="H9147" s="16">
        <f t="shared" ca="1" si="150"/>
        <v>4.7282529161287723E-2</v>
      </c>
    </row>
    <row r="9148" spans="7:8" x14ac:dyDescent="0.35">
      <c r="G9148" s="215">
        <v>9141</v>
      </c>
      <c r="H9148" s="16">
        <f t="shared" ca="1" si="150"/>
        <v>-7.8705115795868821E-2</v>
      </c>
    </row>
    <row r="9149" spans="7:8" x14ac:dyDescent="0.35">
      <c r="G9149" s="215">
        <v>9142</v>
      </c>
      <c r="H9149" s="16">
        <f t="shared" ca="1" si="150"/>
        <v>-4.6080525878052211E-2</v>
      </c>
    </row>
    <row r="9150" spans="7:8" x14ac:dyDescent="0.35">
      <c r="G9150" s="215">
        <v>9143</v>
      </c>
      <c r="H9150" s="16">
        <f t="shared" ca="1" si="150"/>
        <v>4.1434936407344899E-2</v>
      </c>
    </row>
    <row r="9151" spans="7:8" x14ac:dyDescent="0.35">
      <c r="G9151" s="215">
        <v>9144</v>
      </c>
      <c r="H9151" s="16">
        <f t="shared" ca="1" si="150"/>
        <v>2.9500779413206134E-2</v>
      </c>
    </row>
    <row r="9152" spans="7:8" x14ac:dyDescent="0.35">
      <c r="G9152" s="215">
        <v>9145</v>
      </c>
      <c r="H9152" s="16">
        <f t="shared" ca="1" si="150"/>
        <v>5.579632670989372E-2</v>
      </c>
    </row>
    <row r="9153" spans="7:8" x14ac:dyDescent="0.35">
      <c r="G9153" s="215">
        <v>9146</v>
      </c>
      <c r="H9153" s="16">
        <f t="shared" ca="1" si="150"/>
        <v>1.675806318596388E-2</v>
      </c>
    </row>
    <row r="9154" spans="7:8" x14ac:dyDescent="0.35">
      <c r="G9154" s="215">
        <v>9147</v>
      </c>
      <c r="H9154" s="16">
        <f t="shared" ca="1" si="150"/>
        <v>7.0292943771166877E-2</v>
      </c>
    </row>
    <row r="9155" spans="7:8" x14ac:dyDescent="0.35">
      <c r="G9155" s="215">
        <v>9148</v>
      </c>
      <c r="H9155" s="16">
        <f t="shared" ca="1" si="150"/>
        <v>-2.2327431355209214E-2</v>
      </c>
    </row>
    <row r="9156" spans="7:8" x14ac:dyDescent="0.35">
      <c r="G9156" s="215">
        <v>9149</v>
      </c>
      <c r="H9156" s="16">
        <f t="shared" ca="1" si="150"/>
        <v>-3.2513440719585188E-3</v>
      </c>
    </row>
    <row r="9157" spans="7:8" x14ac:dyDescent="0.35">
      <c r="G9157" s="215">
        <v>9150</v>
      </c>
      <c r="H9157" s="16">
        <f t="shared" ca="1" si="150"/>
        <v>3.3086401605355607E-2</v>
      </c>
    </row>
    <row r="9158" spans="7:8" x14ac:dyDescent="0.35">
      <c r="G9158" s="215">
        <v>9151</v>
      </c>
      <c r="H9158" s="16">
        <f t="shared" ca="1" si="150"/>
        <v>2.9037081614241532E-3</v>
      </c>
    </row>
    <row r="9159" spans="7:8" x14ac:dyDescent="0.35">
      <c r="G9159" s="215">
        <v>9152</v>
      </c>
      <c r="H9159" s="16">
        <f t="shared" ca="1" si="150"/>
        <v>1.2129894402420488E-3</v>
      </c>
    </row>
    <row r="9160" spans="7:8" x14ac:dyDescent="0.35">
      <c r="G9160" s="215">
        <v>9153</v>
      </c>
      <c r="H9160" s="16">
        <f t="shared" ref="H9160:H9223" ca="1" si="151">_xlfn.NORM.INV(RAND(),M$10,M$11)</f>
        <v>-0.14359139098776724</v>
      </c>
    </row>
    <row r="9161" spans="7:8" x14ac:dyDescent="0.35">
      <c r="G9161" s="215">
        <v>9154</v>
      </c>
      <c r="H9161" s="16">
        <f t="shared" ca="1" si="151"/>
        <v>-4.0442132287635185E-2</v>
      </c>
    </row>
    <row r="9162" spans="7:8" x14ac:dyDescent="0.35">
      <c r="G9162" s="215">
        <v>9155</v>
      </c>
      <c r="H9162" s="16">
        <f t="shared" ca="1" si="151"/>
        <v>-9.1271202616559979E-2</v>
      </c>
    </row>
    <row r="9163" spans="7:8" x14ac:dyDescent="0.35">
      <c r="G9163" s="215">
        <v>9156</v>
      </c>
      <c r="H9163" s="16">
        <f t="shared" ca="1" si="151"/>
        <v>5.5310499678492858E-2</v>
      </c>
    </row>
    <row r="9164" spans="7:8" x14ac:dyDescent="0.35">
      <c r="G9164" s="215">
        <v>9157</v>
      </c>
      <c r="H9164" s="16">
        <f t="shared" ca="1" si="151"/>
        <v>4.6902529943406657E-2</v>
      </c>
    </row>
    <row r="9165" spans="7:8" x14ac:dyDescent="0.35">
      <c r="G9165" s="215">
        <v>9158</v>
      </c>
      <c r="H9165" s="16">
        <f t="shared" ca="1" si="151"/>
        <v>4.66573120565099E-2</v>
      </c>
    </row>
    <row r="9166" spans="7:8" x14ac:dyDescent="0.35">
      <c r="G9166" s="215">
        <v>9159</v>
      </c>
      <c r="H9166" s="16">
        <f t="shared" ca="1" si="151"/>
        <v>-6.0723539620441525E-2</v>
      </c>
    </row>
    <row r="9167" spans="7:8" x14ac:dyDescent="0.35">
      <c r="G9167" s="215">
        <v>9160</v>
      </c>
      <c r="H9167" s="16">
        <f t="shared" ca="1" si="151"/>
        <v>-8.7392659915421611E-2</v>
      </c>
    </row>
    <row r="9168" spans="7:8" x14ac:dyDescent="0.35">
      <c r="G9168" s="215">
        <v>9161</v>
      </c>
      <c r="H9168" s="16">
        <f t="shared" ca="1" si="151"/>
        <v>-2.0858372856959729E-2</v>
      </c>
    </row>
    <row r="9169" spans="7:8" x14ac:dyDescent="0.35">
      <c r="G9169" s="215">
        <v>9162</v>
      </c>
      <c r="H9169" s="16">
        <f t="shared" ca="1" si="151"/>
        <v>-0.12533526203348794</v>
      </c>
    </row>
    <row r="9170" spans="7:8" x14ac:dyDescent="0.35">
      <c r="G9170" s="215">
        <v>9163</v>
      </c>
      <c r="H9170" s="16">
        <f t="shared" ca="1" si="151"/>
        <v>-8.8888634636117153E-3</v>
      </c>
    </row>
    <row r="9171" spans="7:8" x14ac:dyDescent="0.35">
      <c r="G9171" s="215">
        <v>9164</v>
      </c>
      <c r="H9171" s="16">
        <f t="shared" ca="1" si="151"/>
        <v>-0.14128709381402388</v>
      </c>
    </row>
    <row r="9172" spans="7:8" x14ac:dyDescent="0.35">
      <c r="G9172" s="215">
        <v>9165</v>
      </c>
      <c r="H9172" s="16">
        <f t="shared" ca="1" si="151"/>
        <v>-9.9773612039345434E-3</v>
      </c>
    </row>
    <row r="9173" spans="7:8" x14ac:dyDescent="0.35">
      <c r="G9173" s="215">
        <v>9166</v>
      </c>
      <c r="H9173" s="16">
        <f t="shared" ca="1" si="151"/>
        <v>3.6474002731962385E-2</v>
      </c>
    </row>
    <row r="9174" spans="7:8" x14ac:dyDescent="0.35">
      <c r="G9174" s="215">
        <v>9167</v>
      </c>
      <c r="H9174" s="16">
        <f t="shared" ca="1" si="151"/>
        <v>2.0124924995310836E-2</v>
      </c>
    </row>
    <row r="9175" spans="7:8" x14ac:dyDescent="0.35">
      <c r="G9175" s="215">
        <v>9168</v>
      </c>
      <c r="H9175" s="16">
        <f t="shared" ca="1" si="151"/>
        <v>-3.5638029439114427E-2</v>
      </c>
    </row>
    <row r="9176" spans="7:8" x14ac:dyDescent="0.35">
      <c r="G9176" s="215">
        <v>9169</v>
      </c>
      <c r="H9176" s="16">
        <f t="shared" ca="1" si="151"/>
        <v>8.0255542967944571E-2</v>
      </c>
    </row>
    <row r="9177" spans="7:8" x14ac:dyDescent="0.35">
      <c r="G9177" s="215">
        <v>9170</v>
      </c>
      <c r="H9177" s="16">
        <f t="shared" ca="1" si="151"/>
        <v>6.9442843305426355E-2</v>
      </c>
    </row>
    <row r="9178" spans="7:8" x14ac:dyDescent="0.35">
      <c r="G9178" s="215">
        <v>9171</v>
      </c>
      <c r="H9178" s="16">
        <f t="shared" ca="1" si="151"/>
        <v>-4.9184174014010353E-4</v>
      </c>
    </row>
    <row r="9179" spans="7:8" x14ac:dyDescent="0.35">
      <c r="G9179" s="215">
        <v>9172</v>
      </c>
      <c r="H9179" s="16">
        <f t="shared" ca="1" si="151"/>
        <v>-8.8448312338544166E-2</v>
      </c>
    </row>
    <row r="9180" spans="7:8" x14ac:dyDescent="0.35">
      <c r="G9180" s="215">
        <v>9173</v>
      </c>
      <c r="H9180" s="16">
        <f t="shared" ca="1" si="151"/>
        <v>-0.12594017638793753</v>
      </c>
    </row>
    <row r="9181" spans="7:8" x14ac:dyDescent="0.35">
      <c r="G9181" s="215">
        <v>9174</v>
      </c>
      <c r="H9181" s="16">
        <f t="shared" ca="1" si="151"/>
        <v>-2.0319260733951749E-2</v>
      </c>
    </row>
    <row r="9182" spans="7:8" x14ac:dyDescent="0.35">
      <c r="G9182" s="215">
        <v>9175</v>
      </c>
      <c r="H9182" s="16">
        <f t="shared" ca="1" si="151"/>
        <v>6.210120917363425E-2</v>
      </c>
    </row>
    <row r="9183" spans="7:8" x14ac:dyDescent="0.35">
      <c r="G9183" s="215">
        <v>9176</v>
      </c>
      <c r="H9183" s="16">
        <f t="shared" ca="1" si="151"/>
        <v>-3.4504753093162303E-3</v>
      </c>
    </row>
    <row r="9184" spans="7:8" x14ac:dyDescent="0.35">
      <c r="G9184" s="215">
        <v>9177</v>
      </c>
      <c r="H9184" s="16">
        <f t="shared" ca="1" si="151"/>
        <v>4.3798660671029291E-2</v>
      </c>
    </row>
    <row r="9185" spans="7:8" x14ac:dyDescent="0.35">
      <c r="G9185" s="215">
        <v>9178</v>
      </c>
      <c r="H9185" s="16">
        <f t="shared" ca="1" si="151"/>
        <v>-1.908305798468769E-2</v>
      </c>
    </row>
    <row r="9186" spans="7:8" x14ac:dyDescent="0.35">
      <c r="G9186" s="215">
        <v>9179</v>
      </c>
      <c r="H9186" s="16">
        <f t="shared" ca="1" si="151"/>
        <v>-3.416926271742679E-2</v>
      </c>
    </row>
    <row r="9187" spans="7:8" x14ac:dyDescent="0.35">
      <c r="G9187" s="215">
        <v>9180</v>
      </c>
      <c r="H9187" s="16">
        <f t="shared" ca="1" si="151"/>
        <v>0.12738376460648429</v>
      </c>
    </row>
    <row r="9188" spans="7:8" x14ac:dyDescent="0.35">
      <c r="G9188" s="215">
        <v>9181</v>
      </c>
      <c r="H9188" s="16">
        <f t="shared" ca="1" si="151"/>
        <v>-2.7662174725967829E-2</v>
      </c>
    </row>
    <row r="9189" spans="7:8" x14ac:dyDescent="0.35">
      <c r="G9189" s="215">
        <v>9182</v>
      </c>
      <c r="H9189" s="16">
        <f t="shared" ca="1" si="151"/>
        <v>-3.3416265483524388E-2</v>
      </c>
    </row>
    <row r="9190" spans="7:8" x14ac:dyDescent="0.35">
      <c r="G9190" s="215">
        <v>9183</v>
      </c>
      <c r="H9190" s="16">
        <f t="shared" ca="1" si="151"/>
        <v>-5.0524104761020434E-3</v>
      </c>
    </row>
    <row r="9191" spans="7:8" x14ac:dyDescent="0.35">
      <c r="G9191" s="215">
        <v>9184</v>
      </c>
      <c r="H9191" s="16">
        <f t="shared" ca="1" si="151"/>
        <v>8.6357536860703119E-2</v>
      </c>
    </row>
    <row r="9192" spans="7:8" x14ac:dyDescent="0.35">
      <c r="G9192" s="215">
        <v>9185</v>
      </c>
      <c r="H9192" s="16">
        <f t="shared" ca="1" si="151"/>
        <v>9.5695566547771074E-2</v>
      </c>
    </row>
    <row r="9193" spans="7:8" x14ac:dyDescent="0.35">
      <c r="G9193" s="215">
        <v>9186</v>
      </c>
      <c r="H9193" s="16">
        <f t="shared" ca="1" si="151"/>
        <v>-0.12831361334001165</v>
      </c>
    </row>
    <row r="9194" spans="7:8" x14ac:dyDescent="0.35">
      <c r="G9194" s="215">
        <v>9187</v>
      </c>
      <c r="H9194" s="16">
        <f t="shared" ca="1" si="151"/>
        <v>3.1831039039428688E-2</v>
      </c>
    </row>
    <row r="9195" spans="7:8" x14ac:dyDescent="0.35">
      <c r="G9195" s="215">
        <v>9188</v>
      </c>
      <c r="H9195" s="16">
        <f t="shared" ca="1" si="151"/>
        <v>4.1337298320594518E-2</v>
      </c>
    </row>
    <row r="9196" spans="7:8" x14ac:dyDescent="0.35">
      <c r="G9196" s="215">
        <v>9189</v>
      </c>
      <c r="H9196" s="16">
        <f t="shared" ca="1" si="151"/>
        <v>2.0459060253837449E-2</v>
      </c>
    </row>
    <row r="9197" spans="7:8" x14ac:dyDescent="0.35">
      <c r="G9197" s="215">
        <v>9190</v>
      </c>
      <c r="H9197" s="16">
        <f t="shared" ca="1" si="151"/>
        <v>6.7936862199381248E-2</v>
      </c>
    </row>
    <row r="9198" spans="7:8" x14ac:dyDescent="0.35">
      <c r="G9198" s="215">
        <v>9191</v>
      </c>
      <c r="H9198" s="16">
        <f t="shared" ca="1" si="151"/>
        <v>6.0483910736825575E-2</v>
      </c>
    </row>
    <row r="9199" spans="7:8" x14ac:dyDescent="0.35">
      <c r="G9199" s="215">
        <v>9192</v>
      </c>
      <c r="H9199" s="16">
        <f t="shared" ca="1" si="151"/>
        <v>5.8437154534308783E-2</v>
      </c>
    </row>
    <row r="9200" spans="7:8" x14ac:dyDescent="0.35">
      <c r="G9200" s="215">
        <v>9193</v>
      </c>
      <c r="H9200" s="16">
        <f t="shared" ca="1" si="151"/>
        <v>-9.0850382903253542E-3</v>
      </c>
    </row>
    <row r="9201" spans="7:8" x14ac:dyDescent="0.35">
      <c r="G9201" s="215">
        <v>9194</v>
      </c>
      <c r="H9201" s="16">
        <f t="shared" ca="1" si="151"/>
        <v>0.14095310018659429</v>
      </c>
    </row>
    <row r="9202" spans="7:8" x14ac:dyDescent="0.35">
      <c r="G9202" s="215">
        <v>9195</v>
      </c>
      <c r="H9202" s="16">
        <f t="shared" ca="1" si="151"/>
        <v>-0.20562967695382961</v>
      </c>
    </row>
    <row r="9203" spans="7:8" x14ac:dyDescent="0.35">
      <c r="G9203" s="215">
        <v>9196</v>
      </c>
      <c r="H9203" s="16">
        <f t="shared" ca="1" si="151"/>
        <v>5.283177035555181E-2</v>
      </c>
    </row>
    <row r="9204" spans="7:8" x14ac:dyDescent="0.35">
      <c r="G9204" s="215">
        <v>9197</v>
      </c>
      <c r="H9204" s="16">
        <f t="shared" ca="1" si="151"/>
        <v>7.410433604776244E-3</v>
      </c>
    </row>
    <row r="9205" spans="7:8" x14ac:dyDescent="0.35">
      <c r="G9205" s="215">
        <v>9198</v>
      </c>
      <c r="H9205" s="16">
        <f t="shared" ca="1" si="151"/>
        <v>-2.9883452212457213E-2</v>
      </c>
    </row>
    <row r="9206" spans="7:8" x14ac:dyDescent="0.35">
      <c r="G9206" s="215">
        <v>9199</v>
      </c>
      <c r="H9206" s="16">
        <f t="shared" ca="1" si="151"/>
        <v>-2.6403163885274934E-3</v>
      </c>
    </row>
    <row r="9207" spans="7:8" x14ac:dyDescent="0.35">
      <c r="G9207" s="215">
        <v>9200</v>
      </c>
      <c r="H9207" s="16">
        <f t="shared" ca="1" si="151"/>
        <v>5.9154526441586752E-2</v>
      </c>
    </row>
    <row r="9208" spans="7:8" x14ac:dyDescent="0.35">
      <c r="G9208" s="215">
        <v>9201</v>
      </c>
      <c r="H9208" s="16">
        <f t="shared" ca="1" si="151"/>
        <v>-3.705860393786134E-3</v>
      </c>
    </row>
    <row r="9209" spans="7:8" x14ac:dyDescent="0.35">
      <c r="G9209" s="215">
        <v>9202</v>
      </c>
      <c r="H9209" s="16">
        <f t="shared" ca="1" si="151"/>
        <v>5.058870329484122E-2</v>
      </c>
    </row>
    <row r="9210" spans="7:8" x14ac:dyDescent="0.35">
      <c r="G9210" s="215">
        <v>9203</v>
      </c>
      <c r="H9210" s="16">
        <f t="shared" ca="1" si="151"/>
        <v>4.6497298280835597E-2</v>
      </c>
    </row>
    <row r="9211" spans="7:8" x14ac:dyDescent="0.35">
      <c r="G9211" s="215">
        <v>9204</v>
      </c>
      <c r="H9211" s="16">
        <f t="shared" ca="1" si="151"/>
        <v>-3.4029234800589697E-2</v>
      </c>
    </row>
    <row r="9212" spans="7:8" x14ac:dyDescent="0.35">
      <c r="G9212" s="215">
        <v>9205</v>
      </c>
      <c r="H9212" s="16">
        <f t="shared" ca="1" si="151"/>
        <v>-8.280558661631425E-2</v>
      </c>
    </row>
    <row r="9213" spans="7:8" x14ac:dyDescent="0.35">
      <c r="G9213" s="215">
        <v>9206</v>
      </c>
      <c r="H9213" s="16">
        <f t="shared" ca="1" si="151"/>
        <v>0.11048927238271865</v>
      </c>
    </row>
    <row r="9214" spans="7:8" x14ac:dyDescent="0.35">
      <c r="G9214" s="215">
        <v>9207</v>
      </c>
      <c r="H9214" s="16">
        <f t="shared" ca="1" si="151"/>
        <v>-7.4187515360103679E-2</v>
      </c>
    </row>
    <row r="9215" spans="7:8" x14ac:dyDescent="0.35">
      <c r="G9215" s="215">
        <v>9208</v>
      </c>
      <c r="H9215" s="16">
        <f t="shared" ca="1" si="151"/>
        <v>8.305851552651046E-2</v>
      </c>
    </row>
    <row r="9216" spans="7:8" x14ac:dyDescent="0.35">
      <c r="G9216" s="215">
        <v>9209</v>
      </c>
      <c r="H9216" s="16">
        <f t="shared" ca="1" si="151"/>
        <v>-1.6596143666648262E-2</v>
      </c>
    </row>
    <row r="9217" spans="7:8" x14ac:dyDescent="0.35">
      <c r="G9217" s="215">
        <v>9210</v>
      </c>
      <c r="H9217" s="16">
        <f t="shared" ca="1" si="151"/>
        <v>0.17496667617025252</v>
      </c>
    </row>
    <row r="9218" spans="7:8" x14ac:dyDescent="0.35">
      <c r="G9218" s="215">
        <v>9211</v>
      </c>
      <c r="H9218" s="16">
        <f t="shared" ca="1" si="151"/>
        <v>-9.6742198645256378E-2</v>
      </c>
    </row>
    <row r="9219" spans="7:8" x14ac:dyDescent="0.35">
      <c r="G9219" s="215">
        <v>9212</v>
      </c>
      <c r="H9219" s="16">
        <f t="shared" ca="1" si="151"/>
        <v>1.7960085732179949E-2</v>
      </c>
    </row>
    <row r="9220" spans="7:8" x14ac:dyDescent="0.35">
      <c r="G9220" s="215">
        <v>9213</v>
      </c>
      <c r="H9220" s="16">
        <f t="shared" ca="1" si="151"/>
        <v>3.8180763183062419E-2</v>
      </c>
    </row>
    <row r="9221" spans="7:8" x14ac:dyDescent="0.35">
      <c r="G9221" s="215">
        <v>9214</v>
      </c>
      <c r="H9221" s="16">
        <f t="shared" ca="1" si="151"/>
        <v>3.2656361396169828E-2</v>
      </c>
    </row>
    <row r="9222" spans="7:8" x14ac:dyDescent="0.35">
      <c r="G9222" s="215">
        <v>9215</v>
      </c>
      <c r="H9222" s="16">
        <f t="shared" ca="1" si="151"/>
        <v>5.8610974158829002E-2</v>
      </c>
    </row>
    <row r="9223" spans="7:8" x14ac:dyDescent="0.35">
      <c r="G9223" s="215">
        <v>9216</v>
      </c>
      <c r="H9223" s="16">
        <f t="shared" ca="1" si="151"/>
        <v>-1.6217017284199813E-2</v>
      </c>
    </row>
    <row r="9224" spans="7:8" x14ac:dyDescent="0.35">
      <c r="G9224" s="215">
        <v>9217</v>
      </c>
      <c r="H9224" s="16">
        <f t="shared" ref="H9224:H9287" ca="1" si="152">_xlfn.NORM.INV(RAND(),M$10,M$11)</f>
        <v>-4.1591390670491279E-2</v>
      </c>
    </row>
    <row r="9225" spans="7:8" x14ac:dyDescent="0.35">
      <c r="G9225" s="215">
        <v>9218</v>
      </c>
      <c r="H9225" s="16">
        <f t="shared" ca="1" si="152"/>
        <v>-5.9063825883788432E-2</v>
      </c>
    </row>
    <row r="9226" spans="7:8" x14ac:dyDescent="0.35">
      <c r="G9226" s="215">
        <v>9219</v>
      </c>
      <c r="H9226" s="16">
        <f t="shared" ca="1" si="152"/>
        <v>0.10770179143250767</v>
      </c>
    </row>
    <row r="9227" spans="7:8" x14ac:dyDescent="0.35">
      <c r="G9227" s="215">
        <v>9220</v>
      </c>
      <c r="H9227" s="16">
        <f t="shared" ca="1" si="152"/>
        <v>5.447432341895643E-2</v>
      </c>
    </row>
    <row r="9228" spans="7:8" x14ac:dyDescent="0.35">
      <c r="G9228" s="215">
        <v>9221</v>
      </c>
      <c r="H9228" s="16">
        <f t="shared" ca="1" si="152"/>
        <v>-2.9479893641423737E-2</v>
      </c>
    </row>
    <row r="9229" spans="7:8" x14ac:dyDescent="0.35">
      <c r="G9229" s="215">
        <v>9222</v>
      </c>
      <c r="H9229" s="16">
        <f t="shared" ca="1" si="152"/>
        <v>3.8095021984794322E-2</v>
      </c>
    </row>
    <row r="9230" spans="7:8" x14ac:dyDescent="0.35">
      <c r="G9230" s="215">
        <v>9223</v>
      </c>
      <c r="H9230" s="16">
        <f t="shared" ca="1" si="152"/>
        <v>4.1342329701956365E-2</v>
      </c>
    </row>
    <row r="9231" spans="7:8" x14ac:dyDescent="0.35">
      <c r="G9231" s="215">
        <v>9224</v>
      </c>
      <c r="H9231" s="16">
        <f t="shared" ca="1" si="152"/>
        <v>-3.5554754035775196E-2</v>
      </c>
    </row>
    <row r="9232" spans="7:8" x14ac:dyDescent="0.35">
      <c r="G9232" s="215">
        <v>9225</v>
      </c>
      <c r="H9232" s="16">
        <f t="shared" ca="1" si="152"/>
        <v>-0.15710512446251101</v>
      </c>
    </row>
    <row r="9233" spans="7:8" x14ac:dyDescent="0.35">
      <c r="G9233" s="215">
        <v>9226</v>
      </c>
      <c r="H9233" s="16">
        <f t="shared" ca="1" si="152"/>
        <v>5.202858710687247E-2</v>
      </c>
    </row>
    <row r="9234" spans="7:8" x14ac:dyDescent="0.35">
      <c r="G9234" s="215">
        <v>9227</v>
      </c>
      <c r="H9234" s="16">
        <f t="shared" ca="1" si="152"/>
        <v>-8.2566699530791529E-2</v>
      </c>
    </row>
    <row r="9235" spans="7:8" x14ac:dyDescent="0.35">
      <c r="G9235" s="215">
        <v>9228</v>
      </c>
      <c r="H9235" s="16">
        <f t="shared" ca="1" si="152"/>
        <v>-9.881099876933766E-3</v>
      </c>
    </row>
    <row r="9236" spans="7:8" x14ac:dyDescent="0.35">
      <c r="G9236" s="215">
        <v>9229</v>
      </c>
      <c r="H9236" s="16">
        <f t="shared" ca="1" si="152"/>
        <v>-0.17890007332411337</v>
      </c>
    </row>
    <row r="9237" spans="7:8" x14ac:dyDescent="0.35">
      <c r="G9237" s="215">
        <v>9230</v>
      </c>
      <c r="H9237" s="16">
        <f t="shared" ca="1" si="152"/>
        <v>1.1084445594584822E-2</v>
      </c>
    </row>
    <row r="9238" spans="7:8" x14ac:dyDescent="0.35">
      <c r="G9238" s="215">
        <v>9231</v>
      </c>
      <c r="H9238" s="16">
        <f t="shared" ca="1" si="152"/>
        <v>5.8472294653691068E-2</v>
      </c>
    </row>
    <row r="9239" spans="7:8" x14ac:dyDescent="0.35">
      <c r="G9239" s="215">
        <v>9232</v>
      </c>
      <c r="H9239" s="16">
        <f t="shared" ca="1" si="152"/>
        <v>-5.8265670029821609E-2</v>
      </c>
    </row>
    <row r="9240" spans="7:8" x14ac:dyDescent="0.35">
      <c r="G9240" s="215">
        <v>9233</v>
      </c>
      <c r="H9240" s="16">
        <f t="shared" ca="1" si="152"/>
        <v>-0.12246401975528007</v>
      </c>
    </row>
    <row r="9241" spans="7:8" x14ac:dyDescent="0.35">
      <c r="G9241" s="215">
        <v>9234</v>
      </c>
      <c r="H9241" s="16">
        <f t="shared" ca="1" si="152"/>
        <v>0.10017818817063544</v>
      </c>
    </row>
    <row r="9242" spans="7:8" x14ac:dyDescent="0.35">
      <c r="G9242" s="215">
        <v>9235</v>
      </c>
      <c r="H9242" s="16">
        <f t="shared" ca="1" si="152"/>
        <v>2.7328622376893888E-2</v>
      </c>
    </row>
    <row r="9243" spans="7:8" x14ac:dyDescent="0.35">
      <c r="G9243" s="215">
        <v>9236</v>
      </c>
      <c r="H9243" s="16">
        <f t="shared" ca="1" si="152"/>
        <v>0.12277709327146626</v>
      </c>
    </row>
    <row r="9244" spans="7:8" x14ac:dyDescent="0.35">
      <c r="G9244" s="215">
        <v>9237</v>
      </c>
      <c r="H9244" s="16">
        <f t="shared" ca="1" si="152"/>
        <v>5.6122498208139707E-2</v>
      </c>
    </row>
    <row r="9245" spans="7:8" x14ac:dyDescent="0.35">
      <c r="G9245" s="215">
        <v>9238</v>
      </c>
      <c r="H9245" s="16">
        <f t="shared" ca="1" si="152"/>
        <v>-7.7543772933448593E-2</v>
      </c>
    </row>
    <row r="9246" spans="7:8" x14ac:dyDescent="0.35">
      <c r="G9246" s="215">
        <v>9239</v>
      </c>
      <c r="H9246" s="16">
        <f t="shared" ca="1" si="152"/>
        <v>-7.2671458115157642E-2</v>
      </c>
    </row>
    <row r="9247" spans="7:8" x14ac:dyDescent="0.35">
      <c r="G9247" s="215">
        <v>9240</v>
      </c>
      <c r="H9247" s="16">
        <f t="shared" ca="1" si="152"/>
        <v>-5.9897188371990755E-3</v>
      </c>
    </row>
    <row r="9248" spans="7:8" x14ac:dyDescent="0.35">
      <c r="G9248" s="215">
        <v>9241</v>
      </c>
      <c r="H9248" s="16">
        <f t="shared" ca="1" si="152"/>
        <v>-4.2943382563298174E-2</v>
      </c>
    </row>
    <row r="9249" spans="7:8" x14ac:dyDescent="0.35">
      <c r="G9249" s="215">
        <v>9242</v>
      </c>
      <c r="H9249" s="16">
        <f t="shared" ca="1" si="152"/>
        <v>7.6667705701344005E-3</v>
      </c>
    </row>
    <row r="9250" spans="7:8" x14ac:dyDescent="0.35">
      <c r="G9250" s="215">
        <v>9243</v>
      </c>
      <c r="H9250" s="16">
        <f t="shared" ca="1" si="152"/>
        <v>7.4727614833340131E-2</v>
      </c>
    </row>
    <row r="9251" spans="7:8" x14ac:dyDescent="0.35">
      <c r="G9251" s="215">
        <v>9244</v>
      </c>
      <c r="H9251" s="16">
        <f t="shared" ca="1" si="152"/>
        <v>-4.2180073910426732E-3</v>
      </c>
    </row>
    <row r="9252" spans="7:8" x14ac:dyDescent="0.35">
      <c r="G9252" s="215">
        <v>9245</v>
      </c>
      <c r="H9252" s="16">
        <f t="shared" ca="1" si="152"/>
        <v>-3.7497590476359088E-2</v>
      </c>
    </row>
    <row r="9253" spans="7:8" x14ac:dyDescent="0.35">
      <c r="G9253" s="215">
        <v>9246</v>
      </c>
      <c r="H9253" s="16">
        <f t="shared" ca="1" si="152"/>
        <v>6.4768130929699824E-2</v>
      </c>
    </row>
    <row r="9254" spans="7:8" x14ac:dyDescent="0.35">
      <c r="G9254" s="215">
        <v>9247</v>
      </c>
      <c r="H9254" s="16">
        <f t="shared" ca="1" si="152"/>
        <v>1.6977238608449702E-2</v>
      </c>
    </row>
    <row r="9255" spans="7:8" x14ac:dyDescent="0.35">
      <c r="G9255" s="215">
        <v>9248</v>
      </c>
      <c r="H9255" s="16">
        <f t="shared" ca="1" si="152"/>
        <v>0.12567240775239658</v>
      </c>
    </row>
    <row r="9256" spans="7:8" x14ac:dyDescent="0.35">
      <c r="G9256" s="215">
        <v>9249</v>
      </c>
      <c r="H9256" s="16">
        <f t="shared" ca="1" si="152"/>
        <v>-3.2050350165757635E-2</v>
      </c>
    </row>
    <row r="9257" spans="7:8" x14ac:dyDescent="0.35">
      <c r="G9257" s="215">
        <v>9250</v>
      </c>
      <c r="H9257" s="16">
        <f t="shared" ca="1" si="152"/>
        <v>1.7839736670965705E-2</v>
      </c>
    </row>
    <row r="9258" spans="7:8" x14ac:dyDescent="0.35">
      <c r="G9258" s="215">
        <v>9251</v>
      </c>
      <c r="H9258" s="16">
        <f t="shared" ca="1" si="152"/>
        <v>-1.6851457897683445E-2</v>
      </c>
    </row>
    <row r="9259" spans="7:8" x14ac:dyDescent="0.35">
      <c r="G9259" s="215">
        <v>9252</v>
      </c>
      <c r="H9259" s="16">
        <f t="shared" ca="1" si="152"/>
        <v>1.2791541817478748E-4</v>
      </c>
    </row>
    <row r="9260" spans="7:8" x14ac:dyDescent="0.35">
      <c r="G9260" s="215">
        <v>9253</v>
      </c>
      <c r="H9260" s="16">
        <f t="shared" ca="1" si="152"/>
        <v>-4.8477823444743107E-2</v>
      </c>
    </row>
    <row r="9261" spans="7:8" x14ac:dyDescent="0.35">
      <c r="G9261" s="215">
        <v>9254</v>
      </c>
      <c r="H9261" s="16">
        <f t="shared" ca="1" si="152"/>
        <v>0.10364457823107785</v>
      </c>
    </row>
    <row r="9262" spans="7:8" x14ac:dyDescent="0.35">
      <c r="G9262" s="215">
        <v>9255</v>
      </c>
      <c r="H9262" s="16">
        <f t="shared" ca="1" si="152"/>
        <v>2.1111462616351804E-2</v>
      </c>
    </row>
    <row r="9263" spans="7:8" x14ac:dyDescent="0.35">
      <c r="G9263" s="215">
        <v>9256</v>
      </c>
      <c r="H9263" s="16">
        <f t="shared" ca="1" si="152"/>
        <v>-3.8491082356716361E-2</v>
      </c>
    </row>
    <row r="9264" spans="7:8" x14ac:dyDescent="0.35">
      <c r="G9264" s="215">
        <v>9257</v>
      </c>
      <c r="H9264" s="16">
        <f t="shared" ca="1" si="152"/>
        <v>-5.3344217973583338E-2</v>
      </c>
    </row>
    <row r="9265" spans="7:8" x14ac:dyDescent="0.35">
      <c r="G9265" s="215">
        <v>9258</v>
      </c>
      <c r="H9265" s="16">
        <f t="shared" ca="1" si="152"/>
        <v>-8.1725716529474107E-2</v>
      </c>
    </row>
    <row r="9266" spans="7:8" x14ac:dyDescent="0.35">
      <c r="G9266" s="215">
        <v>9259</v>
      </c>
      <c r="H9266" s="16">
        <f t="shared" ca="1" si="152"/>
        <v>-0.14803793633452614</v>
      </c>
    </row>
    <row r="9267" spans="7:8" x14ac:dyDescent="0.35">
      <c r="G9267" s="215">
        <v>9260</v>
      </c>
      <c r="H9267" s="16">
        <f t="shared" ca="1" si="152"/>
        <v>-5.7135586546716313E-2</v>
      </c>
    </row>
    <row r="9268" spans="7:8" x14ac:dyDescent="0.35">
      <c r="G9268" s="215">
        <v>9261</v>
      </c>
      <c r="H9268" s="16">
        <f t="shared" ca="1" si="152"/>
        <v>4.8818572477253311E-2</v>
      </c>
    </row>
    <row r="9269" spans="7:8" x14ac:dyDescent="0.35">
      <c r="G9269" s="215">
        <v>9262</v>
      </c>
      <c r="H9269" s="16">
        <f t="shared" ca="1" si="152"/>
        <v>0.11092742503653059</v>
      </c>
    </row>
    <row r="9270" spans="7:8" x14ac:dyDescent="0.35">
      <c r="G9270" s="215">
        <v>9263</v>
      </c>
      <c r="H9270" s="16">
        <f t="shared" ca="1" si="152"/>
        <v>-3.7512160300085737E-2</v>
      </c>
    </row>
    <row r="9271" spans="7:8" x14ac:dyDescent="0.35">
      <c r="G9271" s="215">
        <v>9264</v>
      </c>
      <c r="H9271" s="16">
        <f t="shared" ca="1" si="152"/>
        <v>0.11853868517573647</v>
      </c>
    </row>
    <row r="9272" spans="7:8" x14ac:dyDescent="0.35">
      <c r="G9272" s="215">
        <v>9265</v>
      </c>
      <c r="H9272" s="16">
        <f t="shared" ca="1" si="152"/>
        <v>9.376082982548363E-2</v>
      </c>
    </row>
    <row r="9273" spans="7:8" x14ac:dyDescent="0.35">
      <c r="G9273" s="215">
        <v>9266</v>
      </c>
      <c r="H9273" s="16">
        <f t="shared" ca="1" si="152"/>
        <v>0.16126361031966427</v>
      </c>
    </row>
    <row r="9274" spans="7:8" x14ac:dyDescent="0.35">
      <c r="G9274" s="215">
        <v>9267</v>
      </c>
      <c r="H9274" s="16">
        <f t="shared" ca="1" si="152"/>
        <v>2.5954821138026288E-2</v>
      </c>
    </row>
    <row r="9275" spans="7:8" x14ac:dyDescent="0.35">
      <c r="G9275" s="215">
        <v>9268</v>
      </c>
      <c r="H9275" s="16">
        <f t="shared" ca="1" si="152"/>
        <v>-6.8109140665186654E-2</v>
      </c>
    </row>
    <row r="9276" spans="7:8" x14ac:dyDescent="0.35">
      <c r="G9276" s="215">
        <v>9269</v>
      </c>
      <c r="H9276" s="16">
        <f t="shared" ca="1" si="152"/>
        <v>-3.41879123118808E-2</v>
      </c>
    </row>
    <row r="9277" spans="7:8" x14ac:dyDescent="0.35">
      <c r="G9277" s="215">
        <v>9270</v>
      </c>
      <c r="H9277" s="16">
        <f t="shared" ca="1" si="152"/>
        <v>1.2215087570749667E-2</v>
      </c>
    </row>
    <row r="9278" spans="7:8" x14ac:dyDescent="0.35">
      <c r="G9278" s="215">
        <v>9271</v>
      </c>
      <c r="H9278" s="16">
        <f t="shared" ca="1" si="152"/>
        <v>6.941374673032534E-2</v>
      </c>
    </row>
    <row r="9279" spans="7:8" x14ac:dyDescent="0.35">
      <c r="G9279" s="215">
        <v>9272</v>
      </c>
      <c r="H9279" s="16">
        <f t="shared" ca="1" si="152"/>
        <v>3.1733958600369414E-2</v>
      </c>
    </row>
    <row r="9280" spans="7:8" x14ac:dyDescent="0.35">
      <c r="G9280" s="215">
        <v>9273</v>
      </c>
      <c r="H9280" s="16">
        <f t="shared" ca="1" si="152"/>
        <v>4.8567637023457545E-3</v>
      </c>
    </row>
    <row r="9281" spans="7:8" x14ac:dyDescent="0.35">
      <c r="G9281" s="215">
        <v>9274</v>
      </c>
      <c r="H9281" s="16">
        <f t="shared" ca="1" si="152"/>
        <v>0.16088174573249361</v>
      </c>
    </row>
    <row r="9282" spans="7:8" x14ac:dyDescent="0.35">
      <c r="G9282" s="215">
        <v>9275</v>
      </c>
      <c r="H9282" s="16">
        <f t="shared" ca="1" si="152"/>
        <v>-8.6876029856701814E-2</v>
      </c>
    </row>
    <row r="9283" spans="7:8" x14ac:dyDescent="0.35">
      <c r="G9283" s="215">
        <v>9276</v>
      </c>
      <c r="H9283" s="16">
        <f t="shared" ca="1" si="152"/>
        <v>-4.5658828562642667E-2</v>
      </c>
    </row>
    <row r="9284" spans="7:8" x14ac:dyDescent="0.35">
      <c r="G9284" s="215">
        <v>9277</v>
      </c>
      <c r="H9284" s="16">
        <f t="shared" ca="1" si="152"/>
        <v>8.0418564626141983E-2</v>
      </c>
    </row>
    <row r="9285" spans="7:8" x14ac:dyDescent="0.35">
      <c r="G9285" s="215">
        <v>9278</v>
      </c>
      <c r="H9285" s="16">
        <f t="shared" ca="1" si="152"/>
        <v>7.2482241873936828E-2</v>
      </c>
    </row>
    <row r="9286" spans="7:8" x14ac:dyDescent="0.35">
      <c r="G9286" s="215">
        <v>9279</v>
      </c>
      <c r="H9286" s="16">
        <f t="shared" ca="1" si="152"/>
        <v>-3.1994553913355338E-3</v>
      </c>
    </row>
    <row r="9287" spans="7:8" x14ac:dyDescent="0.35">
      <c r="G9287" s="215">
        <v>9280</v>
      </c>
      <c r="H9287" s="16">
        <f t="shared" ca="1" si="152"/>
        <v>2.0364228486873311E-2</v>
      </c>
    </row>
    <row r="9288" spans="7:8" x14ac:dyDescent="0.35">
      <c r="G9288" s="215">
        <v>9281</v>
      </c>
      <c r="H9288" s="16">
        <f t="shared" ref="H9288:H9351" ca="1" si="153">_xlfn.NORM.INV(RAND(),M$10,M$11)</f>
        <v>4.5101905090682196E-2</v>
      </c>
    </row>
    <row r="9289" spans="7:8" x14ac:dyDescent="0.35">
      <c r="G9289" s="215">
        <v>9282</v>
      </c>
      <c r="H9289" s="16">
        <f t="shared" ca="1" si="153"/>
        <v>1.4085773828800326E-3</v>
      </c>
    </row>
    <row r="9290" spans="7:8" x14ac:dyDescent="0.35">
      <c r="G9290" s="215">
        <v>9283</v>
      </c>
      <c r="H9290" s="16">
        <f t="shared" ca="1" si="153"/>
        <v>0.10614770399331887</v>
      </c>
    </row>
    <row r="9291" spans="7:8" x14ac:dyDescent="0.35">
      <c r="G9291" s="215">
        <v>9284</v>
      </c>
      <c r="H9291" s="16">
        <f t="shared" ca="1" si="153"/>
        <v>-7.4248374505211712E-2</v>
      </c>
    </row>
    <row r="9292" spans="7:8" x14ac:dyDescent="0.35">
      <c r="G9292" s="215">
        <v>9285</v>
      </c>
      <c r="H9292" s="16">
        <f t="shared" ca="1" si="153"/>
        <v>0.19715396980493455</v>
      </c>
    </row>
    <row r="9293" spans="7:8" x14ac:dyDescent="0.35">
      <c r="G9293" s="215">
        <v>9286</v>
      </c>
      <c r="H9293" s="16">
        <f t="shared" ca="1" si="153"/>
        <v>9.0419425960306471E-2</v>
      </c>
    </row>
    <row r="9294" spans="7:8" x14ac:dyDescent="0.35">
      <c r="G9294" s="215">
        <v>9287</v>
      </c>
      <c r="H9294" s="16">
        <f t="shared" ca="1" si="153"/>
        <v>0.14636838511903213</v>
      </c>
    </row>
    <row r="9295" spans="7:8" x14ac:dyDescent="0.35">
      <c r="G9295" s="215">
        <v>9288</v>
      </c>
      <c r="H9295" s="16">
        <f t="shared" ca="1" si="153"/>
        <v>-6.874141039445103E-2</v>
      </c>
    </row>
    <row r="9296" spans="7:8" x14ac:dyDescent="0.35">
      <c r="G9296" s="215">
        <v>9289</v>
      </c>
      <c r="H9296" s="16">
        <f t="shared" ca="1" si="153"/>
        <v>0.15215800302701915</v>
      </c>
    </row>
    <row r="9297" spans="7:8" x14ac:dyDescent="0.35">
      <c r="G9297" s="215">
        <v>9290</v>
      </c>
      <c r="H9297" s="16">
        <f t="shared" ca="1" si="153"/>
        <v>0.11441894183071862</v>
      </c>
    </row>
    <row r="9298" spans="7:8" x14ac:dyDescent="0.35">
      <c r="G9298" s="215">
        <v>9291</v>
      </c>
      <c r="H9298" s="16">
        <f t="shared" ca="1" si="153"/>
        <v>-8.4759635673266595E-2</v>
      </c>
    </row>
    <row r="9299" spans="7:8" x14ac:dyDescent="0.35">
      <c r="G9299" s="215">
        <v>9292</v>
      </c>
      <c r="H9299" s="16">
        <f t="shared" ca="1" si="153"/>
        <v>-9.8456134441892648E-3</v>
      </c>
    </row>
    <row r="9300" spans="7:8" x14ac:dyDescent="0.35">
      <c r="G9300" s="215">
        <v>9293</v>
      </c>
      <c r="H9300" s="16">
        <f t="shared" ca="1" si="153"/>
        <v>-0.10511036001539591</v>
      </c>
    </row>
    <row r="9301" spans="7:8" x14ac:dyDescent="0.35">
      <c r="G9301" s="215">
        <v>9294</v>
      </c>
      <c r="H9301" s="16">
        <f t="shared" ca="1" si="153"/>
        <v>0.14825545099069173</v>
      </c>
    </row>
    <row r="9302" spans="7:8" x14ac:dyDescent="0.35">
      <c r="G9302" s="215">
        <v>9295</v>
      </c>
      <c r="H9302" s="16">
        <f t="shared" ca="1" si="153"/>
        <v>-8.9502089585125594E-2</v>
      </c>
    </row>
    <row r="9303" spans="7:8" x14ac:dyDescent="0.35">
      <c r="G9303" s="215">
        <v>9296</v>
      </c>
      <c r="H9303" s="16">
        <f t="shared" ca="1" si="153"/>
        <v>6.6463940263674481E-3</v>
      </c>
    </row>
    <row r="9304" spans="7:8" x14ac:dyDescent="0.35">
      <c r="G9304" s="215">
        <v>9297</v>
      </c>
      <c r="H9304" s="16">
        <f t="shared" ca="1" si="153"/>
        <v>3.3468455832907709E-3</v>
      </c>
    </row>
    <row r="9305" spans="7:8" x14ac:dyDescent="0.35">
      <c r="G9305" s="215">
        <v>9298</v>
      </c>
      <c r="H9305" s="16">
        <f t="shared" ca="1" si="153"/>
        <v>-0.1101749801308208</v>
      </c>
    </row>
    <row r="9306" spans="7:8" x14ac:dyDescent="0.35">
      <c r="G9306" s="215">
        <v>9299</v>
      </c>
      <c r="H9306" s="16">
        <f t="shared" ca="1" si="153"/>
        <v>-4.6164141846769646E-2</v>
      </c>
    </row>
    <row r="9307" spans="7:8" x14ac:dyDescent="0.35">
      <c r="G9307" s="215">
        <v>9300</v>
      </c>
      <c r="H9307" s="16">
        <f t="shared" ca="1" si="153"/>
        <v>-3.3445807341757963E-2</v>
      </c>
    </row>
    <row r="9308" spans="7:8" x14ac:dyDescent="0.35">
      <c r="G9308" s="215">
        <v>9301</v>
      </c>
      <c r="H9308" s="16">
        <f t="shared" ca="1" si="153"/>
        <v>-2.9832084566798343E-2</v>
      </c>
    </row>
    <row r="9309" spans="7:8" x14ac:dyDescent="0.35">
      <c r="G9309" s="215">
        <v>9302</v>
      </c>
      <c r="H9309" s="16">
        <f t="shared" ca="1" si="153"/>
        <v>-8.235662082274664E-2</v>
      </c>
    </row>
    <row r="9310" spans="7:8" x14ac:dyDescent="0.35">
      <c r="G9310" s="215">
        <v>9303</v>
      </c>
      <c r="H9310" s="16">
        <f t="shared" ca="1" si="153"/>
        <v>3.6296575301947992E-2</v>
      </c>
    </row>
    <row r="9311" spans="7:8" x14ac:dyDescent="0.35">
      <c r="G9311" s="215">
        <v>9304</v>
      </c>
      <c r="H9311" s="16">
        <f t="shared" ca="1" si="153"/>
        <v>3.0426447220261096E-2</v>
      </c>
    </row>
    <row r="9312" spans="7:8" x14ac:dyDescent="0.35">
      <c r="G9312" s="215">
        <v>9305</v>
      </c>
      <c r="H9312" s="16">
        <f t="shared" ca="1" si="153"/>
        <v>-4.3596867081181004E-2</v>
      </c>
    </row>
    <row r="9313" spans="7:8" x14ac:dyDescent="0.35">
      <c r="G9313" s="215">
        <v>9306</v>
      </c>
      <c r="H9313" s="16">
        <f t="shared" ca="1" si="153"/>
        <v>-8.7531420647269764E-2</v>
      </c>
    </row>
    <row r="9314" spans="7:8" x14ac:dyDescent="0.35">
      <c r="G9314" s="215">
        <v>9307</v>
      </c>
      <c r="H9314" s="16">
        <f t="shared" ca="1" si="153"/>
        <v>-1.9356698712617717E-2</v>
      </c>
    </row>
    <row r="9315" spans="7:8" x14ac:dyDescent="0.35">
      <c r="G9315" s="215">
        <v>9308</v>
      </c>
      <c r="H9315" s="16">
        <f t="shared" ca="1" si="153"/>
        <v>8.0770617662827296E-2</v>
      </c>
    </row>
    <row r="9316" spans="7:8" x14ac:dyDescent="0.35">
      <c r="G9316" s="215">
        <v>9309</v>
      </c>
      <c r="H9316" s="16">
        <f t="shared" ca="1" si="153"/>
        <v>6.2213960699552068E-2</v>
      </c>
    </row>
    <row r="9317" spans="7:8" x14ac:dyDescent="0.35">
      <c r="G9317" s="215">
        <v>9310</v>
      </c>
      <c r="H9317" s="16">
        <f t="shared" ca="1" si="153"/>
        <v>3.6637072337159092E-2</v>
      </c>
    </row>
    <row r="9318" spans="7:8" x14ac:dyDescent="0.35">
      <c r="G9318" s="215">
        <v>9311</v>
      </c>
      <c r="H9318" s="16">
        <f t="shared" ca="1" si="153"/>
        <v>3.699887916457574E-2</v>
      </c>
    </row>
    <row r="9319" spans="7:8" x14ac:dyDescent="0.35">
      <c r="G9319" s="215">
        <v>9312</v>
      </c>
      <c r="H9319" s="16">
        <f t="shared" ca="1" si="153"/>
        <v>1.176196578550651E-3</v>
      </c>
    </row>
    <row r="9320" spans="7:8" x14ac:dyDescent="0.35">
      <c r="G9320" s="215">
        <v>9313</v>
      </c>
      <c r="H9320" s="16">
        <f t="shared" ca="1" si="153"/>
        <v>-1.6507378180763768E-4</v>
      </c>
    </row>
    <row r="9321" spans="7:8" x14ac:dyDescent="0.35">
      <c r="G9321" s="215">
        <v>9314</v>
      </c>
      <c r="H9321" s="16">
        <f t="shared" ca="1" si="153"/>
        <v>-0.21359135089249198</v>
      </c>
    </row>
    <row r="9322" spans="7:8" x14ac:dyDescent="0.35">
      <c r="G9322" s="215">
        <v>9315</v>
      </c>
      <c r="H9322" s="16">
        <f t="shared" ca="1" si="153"/>
        <v>-2.6486540255051056E-2</v>
      </c>
    </row>
    <row r="9323" spans="7:8" x14ac:dyDescent="0.35">
      <c r="G9323" s="215">
        <v>9316</v>
      </c>
      <c r="H9323" s="16">
        <f t="shared" ca="1" si="153"/>
        <v>4.324917185580001E-2</v>
      </c>
    </row>
    <row r="9324" spans="7:8" x14ac:dyDescent="0.35">
      <c r="G9324" s="215">
        <v>9317</v>
      </c>
      <c r="H9324" s="16">
        <f t="shared" ca="1" si="153"/>
        <v>-8.7750270393838065E-3</v>
      </c>
    </row>
    <row r="9325" spans="7:8" x14ac:dyDescent="0.35">
      <c r="G9325" s="215">
        <v>9318</v>
      </c>
      <c r="H9325" s="16">
        <f t="shared" ca="1" si="153"/>
        <v>-6.5093761915901979E-2</v>
      </c>
    </row>
    <row r="9326" spans="7:8" x14ac:dyDescent="0.35">
      <c r="G9326" s="215">
        <v>9319</v>
      </c>
      <c r="H9326" s="16">
        <f t="shared" ca="1" si="153"/>
        <v>5.3248028400084912E-2</v>
      </c>
    </row>
    <row r="9327" spans="7:8" x14ac:dyDescent="0.35">
      <c r="G9327" s="215">
        <v>9320</v>
      </c>
      <c r="H9327" s="16">
        <f t="shared" ca="1" si="153"/>
        <v>-3.8257701096115024E-2</v>
      </c>
    </row>
    <row r="9328" spans="7:8" x14ac:dyDescent="0.35">
      <c r="G9328" s="215">
        <v>9321</v>
      </c>
      <c r="H9328" s="16">
        <f t="shared" ca="1" si="153"/>
        <v>9.0427824589076417E-2</v>
      </c>
    </row>
    <row r="9329" spans="7:8" x14ac:dyDescent="0.35">
      <c r="G9329" s="215">
        <v>9322</v>
      </c>
      <c r="H9329" s="16">
        <f t="shared" ca="1" si="153"/>
        <v>7.7739995968273953E-2</v>
      </c>
    </row>
    <row r="9330" spans="7:8" x14ac:dyDescent="0.35">
      <c r="G9330" s="215">
        <v>9323</v>
      </c>
      <c r="H9330" s="16">
        <f t="shared" ca="1" si="153"/>
        <v>7.7401958274354685E-2</v>
      </c>
    </row>
    <row r="9331" spans="7:8" x14ac:dyDescent="0.35">
      <c r="G9331" s="215">
        <v>9324</v>
      </c>
      <c r="H9331" s="16">
        <f t="shared" ca="1" si="153"/>
        <v>0.12600190359845853</v>
      </c>
    </row>
    <row r="9332" spans="7:8" x14ac:dyDescent="0.35">
      <c r="G9332" s="215">
        <v>9325</v>
      </c>
      <c r="H9332" s="16">
        <f t="shared" ca="1" si="153"/>
        <v>7.6612280247668585E-2</v>
      </c>
    </row>
    <row r="9333" spans="7:8" x14ac:dyDescent="0.35">
      <c r="G9333" s="215">
        <v>9326</v>
      </c>
      <c r="H9333" s="16">
        <f t="shared" ca="1" si="153"/>
        <v>9.6588667577170398E-2</v>
      </c>
    </row>
    <row r="9334" spans="7:8" x14ac:dyDescent="0.35">
      <c r="G9334" s="215">
        <v>9327</v>
      </c>
      <c r="H9334" s="16">
        <f t="shared" ca="1" si="153"/>
        <v>1.4859753341701672E-2</v>
      </c>
    </row>
    <row r="9335" spans="7:8" x14ac:dyDescent="0.35">
      <c r="G9335" s="215">
        <v>9328</v>
      </c>
      <c r="H9335" s="16">
        <f t="shared" ca="1" si="153"/>
        <v>-6.4384841790180933E-2</v>
      </c>
    </row>
    <row r="9336" spans="7:8" x14ac:dyDescent="0.35">
      <c r="G9336" s="215">
        <v>9329</v>
      </c>
      <c r="H9336" s="16">
        <f t="shared" ca="1" si="153"/>
        <v>3.5980944130586112E-2</v>
      </c>
    </row>
    <row r="9337" spans="7:8" x14ac:dyDescent="0.35">
      <c r="G9337" s="215">
        <v>9330</v>
      </c>
      <c r="H9337" s="16">
        <f t="shared" ca="1" si="153"/>
        <v>0.10037098687329309</v>
      </c>
    </row>
    <row r="9338" spans="7:8" x14ac:dyDescent="0.35">
      <c r="G9338" s="215">
        <v>9331</v>
      </c>
      <c r="H9338" s="16">
        <f t="shared" ca="1" si="153"/>
        <v>0.15281105996285907</v>
      </c>
    </row>
    <row r="9339" spans="7:8" x14ac:dyDescent="0.35">
      <c r="G9339" s="215">
        <v>9332</v>
      </c>
      <c r="H9339" s="16">
        <f t="shared" ca="1" si="153"/>
        <v>-7.2616595932727443E-2</v>
      </c>
    </row>
    <row r="9340" spans="7:8" x14ac:dyDescent="0.35">
      <c r="G9340" s="215">
        <v>9333</v>
      </c>
      <c r="H9340" s="16">
        <f t="shared" ca="1" si="153"/>
        <v>-0.15601483902055463</v>
      </c>
    </row>
    <row r="9341" spans="7:8" x14ac:dyDescent="0.35">
      <c r="G9341" s="215">
        <v>9334</v>
      </c>
      <c r="H9341" s="16">
        <f t="shared" ca="1" si="153"/>
        <v>6.224568829946539E-2</v>
      </c>
    </row>
    <row r="9342" spans="7:8" x14ac:dyDescent="0.35">
      <c r="G9342" s="215">
        <v>9335</v>
      </c>
      <c r="H9342" s="16">
        <f t="shared" ca="1" si="153"/>
        <v>8.909207995963847E-2</v>
      </c>
    </row>
    <row r="9343" spans="7:8" x14ac:dyDescent="0.35">
      <c r="G9343" s="215">
        <v>9336</v>
      </c>
      <c r="H9343" s="16">
        <f t="shared" ca="1" si="153"/>
        <v>-4.0141118026340808E-2</v>
      </c>
    </row>
    <row r="9344" spans="7:8" x14ac:dyDescent="0.35">
      <c r="G9344" s="215">
        <v>9337</v>
      </c>
      <c r="H9344" s="16">
        <f t="shared" ca="1" si="153"/>
        <v>-2.0005936142974797E-2</v>
      </c>
    </row>
    <row r="9345" spans="7:8" x14ac:dyDescent="0.35">
      <c r="G9345" s="215">
        <v>9338</v>
      </c>
      <c r="H9345" s="16">
        <f t="shared" ca="1" si="153"/>
        <v>5.4923486064048621E-2</v>
      </c>
    </row>
    <row r="9346" spans="7:8" x14ac:dyDescent="0.35">
      <c r="G9346" s="215">
        <v>9339</v>
      </c>
      <c r="H9346" s="16">
        <f t="shared" ca="1" si="153"/>
        <v>0.12997784781125976</v>
      </c>
    </row>
    <row r="9347" spans="7:8" x14ac:dyDescent="0.35">
      <c r="G9347" s="215">
        <v>9340</v>
      </c>
      <c r="H9347" s="16">
        <f t="shared" ca="1" si="153"/>
        <v>-4.4254333537384727E-2</v>
      </c>
    </row>
    <row r="9348" spans="7:8" x14ac:dyDescent="0.35">
      <c r="G9348" s="215">
        <v>9341</v>
      </c>
      <c r="H9348" s="16">
        <f t="shared" ca="1" si="153"/>
        <v>-7.3487623953037873E-2</v>
      </c>
    </row>
    <row r="9349" spans="7:8" x14ac:dyDescent="0.35">
      <c r="G9349" s="215">
        <v>9342</v>
      </c>
      <c r="H9349" s="16">
        <f t="shared" ca="1" si="153"/>
        <v>-0.19318847262517858</v>
      </c>
    </row>
    <row r="9350" spans="7:8" x14ac:dyDescent="0.35">
      <c r="G9350" s="215">
        <v>9343</v>
      </c>
      <c r="H9350" s="16">
        <f t="shared" ca="1" si="153"/>
        <v>-8.0912734155633867E-2</v>
      </c>
    </row>
    <row r="9351" spans="7:8" x14ac:dyDescent="0.35">
      <c r="G9351" s="215">
        <v>9344</v>
      </c>
      <c r="H9351" s="16">
        <f t="shared" ca="1" si="153"/>
        <v>-4.6808512274660069E-2</v>
      </c>
    </row>
    <row r="9352" spans="7:8" x14ac:dyDescent="0.35">
      <c r="G9352" s="215">
        <v>9345</v>
      </c>
      <c r="H9352" s="16">
        <f t="shared" ref="H9352:H9415" ca="1" si="154">_xlfn.NORM.INV(RAND(),M$10,M$11)</f>
        <v>1.2144869386949572E-2</v>
      </c>
    </row>
    <row r="9353" spans="7:8" x14ac:dyDescent="0.35">
      <c r="G9353" s="215">
        <v>9346</v>
      </c>
      <c r="H9353" s="16">
        <f t="shared" ca="1" si="154"/>
        <v>3.8193683039821659E-4</v>
      </c>
    </row>
    <row r="9354" spans="7:8" x14ac:dyDescent="0.35">
      <c r="G9354" s="215">
        <v>9347</v>
      </c>
      <c r="H9354" s="16">
        <f t="shared" ca="1" si="154"/>
        <v>1.2727951214382102E-2</v>
      </c>
    </row>
    <row r="9355" spans="7:8" x14ac:dyDescent="0.35">
      <c r="G9355" s="215">
        <v>9348</v>
      </c>
      <c r="H9355" s="16">
        <f t="shared" ca="1" si="154"/>
        <v>0.11810365072043888</v>
      </c>
    </row>
    <row r="9356" spans="7:8" x14ac:dyDescent="0.35">
      <c r="G9356" s="215">
        <v>9349</v>
      </c>
      <c r="H9356" s="16">
        <f t="shared" ca="1" si="154"/>
        <v>3.7774236137076006E-5</v>
      </c>
    </row>
    <row r="9357" spans="7:8" x14ac:dyDescent="0.35">
      <c r="G9357" s="215">
        <v>9350</v>
      </c>
      <c r="H9357" s="16">
        <f t="shared" ca="1" si="154"/>
        <v>-7.0235532978171825E-2</v>
      </c>
    </row>
    <row r="9358" spans="7:8" x14ac:dyDescent="0.35">
      <c r="G9358" s="215">
        <v>9351</v>
      </c>
      <c r="H9358" s="16">
        <f t="shared" ca="1" si="154"/>
        <v>-1.5245018517168741E-2</v>
      </c>
    </row>
    <row r="9359" spans="7:8" x14ac:dyDescent="0.35">
      <c r="G9359" s="215">
        <v>9352</v>
      </c>
      <c r="H9359" s="16">
        <f t="shared" ca="1" si="154"/>
        <v>-8.663687587240021E-2</v>
      </c>
    </row>
    <row r="9360" spans="7:8" x14ac:dyDescent="0.35">
      <c r="G9360" s="215">
        <v>9353</v>
      </c>
      <c r="H9360" s="16">
        <f t="shared" ca="1" si="154"/>
        <v>6.3739217388189731E-2</v>
      </c>
    </row>
    <row r="9361" spans="7:8" x14ac:dyDescent="0.35">
      <c r="G9361" s="215">
        <v>9354</v>
      </c>
      <c r="H9361" s="16">
        <f t="shared" ca="1" si="154"/>
        <v>-5.7472159694859401E-2</v>
      </c>
    </row>
    <row r="9362" spans="7:8" x14ac:dyDescent="0.35">
      <c r="G9362" s="215">
        <v>9355</v>
      </c>
      <c r="H9362" s="16">
        <f t="shared" ca="1" si="154"/>
        <v>6.8007446029104551E-2</v>
      </c>
    </row>
    <row r="9363" spans="7:8" x14ac:dyDescent="0.35">
      <c r="G9363" s="215">
        <v>9356</v>
      </c>
      <c r="H9363" s="16">
        <f t="shared" ca="1" si="154"/>
        <v>-8.7342650534590824E-2</v>
      </c>
    </row>
    <row r="9364" spans="7:8" x14ac:dyDescent="0.35">
      <c r="G9364" s="215">
        <v>9357</v>
      </c>
      <c r="H9364" s="16">
        <f t="shared" ca="1" si="154"/>
        <v>-5.8817297005506856E-3</v>
      </c>
    </row>
    <row r="9365" spans="7:8" x14ac:dyDescent="0.35">
      <c r="G9365" s="215">
        <v>9358</v>
      </c>
      <c r="H9365" s="16">
        <f t="shared" ca="1" si="154"/>
        <v>-8.1413621380878563E-3</v>
      </c>
    </row>
    <row r="9366" spans="7:8" x14ac:dyDescent="0.35">
      <c r="G9366" s="215">
        <v>9359</v>
      </c>
      <c r="H9366" s="16">
        <f t="shared" ca="1" si="154"/>
        <v>6.2834838334448195E-5</v>
      </c>
    </row>
    <row r="9367" spans="7:8" x14ac:dyDescent="0.35">
      <c r="G9367" s="215">
        <v>9360</v>
      </c>
      <c r="H9367" s="16">
        <f t="shared" ca="1" si="154"/>
        <v>1.4463412100252662E-2</v>
      </c>
    </row>
    <row r="9368" spans="7:8" x14ac:dyDescent="0.35">
      <c r="G9368" s="215">
        <v>9361</v>
      </c>
      <c r="H9368" s="16">
        <f t="shared" ca="1" si="154"/>
        <v>6.18225892298159E-2</v>
      </c>
    </row>
    <row r="9369" spans="7:8" x14ac:dyDescent="0.35">
      <c r="G9369" s="215">
        <v>9362</v>
      </c>
      <c r="H9369" s="16">
        <f t="shared" ca="1" si="154"/>
        <v>-1.445214048198298E-2</v>
      </c>
    </row>
    <row r="9370" spans="7:8" x14ac:dyDescent="0.35">
      <c r="G9370" s="215">
        <v>9363</v>
      </c>
      <c r="H9370" s="16">
        <f t="shared" ca="1" si="154"/>
        <v>7.3655629623685021E-2</v>
      </c>
    </row>
    <row r="9371" spans="7:8" x14ac:dyDescent="0.35">
      <c r="G9371" s="215">
        <v>9364</v>
      </c>
      <c r="H9371" s="16">
        <f t="shared" ca="1" si="154"/>
        <v>7.0124586350714099E-2</v>
      </c>
    </row>
    <row r="9372" spans="7:8" x14ac:dyDescent="0.35">
      <c r="G9372" s="215">
        <v>9365</v>
      </c>
      <c r="H9372" s="16">
        <f t="shared" ca="1" si="154"/>
        <v>-7.911751248336478E-3</v>
      </c>
    </row>
    <row r="9373" spans="7:8" x14ac:dyDescent="0.35">
      <c r="G9373" s="215">
        <v>9366</v>
      </c>
      <c r="H9373" s="16">
        <f t="shared" ca="1" si="154"/>
        <v>-1.0663959001971833E-2</v>
      </c>
    </row>
    <row r="9374" spans="7:8" x14ac:dyDescent="0.35">
      <c r="G9374" s="215">
        <v>9367</v>
      </c>
      <c r="H9374" s="16">
        <f t="shared" ca="1" si="154"/>
        <v>-6.0843517771221337E-2</v>
      </c>
    </row>
    <row r="9375" spans="7:8" x14ac:dyDescent="0.35">
      <c r="G9375" s="215">
        <v>9368</v>
      </c>
      <c r="H9375" s="16">
        <f t="shared" ca="1" si="154"/>
        <v>7.096585163445944E-2</v>
      </c>
    </row>
    <row r="9376" spans="7:8" x14ac:dyDescent="0.35">
      <c r="G9376" s="215">
        <v>9369</v>
      </c>
      <c r="H9376" s="16">
        <f t="shared" ca="1" si="154"/>
        <v>1.8142985451601295E-2</v>
      </c>
    </row>
    <row r="9377" spans="7:8" x14ac:dyDescent="0.35">
      <c r="G9377" s="215">
        <v>9370</v>
      </c>
      <c r="H9377" s="16">
        <f t="shared" ca="1" si="154"/>
        <v>1.3868413672834406E-2</v>
      </c>
    </row>
    <row r="9378" spans="7:8" x14ac:dyDescent="0.35">
      <c r="G9378" s="215">
        <v>9371</v>
      </c>
      <c r="H9378" s="16">
        <f t="shared" ca="1" si="154"/>
        <v>4.5465272447388922E-3</v>
      </c>
    </row>
    <row r="9379" spans="7:8" x14ac:dyDescent="0.35">
      <c r="G9379" s="215">
        <v>9372</v>
      </c>
      <c r="H9379" s="16">
        <f t="shared" ca="1" si="154"/>
        <v>2.5160423288286878E-2</v>
      </c>
    </row>
    <row r="9380" spans="7:8" x14ac:dyDescent="0.35">
      <c r="G9380" s="215">
        <v>9373</v>
      </c>
      <c r="H9380" s="16">
        <f t="shared" ca="1" si="154"/>
        <v>0.12578594290998621</v>
      </c>
    </row>
    <row r="9381" spans="7:8" x14ac:dyDescent="0.35">
      <c r="G9381" s="215">
        <v>9374</v>
      </c>
      <c r="H9381" s="16">
        <f t="shared" ca="1" si="154"/>
        <v>5.6360418311586169E-2</v>
      </c>
    </row>
    <row r="9382" spans="7:8" x14ac:dyDescent="0.35">
      <c r="G9382" s="215">
        <v>9375</v>
      </c>
      <c r="H9382" s="16">
        <f t="shared" ca="1" si="154"/>
        <v>-4.1626676426678985E-2</v>
      </c>
    </row>
    <row r="9383" spans="7:8" x14ac:dyDescent="0.35">
      <c r="G9383" s="215">
        <v>9376</v>
      </c>
      <c r="H9383" s="16">
        <f t="shared" ca="1" si="154"/>
        <v>6.6407551484202298E-2</v>
      </c>
    </row>
    <row r="9384" spans="7:8" x14ac:dyDescent="0.35">
      <c r="G9384" s="215">
        <v>9377</v>
      </c>
      <c r="H9384" s="16">
        <f t="shared" ca="1" si="154"/>
        <v>-0.10037556393787825</v>
      </c>
    </row>
    <row r="9385" spans="7:8" x14ac:dyDescent="0.35">
      <c r="G9385" s="215">
        <v>9378</v>
      </c>
      <c r="H9385" s="16">
        <f t="shared" ca="1" si="154"/>
        <v>-6.0136510395855658E-2</v>
      </c>
    </row>
    <row r="9386" spans="7:8" x14ac:dyDescent="0.35">
      <c r="G9386" s="215">
        <v>9379</v>
      </c>
      <c r="H9386" s="16">
        <f t="shared" ca="1" si="154"/>
        <v>-0.12756695745628066</v>
      </c>
    </row>
    <row r="9387" spans="7:8" x14ac:dyDescent="0.35">
      <c r="G9387" s="215">
        <v>9380</v>
      </c>
      <c r="H9387" s="16">
        <f t="shared" ca="1" si="154"/>
        <v>-8.3068594001489242E-3</v>
      </c>
    </row>
    <row r="9388" spans="7:8" x14ac:dyDescent="0.35">
      <c r="G9388" s="215">
        <v>9381</v>
      </c>
      <c r="H9388" s="16">
        <f t="shared" ca="1" si="154"/>
        <v>-1.3299995513710829E-2</v>
      </c>
    </row>
    <row r="9389" spans="7:8" x14ac:dyDescent="0.35">
      <c r="G9389" s="215">
        <v>9382</v>
      </c>
      <c r="H9389" s="16">
        <f t="shared" ca="1" si="154"/>
        <v>5.0004701770596016E-2</v>
      </c>
    </row>
    <row r="9390" spans="7:8" x14ac:dyDescent="0.35">
      <c r="G9390" s="215">
        <v>9383</v>
      </c>
      <c r="H9390" s="16">
        <f t="shared" ca="1" si="154"/>
        <v>8.9463766032724643E-2</v>
      </c>
    </row>
    <row r="9391" spans="7:8" x14ac:dyDescent="0.35">
      <c r="G9391" s="215">
        <v>9384</v>
      </c>
      <c r="H9391" s="16">
        <f t="shared" ca="1" si="154"/>
        <v>-4.8440649042709366E-2</v>
      </c>
    </row>
    <row r="9392" spans="7:8" x14ac:dyDescent="0.35">
      <c r="G9392" s="215">
        <v>9385</v>
      </c>
      <c r="H9392" s="16">
        <f t="shared" ca="1" si="154"/>
        <v>3.525190454305295E-2</v>
      </c>
    </row>
    <row r="9393" spans="7:8" x14ac:dyDescent="0.35">
      <c r="G9393" s="215">
        <v>9386</v>
      </c>
      <c r="H9393" s="16">
        <f t="shared" ca="1" si="154"/>
        <v>-7.8006355574895853E-2</v>
      </c>
    </row>
    <row r="9394" spans="7:8" x14ac:dyDescent="0.35">
      <c r="G9394" s="215">
        <v>9387</v>
      </c>
      <c r="H9394" s="16">
        <f t="shared" ca="1" si="154"/>
        <v>-0.1326290254051892</v>
      </c>
    </row>
    <row r="9395" spans="7:8" x14ac:dyDescent="0.35">
      <c r="G9395" s="215">
        <v>9388</v>
      </c>
      <c r="H9395" s="16">
        <f t="shared" ca="1" si="154"/>
        <v>8.7304559515558586E-2</v>
      </c>
    </row>
    <row r="9396" spans="7:8" x14ac:dyDescent="0.35">
      <c r="G9396" s="215">
        <v>9389</v>
      </c>
      <c r="H9396" s="16">
        <f t="shared" ca="1" si="154"/>
        <v>0.10409862888200326</v>
      </c>
    </row>
    <row r="9397" spans="7:8" x14ac:dyDescent="0.35">
      <c r="G9397" s="215">
        <v>9390</v>
      </c>
      <c r="H9397" s="16">
        <f t="shared" ca="1" si="154"/>
        <v>-0.14508291742814552</v>
      </c>
    </row>
    <row r="9398" spans="7:8" x14ac:dyDescent="0.35">
      <c r="G9398" s="215">
        <v>9391</v>
      </c>
      <c r="H9398" s="16">
        <f t="shared" ca="1" si="154"/>
        <v>6.6763889109923369E-2</v>
      </c>
    </row>
    <row r="9399" spans="7:8" x14ac:dyDescent="0.35">
      <c r="G9399" s="215">
        <v>9392</v>
      </c>
      <c r="H9399" s="16">
        <f t="shared" ca="1" si="154"/>
        <v>2.430050443830897E-2</v>
      </c>
    </row>
    <row r="9400" spans="7:8" x14ac:dyDescent="0.35">
      <c r="G9400" s="215">
        <v>9393</v>
      </c>
      <c r="H9400" s="16">
        <f t="shared" ca="1" si="154"/>
        <v>-6.1413081467415379E-2</v>
      </c>
    </row>
    <row r="9401" spans="7:8" x14ac:dyDescent="0.35">
      <c r="G9401" s="215">
        <v>9394</v>
      </c>
      <c r="H9401" s="16">
        <f t="shared" ca="1" si="154"/>
        <v>2.1687202191313742E-2</v>
      </c>
    </row>
    <row r="9402" spans="7:8" x14ac:dyDescent="0.35">
      <c r="G9402" s="215">
        <v>9395</v>
      </c>
      <c r="H9402" s="16">
        <f t="shared" ca="1" si="154"/>
        <v>-1.047770365602655E-2</v>
      </c>
    </row>
    <row r="9403" spans="7:8" x14ac:dyDescent="0.35">
      <c r="G9403" s="215">
        <v>9396</v>
      </c>
      <c r="H9403" s="16">
        <f t="shared" ca="1" si="154"/>
        <v>2.1865582504950985E-2</v>
      </c>
    </row>
    <row r="9404" spans="7:8" x14ac:dyDescent="0.35">
      <c r="G9404" s="215">
        <v>9397</v>
      </c>
      <c r="H9404" s="16">
        <f t="shared" ca="1" si="154"/>
        <v>4.7550392915482187E-2</v>
      </c>
    </row>
    <row r="9405" spans="7:8" x14ac:dyDescent="0.35">
      <c r="G9405" s="215">
        <v>9398</v>
      </c>
      <c r="H9405" s="16">
        <f t="shared" ca="1" si="154"/>
        <v>-1.6083759079764656E-2</v>
      </c>
    </row>
    <row r="9406" spans="7:8" x14ac:dyDescent="0.35">
      <c r="G9406" s="215">
        <v>9399</v>
      </c>
      <c r="H9406" s="16">
        <f t="shared" ca="1" si="154"/>
        <v>1.9579009032192406E-2</v>
      </c>
    </row>
    <row r="9407" spans="7:8" x14ac:dyDescent="0.35">
      <c r="G9407" s="215">
        <v>9400</v>
      </c>
      <c r="H9407" s="16">
        <f t="shared" ca="1" si="154"/>
        <v>9.1169873363894247E-2</v>
      </c>
    </row>
    <row r="9408" spans="7:8" x14ac:dyDescent="0.35">
      <c r="G9408" s="215">
        <v>9401</v>
      </c>
      <c r="H9408" s="16">
        <f t="shared" ca="1" si="154"/>
        <v>-1.4678835831354025E-3</v>
      </c>
    </row>
    <row r="9409" spans="7:8" x14ac:dyDescent="0.35">
      <c r="G9409" s="215">
        <v>9402</v>
      </c>
      <c r="H9409" s="16">
        <f t="shared" ca="1" si="154"/>
        <v>2.0011240933309974E-2</v>
      </c>
    </row>
    <row r="9410" spans="7:8" x14ac:dyDescent="0.35">
      <c r="G9410" s="215">
        <v>9403</v>
      </c>
      <c r="H9410" s="16">
        <f t="shared" ca="1" si="154"/>
        <v>5.3510230291789279E-2</v>
      </c>
    </row>
    <row r="9411" spans="7:8" x14ac:dyDescent="0.35">
      <c r="G9411" s="215">
        <v>9404</v>
      </c>
      <c r="H9411" s="16">
        <f t="shared" ca="1" si="154"/>
        <v>1.7156024168850939E-2</v>
      </c>
    </row>
    <row r="9412" spans="7:8" x14ac:dyDescent="0.35">
      <c r="G9412" s="215">
        <v>9405</v>
      </c>
      <c r="H9412" s="16">
        <f t="shared" ca="1" si="154"/>
        <v>0.10464663185947334</v>
      </c>
    </row>
    <row r="9413" spans="7:8" x14ac:dyDescent="0.35">
      <c r="G9413" s="215">
        <v>9406</v>
      </c>
      <c r="H9413" s="16">
        <f t="shared" ca="1" si="154"/>
        <v>-1.0664401401351952E-3</v>
      </c>
    </row>
    <row r="9414" spans="7:8" x14ac:dyDescent="0.35">
      <c r="G9414" s="215">
        <v>9407</v>
      </c>
      <c r="H9414" s="16">
        <f t="shared" ca="1" si="154"/>
        <v>-1.3707982523422427E-2</v>
      </c>
    </row>
    <row r="9415" spans="7:8" x14ac:dyDescent="0.35">
      <c r="G9415" s="215">
        <v>9408</v>
      </c>
      <c r="H9415" s="16">
        <f t="shared" ca="1" si="154"/>
        <v>7.5564538130370493E-2</v>
      </c>
    </row>
    <row r="9416" spans="7:8" x14ac:dyDescent="0.35">
      <c r="G9416" s="215">
        <v>9409</v>
      </c>
      <c r="H9416" s="16">
        <f t="shared" ref="H9416:H9479" ca="1" si="155">_xlfn.NORM.INV(RAND(),M$10,M$11)</f>
        <v>8.5068890464233028E-3</v>
      </c>
    </row>
    <row r="9417" spans="7:8" x14ac:dyDescent="0.35">
      <c r="G9417" s="215">
        <v>9410</v>
      </c>
      <c r="H9417" s="16">
        <f t="shared" ca="1" si="155"/>
        <v>0.13774042403689168</v>
      </c>
    </row>
    <row r="9418" spans="7:8" x14ac:dyDescent="0.35">
      <c r="G9418" s="215">
        <v>9411</v>
      </c>
      <c r="H9418" s="16">
        <f t="shared" ca="1" si="155"/>
        <v>2.3935620582957028E-2</v>
      </c>
    </row>
    <row r="9419" spans="7:8" x14ac:dyDescent="0.35">
      <c r="G9419" s="215">
        <v>9412</v>
      </c>
      <c r="H9419" s="16">
        <f t="shared" ca="1" si="155"/>
        <v>-9.2658164629763687E-3</v>
      </c>
    </row>
    <row r="9420" spans="7:8" x14ac:dyDescent="0.35">
      <c r="G9420" s="215">
        <v>9413</v>
      </c>
      <c r="H9420" s="16">
        <f t="shared" ca="1" si="155"/>
        <v>6.9196775981892125E-2</v>
      </c>
    </row>
    <row r="9421" spans="7:8" x14ac:dyDescent="0.35">
      <c r="G9421" s="215">
        <v>9414</v>
      </c>
      <c r="H9421" s="16">
        <f t="shared" ca="1" si="155"/>
        <v>-8.4848899843545822E-2</v>
      </c>
    </row>
    <row r="9422" spans="7:8" x14ac:dyDescent="0.35">
      <c r="G9422" s="215">
        <v>9415</v>
      </c>
      <c r="H9422" s="16">
        <f t="shared" ca="1" si="155"/>
        <v>5.1654172610856433E-2</v>
      </c>
    </row>
    <row r="9423" spans="7:8" x14ac:dyDescent="0.35">
      <c r="G9423" s="215">
        <v>9416</v>
      </c>
      <c r="H9423" s="16">
        <f t="shared" ca="1" si="155"/>
        <v>-8.2730427486078818E-3</v>
      </c>
    </row>
    <row r="9424" spans="7:8" x14ac:dyDescent="0.35">
      <c r="G9424" s="215">
        <v>9417</v>
      </c>
      <c r="H9424" s="16">
        <f t="shared" ca="1" si="155"/>
        <v>-1.9812114958963015E-2</v>
      </c>
    </row>
    <row r="9425" spans="7:8" x14ac:dyDescent="0.35">
      <c r="G9425" s="215">
        <v>9418</v>
      </c>
      <c r="H9425" s="16">
        <f t="shared" ca="1" si="155"/>
        <v>2.6389171698836082E-3</v>
      </c>
    </row>
    <row r="9426" spans="7:8" x14ac:dyDescent="0.35">
      <c r="G9426" s="215">
        <v>9419</v>
      </c>
      <c r="H9426" s="16">
        <f t="shared" ca="1" si="155"/>
        <v>4.9830632479304672E-3</v>
      </c>
    </row>
    <row r="9427" spans="7:8" x14ac:dyDescent="0.35">
      <c r="G9427" s="215">
        <v>9420</v>
      </c>
      <c r="H9427" s="16">
        <f t="shared" ca="1" si="155"/>
        <v>1.0009726544196459E-2</v>
      </c>
    </row>
    <row r="9428" spans="7:8" x14ac:dyDescent="0.35">
      <c r="G9428" s="215">
        <v>9421</v>
      </c>
      <c r="H9428" s="16">
        <f t="shared" ca="1" si="155"/>
        <v>0.153337071742286</v>
      </c>
    </row>
    <row r="9429" spans="7:8" x14ac:dyDescent="0.35">
      <c r="G9429" s="215">
        <v>9422</v>
      </c>
      <c r="H9429" s="16">
        <f t="shared" ca="1" si="155"/>
        <v>6.9489792778070117E-2</v>
      </c>
    </row>
    <row r="9430" spans="7:8" x14ac:dyDescent="0.35">
      <c r="G9430" s="215">
        <v>9423</v>
      </c>
      <c r="H9430" s="16">
        <f t="shared" ca="1" si="155"/>
        <v>9.1126477407685834E-4</v>
      </c>
    </row>
    <row r="9431" spans="7:8" x14ac:dyDescent="0.35">
      <c r="G9431" s="215">
        <v>9424</v>
      </c>
      <c r="H9431" s="16">
        <f t="shared" ca="1" si="155"/>
        <v>-0.17078972945325216</v>
      </c>
    </row>
    <row r="9432" spans="7:8" x14ac:dyDescent="0.35">
      <c r="G9432" s="215">
        <v>9425</v>
      </c>
      <c r="H9432" s="16">
        <f t="shared" ca="1" si="155"/>
        <v>9.4360904561798534E-2</v>
      </c>
    </row>
    <row r="9433" spans="7:8" x14ac:dyDescent="0.35">
      <c r="G9433" s="215">
        <v>9426</v>
      </c>
      <c r="H9433" s="16">
        <f t="shared" ca="1" si="155"/>
        <v>3.1640903541020837E-2</v>
      </c>
    </row>
    <row r="9434" spans="7:8" x14ac:dyDescent="0.35">
      <c r="G9434" s="215">
        <v>9427</v>
      </c>
      <c r="H9434" s="16">
        <f t="shared" ca="1" si="155"/>
        <v>9.9024857235944196E-3</v>
      </c>
    </row>
    <row r="9435" spans="7:8" x14ac:dyDescent="0.35">
      <c r="G9435" s="215">
        <v>9428</v>
      </c>
      <c r="H9435" s="16">
        <f t="shared" ca="1" si="155"/>
        <v>-2.1037573059838093E-2</v>
      </c>
    </row>
    <row r="9436" spans="7:8" x14ac:dyDescent="0.35">
      <c r="G9436" s="215">
        <v>9429</v>
      </c>
      <c r="H9436" s="16">
        <f t="shared" ca="1" si="155"/>
        <v>-2.4528516226817228E-2</v>
      </c>
    </row>
    <row r="9437" spans="7:8" x14ac:dyDescent="0.35">
      <c r="G9437" s="215">
        <v>9430</v>
      </c>
      <c r="H9437" s="16">
        <f t="shared" ca="1" si="155"/>
        <v>-0.18040032749885146</v>
      </c>
    </row>
    <row r="9438" spans="7:8" x14ac:dyDescent="0.35">
      <c r="G9438" s="215">
        <v>9431</v>
      </c>
      <c r="H9438" s="16">
        <f t="shared" ca="1" si="155"/>
        <v>-9.7813428291425877E-2</v>
      </c>
    </row>
    <row r="9439" spans="7:8" x14ac:dyDescent="0.35">
      <c r="G9439" s="215">
        <v>9432</v>
      </c>
      <c r="H9439" s="16">
        <f t="shared" ca="1" si="155"/>
        <v>1.2700818048205435E-2</v>
      </c>
    </row>
    <row r="9440" spans="7:8" x14ac:dyDescent="0.35">
      <c r="G9440" s="215">
        <v>9433</v>
      </c>
      <c r="H9440" s="16">
        <f t="shared" ca="1" si="155"/>
        <v>3.9929200449159624E-2</v>
      </c>
    </row>
    <row r="9441" spans="7:8" x14ac:dyDescent="0.35">
      <c r="G9441" s="215">
        <v>9434</v>
      </c>
      <c r="H9441" s="16">
        <f t="shared" ca="1" si="155"/>
        <v>6.7583882671677184E-2</v>
      </c>
    </row>
    <row r="9442" spans="7:8" x14ac:dyDescent="0.35">
      <c r="G9442" s="215">
        <v>9435</v>
      </c>
      <c r="H9442" s="16">
        <f t="shared" ca="1" si="155"/>
        <v>-0.17827738527699377</v>
      </c>
    </row>
    <row r="9443" spans="7:8" x14ac:dyDescent="0.35">
      <c r="G9443" s="215">
        <v>9436</v>
      </c>
      <c r="H9443" s="16">
        <f t="shared" ca="1" si="155"/>
        <v>0.13758749271386553</v>
      </c>
    </row>
    <row r="9444" spans="7:8" x14ac:dyDescent="0.35">
      <c r="G9444" s="215">
        <v>9437</v>
      </c>
      <c r="H9444" s="16">
        <f t="shared" ca="1" si="155"/>
        <v>-5.077196143786749E-3</v>
      </c>
    </row>
    <row r="9445" spans="7:8" x14ac:dyDescent="0.35">
      <c r="G9445" s="215">
        <v>9438</v>
      </c>
      <c r="H9445" s="16">
        <f t="shared" ca="1" si="155"/>
        <v>-1.8242996948993444E-2</v>
      </c>
    </row>
    <row r="9446" spans="7:8" x14ac:dyDescent="0.35">
      <c r="G9446" s="215">
        <v>9439</v>
      </c>
      <c r="H9446" s="16">
        <f t="shared" ca="1" si="155"/>
        <v>6.3314017134745396E-2</v>
      </c>
    </row>
    <row r="9447" spans="7:8" x14ac:dyDescent="0.35">
      <c r="G9447" s="215">
        <v>9440</v>
      </c>
      <c r="H9447" s="16">
        <f t="shared" ca="1" si="155"/>
        <v>2.9825700157644616E-2</v>
      </c>
    </row>
    <row r="9448" spans="7:8" x14ac:dyDescent="0.35">
      <c r="G9448" s="215">
        <v>9441</v>
      </c>
      <c r="H9448" s="16">
        <f t="shared" ca="1" si="155"/>
        <v>-7.3834652825328986E-2</v>
      </c>
    </row>
    <row r="9449" spans="7:8" x14ac:dyDescent="0.35">
      <c r="G9449" s="215">
        <v>9442</v>
      </c>
      <c r="H9449" s="16">
        <f t="shared" ca="1" si="155"/>
        <v>1.7438590083240325E-2</v>
      </c>
    </row>
    <row r="9450" spans="7:8" x14ac:dyDescent="0.35">
      <c r="G9450" s="215">
        <v>9443</v>
      </c>
      <c r="H9450" s="16">
        <f t="shared" ca="1" si="155"/>
        <v>-4.4741249872578492E-2</v>
      </c>
    </row>
    <row r="9451" spans="7:8" x14ac:dyDescent="0.35">
      <c r="G9451" s="215">
        <v>9444</v>
      </c>
      <c r="H9451" s="16">
        <f t="shared" ca="1" si="155"/>
        <v>-0.1241562025803</v>
      </c>
    </row>
    <row r="9452" spans="7:8" x14ac:dyDescent="0.35">
      <c r="G9452" s="215">
        <v>9445</v>
      </c>
      <c r="H9452" s="16">
        <f t="shared" ca="1" si="155"/>
        <v>0.20815642682844648</v>
      </c>
    </row>
    <row r="9453" spans="7:8" x14ac:dyDescent="0.35">
      <c r="G9453" s="215">
        <v>9446</v>
      </c>
      <c r="H9453" s="16">
        <f t="shared" ca="1" si="155"/>
        <v>1.7020266783752836E-2</v>
      </c>
    </row>
    <row r="9454" spans="7:8" x14ac:dyDescent="0.35">
      <c r="G9454" s="215">
        <v>9447</v>
      </c>
      <c r="H9454" s="16">
        <f t="shared" ca="1" si="155"/>
        <v>-4.1204795828995291E-2</v>
      </c>
    </row>
    <row r="9455" spans="7:8" x14ac:dyDescent="0.35">
      <c r="G9455" s="215">
        <v>9448</v>
      </c>
      <c r="H9455" s="16">
        <f t="shared" ca="1" si="155"/>
        <v>9.2199468495713283E-2</v>
      </c>
    </row>
    <row r="9456" spans="7:8" x14ac:dyDescent="0.35">
      <c r="G9456" s="215">
        <v>9449</v>
      </c>
      <c r="H9456" s="16">
        <f t="shared" ca="1" si="155"/>
        <v>0.12673603268537667</v>
      </c>
    </row>
    <row r="9457" spans="7:8" x14ac:dyDescent="0.35">
      <c r="G9457" s="215">
        <v>9450</v>
      </c>
      <c r="H9457" s="16">
        <f t="shared" ca="1" si="155"/>
        <v>-8.3496913014296223E-2</v>
      </c>
    </row>
    <row r="9458" spans="7:8" x14ac:dyDescent="0.35">
      <c r="G9458" s="215">
        <v>9451</v>
      </c>
      <c r="H9458" s="16">
        <f t="shared" ca="1" si="155"/>
        <v>9.8582178799993078E-2</v>
      </c>
    </row>
    <row r="9459" spans="7:8" x14ac:dyDescent="0.35">
      <c r="G9459" s="215">
        <v>9452</v>
      </c>
      <c r="H9459" s="16">
        <f t="shared" ca="1" si="155"/>
        <v>-3.7037227634455674E-2</v>
      </c>
    </row>
    <row r="9460" spans="7:8" x14ac:dyDescent="0.35">
      <c r="G9460" s="215">
        <v>9453</v>
      </c>
      <c r="H9460" s="16">
        <f t="shared" ca="1" si="155"/>
        <v>3.6766912848569519E-2</v>
      </c>
    </row>
    <row r="9461" spans="7:8" x14ac:dyDescent="0.35">
      <c r="G9461" s="215">
        <v>9454</v>
      </c>
      <c r="H9461" s="16">
        <f t="shared" ca="1" si="155"/>
        <v>1.7943423099431519E-2</v>
      </c>
    </row>
    <row r="9462" spans="7:8" x14ac:dyDescent="0.35">
      <c r="G9462" s="215">
        <v>9455</v>
      </c>
      <c r="H9462" s="16">
        <f t="shared" ca="1" si="155"/>
        <v>3.3338293130189448E-2</v>
      </c>
    </row>
    <row r="9463" spans="7:8" x14ac:dyDescent="0.35">
      <c r="G9463" s="215">
        <v>9456</v>
      </c>
      <c r="H9463" s="16">
        <f t="shared" ca="1" si="155"/>
        <v>-1.6790333704505174E-3</v>
      </c>
    </row>
    <row r="9464" spans="7:8" x14ac:dyDescent="0.35">
      <c r="G9464" s="215">
        <v>9457</v>
      </c>
      <c r="H9464" s="16">
        <f t="shared" ca="1" si="155"/>
        <v>-7.7785993656908595E-2</v>
      </c>
    </row>
    <row r="9465" spans="7:8" x14ac:dyDescent="0.35">
      <c r="G9465" s="215">
        <v>9458</v>
      </c>
      <c r="H9465" s="16">
        <f t="shared" ca="1" si="155"/>
        <v>-1.396578316625452E-2</v>
      </c>
    </row>
    <row r="9466" spans="7:8" x14ac:dyDescent="0.35">
      <c r="G9466" s="215">
        <v>9459</v>
      </c>
      <c r="H9466" s="16">
        <f t="shared" ca="1" si="155"/>
        <v>-0.12326140610455147</v>
      </c>
    </row>
    <row r="9467" spans="7:8" x14ac:dyDescent="0.35">
      <c r="G9467" s="215">
        <v>9460</v>
      </c>
      <c r="H9467" s="16">
        <f t="shared" ca="1" si="155"/>
        <v>-4.0946360503377841E-2</v>
      </c>
    </row>
    <row r="9468" spans="7:8" x14ac:dyDescent="0.35">
      <c r="G9468" s="215">
        <v>9461</v>
      </c>
      <c r="H9468" s="16">
        <f t="shared" ca="1" si="155"/>
        <v>0.11511650110029129</v>
      </c>
    </row>
    <row r="9469" spans="7:8" x14ac:dyDescent="0.35">
      <c r="G9469" s="215">
        <v>9462</v>
      </c>
      <c r="H9469" s="16">
        <f t="shared" ca="1" si="155"/>
        <v>-8.9110741489790576E-2</v>
      </c>
    </row>
    <row r="9470" spans="7:8" x14ac:dyDescent="0.35">
      <c r="G9470" s="215">
        <v>9463</v>
      </c>
      <c r="H9470" s="16">
        <f t="shared" ca="1" si="155"/>
        <v>5.624365678965032E-2</v>
      </c>
    </row>
    <row r="9471" spans="7:8" x14ac:dyDescent="0.35">
      <c r="G9471" s="215">
        <v>9464</v>
      </c>
      <c r="H9471" s="16">
        <f t="shared" ca="1" si="155"/>
        <v>-8.09923744687953E-2</v>
      </c>
    </row>
    <row r="9472" spans="7:8" x14ac:dyDescent="0.35">
      <c r="G9472" s="215">
        <v>9465</v>
      </c>
      <c r="H9472" s="16">
        <f t="shared" ca="1" si="155"/>
        <v>-3.8819815816774447E-2</v>
      </c>
    </row>
    <row r="9473" spans="7:8" x14ac:dyDescent="0.35">
      <c r="G9473" s="215">
        <v>9466</v>
      </c>
      <c r="H9473" s="16">
        <f t="shared" ca="1" si="155"/>
        <v>6.9715461076318264E-2</v>
      </c>
    </row>
    <row r="9474" spans="7:8" x14ac:dyDescent="0.35">
      <c r="G9474" s="215">
        <v>9467</v>
      </c>
      <c r="H9474" s="16">
        <f t="shared" ca="1" si="155"/>
        <v>3.9777321385076045E-2</v>
      </c>
    </row>
    <row r="9475" spans="7:8" x14ac:dyDescent="0.35">
      <c r="G9475" s="215">
        <v>9468</v>
      </c>
      <c r="H9475" s="16">
        <f t="shared" ca="1" si="155"/>
        <v>2.6908036864855753E-4</v>
      </c>
    </row>
    <row r="9476" spans="7:8" x14ac:dyDescent="0.35">
      <c r="G9476" s="215">
        <v>9469</v>
      </c>
      <c r="H9476" s="16">
        <f t="shared" ca="1" si="155"/>
        <v>-0.17332940551374831</v>
      </c>
    </row>
    <row r="9477" spans="7:8" x14ac:dyDescent="0.35">
      <c r="G9477" s="215">
        <v>9470</v>
      </c>
      <c r="H9477" s="16">
        <f t="shared" ca="1" si="155"/>
        <v>-3.8371690104472347E-3</v>
      </c>
    </row>
    <row r="9478" spans="7:8" x14ac:dyDescent="0.35">
      <c r="G9478" s="215">
        <v>9471</v>
      </c>
      <c r="H9478" s="16">
        <f t="shared" ca="1" si="155"/>
        <v>0.12753126399234097</v>
      </c>
    </row>
    <row r="9479" spans="7:8" x14ac:dyDescent="0.35">
      <c r="G9479" s="215">
        <v>9472</v>
      </c>
      <c r="H9479" s="16">
        <f t="shared" ca="1" si="155"/>
        <v>-2.0229733885191548E-2</v>
      </c>
    </row>
    <row r="9480" spans="7:8" x14ac:dyDescent="0.35">
      <c r="G9480" s="215">
        <v>9473</v>
      </c>
      <c r="H9480" s="16">
        <f t="shared" ref="H9480:H9543" ca="1" si="156">_xlfn.NORM.INV(RAND(),M$10,M$11)</f>
        <v>-8.0845935302812047E-2</v>
      </c>
    </row>
    <row r="9481" spans="7:8" x14ac:dyDescent="0.35">
      <c r="G9481" s="215">
        <v>9474</v>
      </c>
      <c r="H9481" s="16">
        <f t="shared" ca="1" si="156"/>
        <v>-3.8913862713172473E-2</v>
      </c>
    </row>
    <row r="9482" spans="7:8" x14ac:dyDescent="0.35">
      <c r="G9482" s="215">
        <v>9475</v>
      </c>
      <c r="H9482" s="16">
        <f t="shared" ca="1" si="156"/>
        <v>-1.5837635742821429E-2</v>
      </c>
    </row>
    <row r="9483" spans="7:8" x14ac:dyDescent="0.35">
      <c r="G9483" s="215">
        <v>9476</v>
      </c>
      <c r="H9483" s="16">
        <f t="shared" ca="1" si="156"/>
        <v>1.6483000169385947E-2</v>
      </c>
    </row>
    <row r="9484" spans="7:8" x14ac:dyDescent="0.35">
      <c r="G9484" s="215">
        <v>9477</v>
      </c>
      <c r="H9484" s="16">
        <f t="shared" ca="1" si="156"/>
        <v>7.40739501592491E-2</v>
      </c>
    </row>
    <row r="9485" spans="7:8" x14ac:dyDescent="0.35">
      <c r="G9485" s="215">
        <v>9478</v>
      </c>
      <c r="H9485" s="16">
        <f t="shared" ca="1" si="156"/>
        <v>-3.6007424179839417E-2</v>
      </c>
    </row>
    <row r="9486" spans="7:8" x14ac:dyDescent="0.35">
      <c r="G9486" s="215">
        <v>9479</v>
      </c>
      <c r="H9486" s="16">
        <f t="shared" ca="1" si="156"/>
        <v>2.7065068538323217E-2</v>
      </c>
    </row>
    <row r="9487" spans="7:8" x14ac:dyDescent="0.35">
      <c r="G9487" s="215">
        <v>9480</v>
      </c>
      <c r="H9487" s="16">
        <f t="shared" ca="1" si="156"/>
        <v>-7.0558412103447085E-2</v>
      </c>
    </row>
    <row r="9488" spans="7:8" x14ac:dyDescent="0.35">
      <c r="G9488" s="215">
        <v>9481</v>
      </c>
      <c r="H9488" s="16">
        <f t="shared" ca="1" si="156"/>
        <v>1.1479739083447718E-2</v>
      </c>
    </row>
    <row r="9489" spans="7:8" x14ac:dyDescent="0.35">
      <c r="G9489" s="215">
        <v>9482</v>
      </c>
      <c r="H9489" s="16">
        <f t="shared" ca="1" si="156"/>
        <v>-4.7681635615550479E-3</v>
      </c>
    </row>
    <row r="9490" spans="7:8" x14ac:dyDescent="0.35">
      <c r="G9490" s="215">
        <v>9483</v>
      </c>
      <c r="H9490" s="16">
        <f t="shared" ca="1" si="156"/>
        <v>-7.745075963804901E-3</v>
      </c>
    </row>
    <row r="9491" spans="7:8" x14ac:dyDescent="0.35">
      <c r="G9491" s="215">
        <v>9484</v>
      </c>
      <c r="H9491" s="16">
        <f t="shared" ca="1" si="156"/>
        <v>6.7210736226952131E-2</v>
      </c>
    </row>
    <row r="9492" spans="7:8" x14ac:dyDescent="0.35">
      <c r="G9492" s="215">
        <v>9485</v>
      </c>
      <c r="H9492" s="16">
        <f t="shared" ca="1" si="156"/>
        <v>2.2098032183015877E-2</v>
      </c>
    </row>
    <row r="9493" spans="7:8" x14ac:dyDescent="0.35">
      <c r="G9493" s="215">
        <v>9486</v>
      </c>
      <c r="H9493" s="16">
        <f t="shared" ca="1" si="156"/>
        <v>-3.804796408206601E-2</v>
      </c>
    </row>
    <row r="9494" spans="7:8" x14ac:dyDescent="0.35">
      <c r="G9494" s="215">
        <v>9487</v>
      </c>
      <c r="H9494" s="16">
        <f t="shared" ca="1" si="156"/>
        <v>7.4600103227651135E-2</v>
      </c>
    </row>
    <row r="9495" spans="7:8" x14ac:dyDescent="0.35">
      <c r="G9495" s="215">
        <v>9488</v>
      </c>
      <c r="H9495" s="16">
        <f t="shared" ca="1" si="156"/>
        <v>0.14707006529757222</v>
      </c>
    </row>
    <row r="9496" spans="7:8" x14ac:dyDescent="0.35">
      <c r="G9496" s="215">
        <v>9489</v>
      </c>
      <c r="H9496" s="16">
        <f t="shared" ca="1" si="156"/>
        <v>-1.7648546283882037E-2</v>
      </c>
    </row>
    <row r="9497" spans="7:8" x14ac:dyDescent="0.35">
      <c r="G9497" s="215">
        <v>9490</v>
      </c>
      <c r="H9497" s="16">
        <f t="shared" ca="1" si="156"/>
        <v>1.0026737605641997E-2</v>
      </c>
    </row>
    <row r="9498" spans="7:8" x14ac:dyDescent="0.35">
      <c r="G9498" s="215">
        <v>9491</v>
      </c>
      <c r="H9498" s="16">
        <f t="shared" ca="1" si="156"/>
        <v>-9.9976834097453782E-2</v>
      </c>
    </row>
    <row r="9499" spans="7:8" x14ac:dyDescent="0.35">
      <c r="G9499" s="215">
        <v>9492</v>
      </c>
      <c r="H9499" s="16">
        <f t="shared" ca="1" si="156"/>
        <v>-0.16568593728304895</v>
      </c>
    </row>
    <row r="9500" spans="7:8" x14ac:dyDescent="0.35">
      <c r="G9500" s="215">
        <v>9493</v>
      </c>
      <c r="H9500" s="16">
        <f t="shared" ca="1" si="156"/>
        <v>8.5427121797669744E-2</v>
      </c>
    </row>
    <row r="9501" spans="7:8" x14ac:dyDescent="0.35">
      <c r="G9501" s="215">
        <v>9494</v>
      </c>
      <c r="H9501" s="16">
        <f t="shared" ca="1" si="156"/>
        <v>-8.4017800685724189E-2</v>
      </c>
    </row>
    <row r="9502" spans="7:8" x14ac:dyDescent="0.35">
      <c r="G9502" s="215">
        <v>9495</v>
      </c>
      <c r="H9502" s="16">
        <f t="shared" ca="1" si="156"/>
        <v>4.469533266355688E-2</v>
      </c>
    </row>
    <row r="9503" spans="7:8" x14ac:dyDescent="0.35">
      <c r="G9503" s="215">
        <v>9496</v>
      </c>
      <c r="H9503" s="16">
        <f t="shared" ca="1" si="156"/>
        <v>2.4380237567059999E-2</v>
      </c>
    </row>
    <row r="9504" spans="7:8" x14ac:dyDescent="0.35">
      <c r="G9504" s="215">
        <v>9497</v>
      </c>
      <c r="H9504" s="16">
        <f t="shared" ca="1" si="156"/>
        <v>-7.0894960285545414E-2</v>
      </c>
    </row>
    <row r="9505" spans="7:8" x14ac:dyDescent="0.35">
      <c r="G9505" s="215">
        <v>9498</v>
      </c>
      <c r="H9505" s="16">
        <f t="shared" ca="1" si="156"/>
        <v>4.9885717770078761E-2</v>
      </c>
    </row>
    <row r="9506" spans="7:8" x14ac:dyDescent="0.35">
      <c r="G9506" s="215">
        <v>9499</v>
      </c>
      <c r="H9506" s="16">
        <f t="shared" ca="1" si="156"/>
        <v>-7.4003104076829765E-2</v>
      </c>
    </row>
    <row r="9507" spans="7:8" x14ac:dyDescent="0.35">
      <c r="G9507" s="215">
        <v>9500</v>
      </c>
      <c r="H9507" s="16">
        <f t="shared" ca="1" si="156"/>
        <v>-0.12383416869795083</v>
      </c>
    </row>
    <row r="9508" spans="7:8" x14ac:dyDescent="0.35">
      <c r="G9508" s="215">
        <v>9501</v>
      </c>
      <c r="H9508" s="16">
        <f t="shared" ca="1" si="156"/>
        <v>-7.2158646524989753E-2</v>
      </c>
    </row>
    <row r="9509" spans="7:8" x14ac:dyDescent="0.35">
      <c r="G9509" s="215">
        <v>9502</v>
      </c>
      <c r="H9509" s="16">
        <f t="shared" ca="1" si="156"/>
        <v>-1.3021707326483598E-2</v>
      </c>
    </row>
    <row r="9510" spans="7:8" x14ac:dyDescent="0.35">
      <c r="G9510" s="215">
        <v>9503</v>
      </c>
      <c r="H9510" s="16">
        <f t="shared" ca="1" si="156"/>
        <v>2.4076434853713059E-2</v>
      </c>
    </row>
    <row r="9511" spans="7:8" x14ac:dyDescent="0.35">
      <c r="G9511" s="215">
        <v>9504</v>
      </c>
      <c r="H9511" s="16">
        <f t="shared" ca="1" si="156"/>
        <v>9.813668557711204E-2</v>
      </c>
    </row>
    <row r="9512" spans="7:8" x14ac:dyDescent="0.35">
      <c r="G9512" s="215">
        <v>9505</v>
      </c>
      <c r="H9512" s="16">
        <f t="shared" ca="1" si="156"/>
        <v>-3.6360973239287275E-2</v>
      </c>
    </row>
    <row r="9513" spans="7:8" x14ac:dyDescent="0.35">
      <c r="G9513" s="215">
        <v>9506</v>
      </c>
      <c r="H9513" s="16">
        <f t="shared" ca="1" si="156"/>
        <v>-0.15571963061776201</v>
      </c>
    </row>
    <row r="9514" spans="7:8" x14ac:dyDescent="0.35">
      <c r="G9514" s="215">
        <v>9507</v>
      </c>
      <c r="H9514" s="16">
        <f t="shared" ca="1" si="156"/>
        <v>-1.7152893204050376E-2</v>
      </c>
    </row>
    <row r="9515" spans="7:8" x14ac:dyDescent="0.35">
      <c r="G9515" s="215">
        <v>9508</v>
      </c>
      <c r="H9515" s="16">
        <f t="shared" ca="1" si="156"/>
        <v>-2.0048485242628245E-2</v>
      </c>
    </row>
    <row r="9516" spans="7:8" x14ac:dyDescent="0.35">
      <c r="G9516" s="215">
        <v>9509</v>
      </c>
      <c r="H9516" s="16">
        <f t="shared" ca="1" si="156"/>
        <v>-8.862944041600572E-2</v>
      </c>
    </row>
    <row r="9517" spans="7:8" x14ac:dyDescent="0.35">
      <c r="G9517" s="215">
        <v>9510</v>
      </c>
      <c r="H9517" s="16">
        <f t="shared" ca="1" si="156"/>
        <v>8.7772231180337862E-2</v>
      </c>
    </row>
    <row r="9518" spans="7:8" x14ac:dyDescent="0.35">
      <c r="G9518" s="215">
        <v>9511</v>
      </c>
      <c r="H9518" s="16">
        <f t="shared" ca="1" si="156"/>
        <v>-1.5483587243678078E-2</v>
      </c>
    </row>
    <row r="9519" spans="7:8" x14ac:dyDescent="0.35">
      <c r="G9519" s="215">
        <v>9512</v>
      </c>
      <c r="H9519" s="16">
        <f t="shared" ca="1" si="156"/>
        <v>1.662293493376971E-2</v>
      </c>
    </row>
    <row r="9520" spans="7:8" x14ac:dyDescent="0.35">
      <c r="G9520" s="215">
        <v>9513</v>
      </c>
      <c r="H9520" s="16">
        <f t="shared" ca="1" si="156"/>
        <v>-1.2237774920467979E-2</v>
      </c>
    </row>
    <row r="9521" spans="7:8" x14ac:dyDescent="0.35">
      <c r="G9521" s="215">
        <v>9514</v>
      </c>
      <c r="H9521" s="16">
        <f t="shared" ca="1" si="156"/>
        <v>-0.10857392660975236</v>
      </c>
    </row>
    <row r="9522" spans="7:8" x14ac:dyDescent="0.35">
      <c r="G9522" s="215">
        <v>9515</v>
      </c>
      <c r="H9522" s="16">
        <f t="shared" ca="1" si="156"/>
        <v>-5.816590911966224E-2</v>
      </c>
    </row>
    <row r="9523" spans="7:8" x14ac:dyDescent="0.35">
      <c r="G9523" s="215">
        <v>9516</v>
      </c>
      <c r="H9523" s="16">
        <f t="shared" ca="1" si="156"/>
        <v>-0.18211647309110396</v>
      </c>
    </row>
    <row r="9524" spans="7:8" x14ac:dyDescent="0.35">
      <c r="G9524" s="215">
        <v>9517</v>
      </c>
      <c r="H9524" s="16">
        <f t="shared" ca="1" si="156"/>
        <v>-4.848052096778728E-2</v>
      </c>
    </row>
    <row r="9525" spans="7:8" x14ac:dyDescent="0.35">
      <c r="G9525" s="215">
        <v>9518</v>
      </c>
      <c r="H9525" s="16">
        <f t="shared" ca="1" si="156"/>
        <v>0.10372295351154608</v>
      </c>
    </row>
    <row r="9526" spans="7:8" x14ac:dyDescent="0.35">
      <c r="G9526" s="215">
        <v>9519</v>
      </c>
      <c r="H9526" s="16">
        <f t="shared" ca="1" si="156"/>
        <v>4.7408515069870358E-2</v>
      </c>
    </row>
    <row r="9527" spans="7:8" x14ac:dyDescent="0.35">
      <c r="G9527" s="215">
        <v>9520</v>
      </c>
      <c r="H9527" s="16">
        <f t="shared" ca="1" si="156"/>
        <v>0.10909670163564925</v>
      </c>
    </row>
    <row r="9528" spans="7:8" x14ac:dyDescent="0.35">
      <c r="G9528" s="215">
        <v>9521</v>
      </c>
      <c r="H9528" s="16">
        <f t="shared" ca="1" si="156"/>
        <v>-3.3848666294896843E-2</v>
      </c>
    </row>
    <row r="9529" spans="7:8" x14ac:dyDescent="0.35">
      <c r="G9529" s="215">
        <v>9522</v>
      </c>
      <c r="H9529" s="16">
        <f t="shared" ca="1" si="156"/>
        <v>-3.5882124876519858E-2</v>
      </c>
    </row>
    <row r="9530" spans="7:8" x14ac:dyDescent="0.35">
      <c r="G9530" s="215">
        <v>9523</v>
      </c>
      <c r="H9530" s="16">
        <f t="shared" ca="1" si="156"/>
        <v>5.9735323194056972E-2</v>
      </c>
    </row>
    <row r="9531" spans="7:8" x14ac:dyDescent="0.35">
      <c r="G9531" s="215">
        <v>9524</v>
      </c>
      <c r="H9531" s="16">
        <f t="shared" ca="1" si="156"/>
        <v>1.8116279104920165E-2</v>
      </c>
    </row>
    <row r="9532" spans="7:8" x14ac:dyDescent="0.35">
      <c r="G9532" s="215">
        <v>9525</v>
      </c>
      <c r="H9532" s="16">
        <f t="shared" ca="1" si="156"/>
        <v>-3.1983860055572591E-2</v>
      </c>
    </row>
    <row r="9533" spans="7:8" x14ac:dyDescent="0.35">
      <c r="G9533" s="215">
        <v>9526</v>
      </c>
      <c r="H9533" s="16">
        <f t="shared" ca="1" si="156"/>
        <v>4.300513972012391E-2</v>
      </c>
    </row>
    <row r="9534" spans="7:8" x14ac:dyDescent="0.35">
      <c r="G9534" s="215">
        <v>9527</v>
      </c>
      <c r="H9534" s="16">
        <f t="shared" ca="1" si="156"/>
        <v>-8.6178424448720134E-2</v>
      </c>
    </row>
    <row r="9535" spans="7:8" x14ac:dyDescent="0.35">
      <c r="G9535" s="215">
        <v>9528</v>
      </c>
      <c r="H9535" s="16">
        <f t="shared" ca="1" si="156"/>
        <v>0.1275586837435865</v>
      </c>
    </row>
    <row r="9536" spans="7:8" x14ac:dyDescent="0.35">
      <c r="G9536" s="215">
        <v>9529</v>
      </c>
      <c r="H9536" s="16">
        <f t="shared" ca="1" si="156"/>
        <v>0.24331147077237392</v>
      </c>
    </row>
    <row r="9537" spans="7:8" x14ac:dyDescent="0.35">
      <c r="G9537" s="215">
        <v>9530</v>
      </c>
      <c r="H9537" s="16">
        <f t="shared" ca="1" si="156"/>
        <v>-0.11124045412480615</v>
      </c>
    </row>
    <row r="9538" spans="7:8" x14ac:dyDescent="0.35">
      <c r="G9538" s="215">
        <v>9531</v>
      </c>
      <c r="H9538" s="16">
        <f t="shared" ca="1" si="156"/>
        <v>-8.8076153391956527E-2</v>
      </c>
    </row>
    <row r="9539" spans="7:8" x14ac:dyDescent="0.35">
      <c r="G9539" s="215">
        <v>9532</v>
      </c>
      <c r="H9539" s="16">
        <f t="shared" ca="1" si="156"/>
        <v>0.20348392010509966</v>
      </c>
    </row>
    <row r="9540" spans="7:8" x14ac:dyDescent="0.35">
      <c r="G9540" s="215">
        <v>9533</v>
      </c>
      <c r="H9540" s="16">
        <f t="shared" ca="1" si="156"/>
        <v>-2.9855512795605253E-3</v>
      </c>
    </row>
    <row r="9541" spans="7:8" x14ac:dyDescent="0.35">
      <c r="G9541" s="215">
        <v>9534</v>
      </c>
      <c r="H9541" s="16">
        <f t="shared" ca="1" si="156"/>
        <v>0.15711331577130483</v>
      </c>
    </row>
    <row r="9542" spans="7:8" x14ac:dyDescent="0.35">
      <c r="G9542" s="215">
        <v>9535</v>
      </c>
      <c r="H9542" s="16">
        <f t="shared" ca="1" si="156"/>
        <v>5.3660851056848938E-2</v>
      </c>
    </row>
    <row r="9543" spans="7:8" x14ac:dyDescent="0.35">
      <c r="G9543" s="215">
        <v>9536</v>
      </c>
      <c r="H9543" s="16">
        <f t="shared" ca="1" si="156"/>
        <v>-8.6463082704526406E-2</v>
      </c>
    </row>
    <row r="9544" spans="7:8" x14ac:dyDescent="0.35">
      <c r="G9544" s="215">
        <v>9537</v>
      </c>
      <c r="H9544" s="16">
        <f t="shared" ref="H9544:H9607" ca="1" si="157">_xlfn.NORM.INV(RAND(),M$10,M$11)</f>
        <v>-5.1580019271605937E-2</v>
      </c>
    </row>
    <row r="9545" spans="7:8" x14ac:dyDescent="0.35">
      <c r="G9545" s="215">
        <v>9538</v>
      </c>
      <c r="H9545" s="16">
        <f t="shared" ca="1" si="157"/>
        <v>-1.1509544373835019E-2</v>
      </c>
    </row>
    <row r="9546" spans="7:8" x14ac:dyDescent="0.35">
      <c r="G9546" s="215">
        <v>9539</v>
      </c>
      <c r="H9546" s="16">
        <f t="shared" ca="1" si="157"/>
        <v>-4.6634699809999847E-2</v>
      </c>
    </row>
    <row r="9547" spans="7:8" x14ac:dyDescent="0.35">
      <c r="G9547" s="215">
        <v>9540</v>
      </c>
      <c r="H9547" s="16">
        <f t="shared" ca="1" si="157"/>
        <v>-4.0885945102763527E-2</v>
      </c>
    </row>
    <row r="9548" spans="7:8" x14ac:dyDescent="0.35">
      <c r="G9548" s="215">
        <v>9541</v>
      </c>
      <c r="H9548" s="16">
        <f t="shared" ca="1" si="157"/>
        <v>-9.8998495025582875E-2</v>
      </c>
    </row>
    <row r="9549" spans="7:8" x14ac:dyDescent="0.35">
      <c r="G9549" s="215">
        <v>9542</v>
      </c>
      <c r="H9549" s="16">
        <f t="shared" ca="1" si="157"/>
        <v>-8.3263332507447066E-2</v>
      </c>
    </row>
    <row r="9550" spans="7:8" x14ac:dyDescent="0.35">
      <c r="G9550" s="215">
        <v>9543</v>
      </c>
      <c r="H9550" s="16">
        <f t="shared" ca="1" si="157"/>
        <v>-8.2018774991448926E-2</v>
      </c>
    </row>
    <row r="9551" spans="7:8" x14ac:dyDescent="0.35">
      <c r="G9551" s="215">
        <v>9544</v>
      </c>
      <c r="H9551" s="16">
        <f t="shared" ca="1" si="157"/>
        <v>7.2023846138142153E-2</v>
      </c>
    </row>
    <row r="9552" spans="7:8" x14ac:dyDescent="0.35">
      <c r="G9552" s="215">
        <v>9545</v>
      </c>
      <c r="H9552" s="16">
        <f t="shared" ca="1" si="157"/>
        <v>-0.10653658442993359</v>
      </c>
    </row>
    <row r="9553" spans="7:8" x14ac:dyDescent="0.35">
      <c r="G9553" s="215">
        <v>9546</v>
      </c>
      <c r="H9553" s="16">
        <f t="shared" ca="1" si="157"/>
        <v>-3.1570697638086773E-2</v>
      </c>
    </row>
    <row r="9554" spans="7:8" x14ac:dyDescent="0.35">
      <c r="G9554" s="215">
        <v>9547</v>
      </c>
      <c r="H9554" s="16">
        <f t="shared" ca="1" si="157"/>
        <v>-8.7180175979188326E-2</v>
      </c>
    </row>
    <row r="9555" spans="7:8" x14ac:dyDescent="0.35">
      <c r="G9555" s="215">
        <v>9548</v>
      </c>
      <c r="H9555" s="16">
        <f t="shared" ca="1" si="157"/>
        <v>3.1621960471391826E-2</v>
      </c>
    </row>
    <row r="9556" spans="7:8" x14ac:dyDescent="0.35">
      <c r="G9556" s="215">
        <v>9549</v>
      </c>
      <c r="H9556" s="16">
        <f t="shared" ca="1" si="157"/>
        <v>-0.10677323530325572</v>
      </c>
    </row>
    <row r="9557" spans="7:8" x14ac:dyDescent="0.35">
      <c r="G9557" s="215">
        <v>9550</v>
      </c>
      <c r="H9557" s="16">
        <f t="shared" ca="1" si="157"/>
        <v>-9.1955455131539285E-2</v>
      </c>
    </row>
    <row r="9558" spans="7:8" x14ac:dyDescent="0.35">
      <c r="G9558" s="215">
        <v>9551</v>
      </c>
      <c r="H9558" s="16">
        <f t="shared" ca="1" si="157"/>
        <v>-4.4572075867402666E-2</v>
      </c>
    </row>
    <row r="9559" spans="7:8" x14ac:dyDescent="0.35">
      <c r="G9559" s="215">
        <v>9552</v>
      </c>
      <c r="H9559" s="16">
        <f t="shared" ca="1" si="157"/>
        <v>-1.2261463243719666E-2</v>
      </c>
    </row>
    <row r="9560" spans="7:8" x14ac:dyDescent="0.35">
      <c r="G9560" s="215">
        <v>9553</v>
      </c>
      <c r="H9560" s="16">
        <f t="shared" ca="1" si="157"/>
        <v>5.0003772610717104E-2</v>
      </c>
    </row>
    <row r="9561" spans="7:8" x14ac:dyDescent="0.35">
      <c r="G9561" s="215">
        <v>9554</v>
      </c>
      <c r="H9561" s="16">
        <f t="shared" ca="1" si="157"/>
        <v>2.3371638487614983E-2</v>
      </c>
    </row>
    <row r="9562" spans="7:8" x14ac:dyDescent="0.35">
      <c r="G9562" s="215">
        <v>9555</v>
      </c>
      <c r="H9562" s="16">
        <f t="shared" ca="1" si="157"/>
        <v>7.4918608211745064E-5</v>
      </c>
    </row>
    <row r="9563" spans="7:8" x14ac:dyDescent="0.35">
      <c r="G9563" s="215">
        <v>9556</v>
      </c>
      <c r="H9563" s="16">
        <f t="shared" ca="1" si="157"/>
        <v>-8.5570887596430265E-2</v>
      </c>
    </row>
    <row r="9564" spans="7:8" x14ac:dyDescent="0.35">
      <c r="G9564" s="215">
        <v>9557</v>
      </c>
      <c r="H9564" s="16">
        <f t="shared" ca="1" si="157"/>
        <v>-2.7164408648770452E-2</v>
      </c>
    </row>
    <row r="9565" spans="7:8" x14ac:dyDescent="0.35">
      <c r="G9565" s="215">
        <v>9558</v>
      </c>
      <c r="H9565" s="16">
        <f t="shared" ca="1" si="157"/>
        <v>-6.5915791436035459E-2</v>
      </c>
    </row>
    <row r="9566" spans="7:8" x14ac:dyDescent="0.35">
      <c r="G9566" s="215">
        <v>9559</v>
      </c>
      <c r="H9566" s="16">
        <f t="shared" ca="1" si="157"/>
        <v>7.0949723020110586E-2</v>
      </c>
    </row>
    <row r="9567" spans="7:8" x14ac:dyDescent="0.35">
      <c r="G9567" s="215">
        <v>9560</v>
      </c>
      <c r="H9567" s="16">
        <f t="shared" ca="1" si="157"/>
        <v>5.5837238384236279E-2</v>
      </c>
    </row>
    <row r="9568" spans="7:8" x14ac:dyDescent="0.35">
      <c r="G9568" s="215">
        <v>9561</v>
      </c>
      <c r="H9568" s="16">
        <f t="shared" ca="1" si="157"/>
        <v>4.1314631382291994E-2</v>
      </c>
    </row>
    <row r="9569" spans="7:8" x14ac:dyDescent="0.35">
      <c r="G9569" s="215">
        <v>9562</v>
      </c>
      <c r="H9569" s="16">
        <f t="shared" ca="1" si="157"/>
        <v>2.1011726427422914E-2</v>
      </c>
    </row>
    <row r="9570" spans="7:8" x14ac:dyDescent="0.35">
      <c r="G9570" s="215">
        <v>9563</v>
      </c>
      <c r="H9570" s="16">
        <f t="shared" ca="1" si="157"/>
        <v>-2.1821903632457337E-2</v>
      </c>
    </row>
    <row r="9571" spans="7:8" x14ac:dyDescent="0.35">
      <c r="G9571" s="215">
        <v>9564</v>
      </c>
      <c r="H9571" s="16">
        <f t="shared" ca="1" si="157"/>
        <v>-9.0808225859248567E-2</v>
      </c>
    </row>
    <row r="9572" spans="7:8" x14ac:dyDescent="0.35">
      <c r="G9572" s="215">
        <v>9565</v>
      </c>
      <c r="H9572" s="16">
        <f t="shared" ca="1" si="157"/>
        <v>0.12451736028177328</v>
      </c>
    </row>
    <row r="9573" spans="7:8" x14ac:dyDescent="0.35">
      <c r="G9573" s="215">
        <v>9566</v>
      </c>
      <c r="H9573" s="16">
        <f t="shared" ca="1" si="157"/>
        <v>9.8869523916373624E-3</v>
      </c>
    </row>
    <row r="9574" spans="7:8" x14ac:dyDescent="0.35">
      <c r="G9574" s="215">
        <v>9567</v>
      </c>
      <c r="H9574" s="16">
        <f t="shared" ca="1" si="157"/>
        <v>-5.3080501461408747E-2</v>
      </c>
    </row>
    <row r="9575" spans="7:8" x14ac:dyDescent="0.35">
      <c r="G9575" s="215">
        <v>9568</v>
      </c>
      <c r="H9575" s="16">
        <f t="shared" ca="1" si="157"/>
        <v>2.2956356085991413E-2</v>
      </c>
    </row>
    <row r="9576" spans="7:8" x14ac:dyDescent="0.35">
      <c r="G9576" s="215">
        <v>9569</v>
      </c>
      <c r="H9576" s="16">
        <f t="shared" ca="1" si="157"/>
        <v>-9.8146041573555151E-2</v>
      </c>
    </row>
    <row r="9577" spans="7:8" x14ac:dyDescent="0.35">
      <c r="G9577" s="215">
        <v>9570</v>
      </c>
      <c r="H9577" s="16">
        <f t="shared" ca="1" si="157"/>
        <v>0.13108397997373614</v>
      </c>
    </row>
    <row r="9578" spans="7:8" x14ac:dyDescent="0.35">
      <c r="G9578" s="215">
        <v>9571</v>
      </c>
      <c r="H9578" s="16">
        <f t="shared" ca="1" si="157"/>
        <v>-2.5727562491979428E-2</v>
      </c>
    </row>
    <row r="9579" spans="7:8" x14ac:dyDescent="0.35">
      <c r="G9579" s="215">
        <v>9572</v>
      </c>
      <c r="H9579" s="16">
        <f t="shared" ca="1" si="157"/>
        <v>-4.7410041849179602E-2</v>
      </c>
    </row>
    <row r="9580" spans="7:8" x14ac:dyDescent="0.35">
      <c r="G9580" s="215">
        <v>9573</v>
      </c>
      <c r="H9580" s="16">
        <f t="shared" ca="1" si="157"/>
        <v>-7.9926298811053037E-2</v>
      </c>
    </row>
    <row r="9581" spans="7:8" x14ac:dyDescent="0.35">
      <c r="G9581" s="215">
        <v>9574</v>
      </c>
      <c r="H9581" s="16">
        <f t="shared" ca="1" si="157"/>
        <v>9.5799180871700713E-3</v>
      </c>
    </row>
    <row r="9582" spans="7:8" x14ac:dyDescent="0.35">
      <c r="G9582" s="215">
        <v>9575</v>
      </c>
      <c r="H9582" s="16">
        <f t="shared" ca="1" si="157"/>
        <v>3.895058907099027E-2</v>
      </c>
    </row>
    <row r="9583" spans="7:8" x14ac:dyDescent="0.35">
      <c r="G9583" s="215">
        <v>9576</v>
      </c>
      <c r="H9583" s="16">
        <f t="shared" ca="1" si="157"/>
        <v>-0.16898768809037673</v>
      </c>
    </row>
    <row r="9584" spans="7:8" x14ac:dyDescent="0.35">
      <c r="G9584" s="215">
        <v>9577</v>
      </c>
      <c r="H9584" s="16">
        <f t="shared" ca="1" si="157"/>
        <v>4.2296512762534662E-2</v>
      </c>
    </row>
    <row r="9585" spans="7:8" x14ac:dyDescent="0.35">
      <c r="G9585" s="215">
        <v>9578</v>
      </c>
      <c r="H9585" s="16">
        <f t="shared" ca="1" si="157"/>
        <v>7.2482335334744354E-3</v>
      </c>
    </row>
    <row r="9586" spans="7:8" x14ac:dyDescent="0.35">
      <c r="G9586" s="215">
        <v>9579</v>
      </c>
      <c r="H9586" s="16">
        <f t="shared" ca="1" si="157"/>
        <v>0.15878982386022056</v>
      </c>
    </row>
    <row r="9587" spans="7:8" x14ac:dyDescent="0.35">
      <c r="G9587" s="215">
        <v>9580</v>
      </c>
      <c r="H9587" s="16">
        <f t="shared" ca="1" si="157"/>
        <v>-6.3444524007961869E-2</v>
      </c>
    </row>
    <row r="9588" spans="7:8" x14ac:dyDescent="0.35">
      <c r="G9588" s="215">
        <v>9581</v>
      </c>
      <c r="H9588" s="16">
        <f t="shared" ca="1" si="157"/>
        <v>9.5810600032560853E-3</v>
      </c>
    </row>
    <row r="9589" spans="7:8" x14ac:dyDescent="0.35">
      <c r="G9589" s="215">
        <v>9582</v>
      </c>
      <c r="H9589" s="16">
        <f t="shared" ca="1" si="157"/>
        <v>-1.8319231592928316E-2</v>
      </c>
    </row>
    <row r="9590" spans="7:8" x14ac:dyDescent="0.35">
      <c r="G9590" s="215">
        <v>9583</v>
      </c>
      <c r="H9590" s="16">
        <f t="shared" ca="1" si="157"/>
        <v>-3.4111615996688022E-2</v>
      </c>
    </row>
    <row r="9591" spans="7:8" x14ac:dyDescent="0.35">
      <c r="G9591" s="215">
        <v>9584</v>
      </c>
      <c r="H9591" s="16">
        <f t="shared" ca="1" si="157"/>
        <v>-6.3932326117183413E-3</v>
      </c>
    </row>
    <row r="9592" spans="7:8" x14ac:dyDescent="0.35">
      <c r="G9592" s="215">
        <v>9585</v>
      </c>
      <c r="H9592" s="16">
        <f t="shared" ca="1" si="157"/>
        <v>-3.600599673055975E-2</v>
      </c>
    </row>
    <row r="9593" spans="7:8" x14ac:dyDescent="0.35">
      <c r="G9593" s="215">
        <v>9586</v>
      </c>
      <c r="H9593" s="16">
        <f t="shared" ca="1" si="157"/>
        <v>0.10587285929117916</v>
      </c>
    </row>
    <row r="9594" spans="7:8" x14ac:dyDescent="0.35">
      <c r="G9594" s="215">
        <v>9587</v>
      </c>
      <c r="H9594" s="16">
        <f t="shared" ca="1" si="157"/>
        <v>5.324218517101556E-2</v>
      </c>
    </row>
    <row r="9595" spans="7:8" x14ac:dyDescent="0.35">
      <c r="G9595" s="215">
        <v>9588</v>
      </c>
      <c r="H9595" s="16">
        <f t="shared" ca="1" si="157"/>
        <v>1.2884410773039773E-2</v>
      </c>
    </row>
    <row r="9596" spans="7:8" x14ac:dyDescent="0.35">
      <c r="G9596" s="215">
        <v>9589</v>
      </c>
      <c r="H9596" s="16">
        <f t="shared" ca="1" si="157"/>
        <v>-4.5313245040822264E-2</v>
      </c>
    </row>
    <row r="9597" spans="7:8" x14ac:dyDescent="0.35">
      <c r="G9597" s="215">
        <v>9590</v>
      </c>
      <c r="H9597" s="16">
        <f t="shared" ca="1" si="157"/>
        <v>-4.1662470700356558E-2</v>
      </c>
    </row>
    <row r="9598" spans="7:8" x14ac:dyDescent="0.35">
      <c r="G9598" s="215">
        <v>9591</v>
      </c>
      <c r="H9598" s="16">
        <f t="shared" ca="1" si="157"/>
        <v>7.7443581724794125E-2</v>
      </c>
    </row>
    <row r="9599" spans="7:8" x14ac:dyDescent="0.35">
      <c r="G9599" s="215">
        <v>9592</v>
      </c>
      <c r="H9599" s="16">
        <f t="shared" ca="1" si="157"/>
        <v>6.8867000870025591E-2</v>
      </c>
    </row>
    <row r="9600" spans="7:8" x14ac:dyDescent="0.35">
      <c r="G9600" s="215">
        <v>9593</v>
      </c>
      <c r="H9600" s="16">
        <f t="shared" ca="1" si="157"/>
        <v>-6.865123171648442E-2</v>
      </c>
    </row>
    <row r="9601" spans="7:8" x14ac:dyDescent="0.35">
      <c r="G9601" s="215">
        <v>9594</v>
      </c>
      <c r="H9601" s="16">
        <f t="shared" ca="1" si="157"/>
        <v>-4.1273359418970382E-2</v>
      </c>
    </row>
    <row r="9602" spans="7:8" x14ac:dyDescent="0.35">
      <c r="G9602" s="215">
        <v>9595</v>
      </c>
      <c r="H9602" s="16">
        <f t="shared" ca="1" si="157"/>
        <v>-3.9319219933493556E-3</v>
      </c>
    </row>
    <row r="9603" spans="7:8" x14ac:dyDescent="0.35">
      <c r="G9603" s="215">
        <v>9596</v>
      </c>
      <c r="H9603" s="16">
        <f t="shared" ca="1" si="157"/>
        <v>5.977393201188809E-2</v>
      </c>
    </row>
    <row r="9604" spans="7:8" x14ac:dyDescent="0.35">
      <c r="G9604" s="215">
        <v>9597</v>
      </c>
      <c r="H9604" s="16">
        <f t="shared" ca="1" si="157"/>
        <v>3.3289691524620219E-2</v>
      </c>
    </row>
    <row r="9605" spans="7:8" x14ac:dyDescent="0.35">
      <c r="G9605" s="215">
        <v>9598</v>
      </c>
      <c r="H9605" s="16">
        <f t="shared" ca="1" si="157"/>
        <v>0.15048716147807148</v>
      </c>
    </row>
    <row r="9606" spans="7:8" x14ac:dyDescent="0.35">
      <c r="G9606" s="215">
        <v>9599</v>
      </c>
      <c r="H9606" s="16">
        <f t="shared" ca="1" si="157"/>
        <v>7.6891385411124516E-2</v>
      </c>
    </row>
    <row r="9607" spans="7:8" x14ac:dyDescent="0.35">
      <c r="G9607" s="215">
        <v>9600</v>
      </c>
      <c r="H9607" s="16">
        <f t="shared" ca="1" si="157"/>
        <v>-0.12477714526987213</v>
      </c>
    </row>
    <row r="9608" spans="7:8" x14ac:dyDescent="0.35">
      <c r="G9608" s="215">
        <v>9601</v>
      </c>
      <c r="H9608" s="16">
        <f t="shared" ref="H9608:H9671" ca="1" si="158">_xlfn.NORM.INV(RAND(),M$10,M$11)</f>
        <v>-5.6422319307301821E-2</v>
      </c>
    </row>
    <row r="9609" spans="7:8" x14ac:dyDescent="0.35">
      <c r="G9609" s="215">
        <v>9602</v>
      </c>
      <c r="H9609" s="16">
        <f t="shared" ca="1" si="158"/>
        <v>5.9701165200227793E-2</v>
      </c>
    </row>
    <row r="9610" spans="7:8" x14ac:dyDescent="0.35">
      <c r="G9610" s="215">
        <v>9603</v>
      </c>
      <c r="H9610" s="16">
        <f t="shared" ca="1" si="158"/>
        <v>0.14659248197938432</v>
      </c>
    </row>
    <row r="9611" spans="7:8" x14ac:dyDescent="0.35">
      <c r="G9611" s="215">
        <v>9604</v>
      </c>
      <c r="H9611" s="16">
        <f t="shared" ca="1" si="158"/>
        <v>8.5773192388053782E-2</v>
      </c>
    </row>
    <row r="9612" spans="7:8" x14ac:dyDescent="0.35">
      <c r="G9612" s="215">
        <v>9605</v>
      </c>
      <c r="H9612" s="16">
        <f t="shared" ca="1" si="158"/>
        <v>1.248211066964797E-2</v>
      </c>
    </row>
    <row r="9613" spans="7:8" x14ac:dyDescent="0.35">
      <c r="G9613" s="215">
        <v>9606</v>
      </c>
      <c r="H9613" s="16">
        <f t="shared" ca="1" si="158"/>
        <v>6.4875333098607144E-2</v>
      </c>
    </row>
    <row r="9614" spans="7:8" x14ac:dyDescent="0.35">
      <c r="G9614" s="215">
        <v>9607</v>
      </c>
      <c r="H9614" s="16">
        <f t="shared" ca="1" si="158"/>
        <v>-6.5882528963152456E-2</v>
      </c>
    </row>
    <row r="9615" spans="7:8" x14ac:dyDescent="0.35">
      <c r="G9615" s="215">
        <v>9608</v>
      </c>
      <c r="H9615" s="16">
        <f t="shared" ca="1" si="158"/>
        <v>-4.4418925036129805E-2</v>
      </c>
    </row>
    <row r="9616" spans="7:8" x14ac:dyDescent="0.35">
      <c r="G9616" s="215">
        <v>9609</v>
      </c>
      <c r="H9616" s="16">
        <f t="shared" ca="1" si="158"/>
        <v>-4.4863401376858195E-3</v>
      </c>
    </row>
    <row r="9617" spans="7:8" x14ac:dyDescent="0.35">
      <c r="G9617" s="215">
        <v>9610</v>
      </c>
      <c r="H9617" s="16">
        <f t="shared" ca="1" si="158"/>
        <v>0.11425910514540247</v>
      </c>
    </row>
    <row r="9618" spans="7:8" x14ac:dyDescent="0.35">
      <c r="G9618" s="215">
        <v>9611</v>
      </c>
      <c r="H9618" s="16">
        <f t="shared" ca="1" si="158"/>
        <v>6.7873709556030448E-2</v>
      </c>
    </row>
    <row r="9619" spans="7:8" x14ac:dyDescent="0.35">
      <c r="G9619" s="215">
        <v>9612</v>
      </c>
      <c r="H9619" s="16">
        <f t="shared" ca="1" si="158"/>
        <v>2.828819728308616E-2</v>
      </c>
    </row>
    <row r="9620" spans="7:8" x14ac:dyDescent="0.35">
      <c r="G9620" s="215">
        <v>9613</v>
      </c>
      <c r="H9620" s="16">
        <f t="shared" ca="1" si="158"/>
        <v>6.1610709459852211E-2</v>
      </c>
    </row>
    <row r="9621" spans="7:8" x14ac:dyDescent="0.35">
      <c r="G9621" s="215">
        <v>9614</v>
      </c>
      <c r="H9621" s="16">
        <f t="shared" ca="1" si="158"/>
        <v>-7.9817643371838887E-2</v>
      </c>
    </row>
    <row r="9622" spans="7:8" x14ac:dyDescent="0.35">
      <c r="G9622" s="215">
        <v>9615</v>
      </c>
      <c r="H9622" s="16">
        <f t="shared" ca="1" si="158"/>
        <v>3.3837566080681503E-2</v>
      </c>
    </row>
    <row r="9623" spans="7:8" x14ac:dyDescent="0.35">
      <c r="G9623" s="215">
        <v>9616</v>
      </c>
      <c r="H9623" s="16">
        <f t="shared" ca="1" si="158"/>
        <v>0.12034804523064907</v>
      </c>
    </row>
    <row r="9624" spans="7:8" x14ac:dyDescent="0.35">
      <c r="G9624" s="215">
        <v>9617</v>
      </c>
      <c r="H9624" s="16">
        <f t="shared" ca="1" si="158"/>
        <v>-2.4283301607443946E-2</v>
      </c>
    </row>
    <row r="9625" spans="7:8" x14ac:dyDescent="0.35">
      <c r="G9625" s="215">
        <v>9618</v>
      </c>
      <c r="H9625" s="16">
        <f t="shared" ca="1" si="158"/>
        <v>-2.0041980861189673E-2</v>
      </c>
    </row>
    <row r="9626" spans="7:8" x14ac:dyDescent="0.35">
      <c r="G9626" s="215">
        <v>9619</v>
      </c>
      <c r="H9626" s="16">
        <f t="shared" ca="1" si="158"/>
        <v>4.5639389575756806E-2</v>
      </c>
    </row>
    <row r="9627" spans="7:8" x14ac:dyDescent="0.35">
      <c r="G9627" s="215">
        <v>9620</v>
      </c>
      <c r="H9627" s="16">
        <f t="shared" ca="1" si="158"/>
        <v>-6.1763101746104984E-2</v>
      </c>
    </row>
    <row r="9628" spans="7:8" x14ac:dyDescent="0.35">
      <c r="G9628" s="215">
        <v>9621</v>
      </c>
      <c r="H9628" s="16">
        <f t="shared" ca="1" si="158"/>
        <v>-8.4259305108246654E-3</v>
      </c>
    </row>
    <row r="9629" spans="7:8" x14ac:dyDescent="0.35">
      <c r="G9629" s="215">
        <v>9622</v>
      </c>
      <c r="H9629" s="16">
        <f t="shared" ca="1" si="158"/>
        <v>3.8815800972796816E-3</v>
      </c>
    </row>
    <row r="9630" spans="7:8" x14ac:dyDescent="0.35">
      <c r="G9630" s="215">
        <v>9623</v>
      </c>
      <c r="H9630" s="16">
        <f t="shared" ca="1" si="158"/>
        <v>9.3531115439843784E-2</v>
      </c>
    </row>
    <row r="9631" spans="7:8" x14ac:dyDescent="0.35">
      <c r="G9631" s="215">
        <v>9624</v>
      </c>
      <c r="H9631" s="16">
        <f t="shared" ca="1" si="158"/>
        <v>-3.3946927902161611E-2</v>
      </c>
    </row>
    <row r="9632" spans="7:8" x14ac:dyDescent="0.35">
      <c r="G9632" s="215">
        <v>9625</v>
      </c>
      <c r="H9632" s="16">
        <f t="shared" ca="1" si="158"/>
        <v>-8.9455920269121011E-2</v>
      </c>
    </row>
    <row r="9633" spans="7:8" x14ac:dyDescent="0.35">
      <c r="G9633" s="215">
        <v>9626</v>
      </c>
      <c r="H9633" s="16">
        <f t="shared" ca="1" si="158"/>
        <v>-3.0013761557342217E-2</v>
      </c>
    </row>
    <row r="9634" spans="7:8" x14ac:dyDescent="0.35">
      <c r="G9634" s="215">
        <v>9627</v>
      </c>
      <c r="H9634" s="16">
        <f t="shared" ca="1" si="158"/>
        <v>2.7337591209633277E-2</v>
      </c>
    </row>
    <row r="9635" spans="7:8" x14ac:dyDescent="0.35">
      <c r="G9635" s="215">
        <v>9628</v>
      </c>
      <c r="H9635" s="16">
        <f t="shared" ca="1" si="158"/>
        <v>1.1240820554638334E-2</v>
      </c>
    </row>
    <row r="9636" spans="7:8" x14ac:dyDescent="0.35">
      <c r="G9636" s="215">
        <v>9629</v>
      </c>
      <c r="H9636" s="16">
        <f t="shared" ca="1" si="158"/>
        <v>4.9362428418694856E-2</v>
      </c>
    </row>
    <row r="9637" spans="7:8" x14ac:dyDescent="0.35">
      <c r="G9637" s="215">
        <v>9630</v>
      </c>
      <c r="H9637" s="16">
        <f t="shared" ca="1" si="158"/>
        <v>3.5828237568416375E-2</v>
      </c>
    </row>
    <row r="9638" spans="7:8" x14ac:dyDescent="0.35">
      <c r="G9638" s="215">
        <v>9631</v>
      </c>
      <c r="H9638" s="16">
        <f t="shared" ca="1" si="158"/>
        <v>-2.7754054322835713E-2</v>
      </c>
    </row>
    <row r="9639" spans="7:8" x14ac:dyDescent="0.35">
      <c r="G9639" s="215">
        <v>9632</v>
      </c>
      <c r="H9639" s="16">
        <f t="shared" ca="1" si="158"/>
        <v>5.2576945140782344E-2</v>
      </c>
    </row>
    <row r="9640" spans="7:8" x14ac:dyDescent="0.35">
      <c r="G9640" s="215">
        <v>9633</v>
      </c>
      <c r="H9640" s="16">
        <f t="shared" ca="1" si="158"/>
        <v>1.7223253468840478E-3</v>
      </c>
    </row>
    <row r="9641" spans="7:8" x14ac:dyDescent="0.35">
      <c r="G9641" s="215">
        <v>9634</v>
      </c>
      <c r="H9641" s="16">
        <f t="shared" ca="1" si="158"/>
        <v>5.9314513287389778E-2</v>
      </c>
    </row>
    <row r="9642" spans="7:8" x14ac:dyDescent="0.35">
      <c r="G9642" s="215">
        <v>9635</v>
      </c>
      <c r="H9642" s="16">
        <f t="shared" ca="1" si="158"/>
        <v>8.5032135448503327E-2</v>
      </c>
    </row>
    <row r="9643" spans="7:8" x14ac:dyDescent="0.35">
      <c r="G9643" s="215">
        <v>9636</v>
      </c>
      <c r="H9643" s="16">
        <f t="shared" ca="1" si="158"/>
        <v>-2.7136573163507888E-2</v>
      </c>
    </row>
    <row r="9644" spans="7:8" x14ac:dyDescent="0.35">
      <c r="G9644" s="215">
        <v>9637</v>
      </c>
      <c r="H9644" s="16">
        <f t="shared" ca="1" si="158"/>
        <v>8.4471809562391892E-2</v>
      </c>
    </row>
    <row r="9645" spans="7:8" x14ac:dyDescent="0.35">
      <c r="G9645" s="215">
        <v>9638</v>
      </c>
      <c r="H9645" s="16">
        <f t="shared" ca="1" si="158"/>
        <v>-6.6235774018769011E-2</v>
      </c>
    </row>
    <row r="9646" spans="7:8" x14ac:dyDescent="0.35">
      <c r="G9646" s="215">
        <v>9639</v>
      </c>
      <c r="H9646" s="16">
        <f t="shared" ca="1" si="158"/>
        <v>-8.6103066149723941E-3</v>
      </c>
    </row>
    <row r="9647" spans="7:8" x14ac:dyDescent="0.35">
      <c r="G9647" s="215">
        <v>9640</v>
      </c>
      <c r="H9647" s="16">
        <f t="shared" ca="1" si="158"/>
        <v>0.12176462527205552</v>
      </c>
    </row>
    <row r="9648" spans="7:8" x14ac:dyDescent="0.35">
      <c r="G9648" s="215">
        <v>9641</v>
      </c>
      <c r="H9648" s="16">
        <f t="shared" ca="1" si="158"/>
        <v>-5.1732552618343697E-2</v>
      </c>
    </row>
    <row r="9649" spans="7:8" x14ac:dyDescent="0.35">
      <c r="G9649" s="215">
        <v>9642</v>
      </c>
      <c r="H9649" s="16">
        <f t="shared" ca="1" si="158"/>
        <v>-0.12290748797135381</v>
      </c>
    </row>
    <row r="9650" spans="7:8" x14ac:dyDescent="0.35">
      <c r="G9650" s="215">
        <v>9643</v>
      </c>
      <c r="H9650" s="16">
        <f t="shared" ca="1" si="158"/>
        <v>1.8576980114442108E-2</v>
      </c>
    </row>
    <row r="9651" spans="7:8" x14ac:dyDescent="0.35">
      <c r="G9651" s="215">
        <v>9644</v>
      </c>
      <c r="H9651" s="16">
        <f t="shared" ca="1" si="158"/>
        <v>3.9705873842543857E-2</v>
      </c>
    </row>
    <row r="9652" spans="7:8" x14ac:dyDescent="0.35">
      <c r="G9652" s="215">
        <v>9645</v>
      </c>
      <c r="H9652" s="16">
        <f t="shared" ca="1" si="158"/>
        <v>-2.3473888962927753E-2</v>
      </c>
    </row>
    <row r="9653" spans="7:8" x14ac:dyDescent="0.35">
      <c r="G9653" s="215">
        <v>9646</v>
      </c>
      <c r="H9653" s="16">
        <f t="shared" ca="1" si="158"/>
        <v>8.2935451377790945E-2</v>
      </c>
    </row>
    <row r="9654" spans="7:8" x14ac:dyDescent="0.35">
      <c r="G9654" s="215">
        <v>9647</v>
      </c>
      <c r="H9654" s="16">
        <f t="shared" ca="1" si="158"/>
        <v>9.8186076496279917E-2</v>
      </c>
    </row>
    <row r="9655" spans="7:8" x14ac:dyDescent="0.35">
      <c r="G9655" s="215">
        <v>9648</v>
      </c>
      <c r="H9655" s="16">
        <f t="shared" ca="1" si="158"/>
        <v>7.9249200437902886E-2</v>
      </c>
    </row>
    <row r="9656" spans="7:8" x14ac:dyDescent="0.35">
      <c r="G9656" s="215">
        <v>9649</v>
      </c>
      <c r="H9656" s="16">
        <f t="shared" ca="1" si="158"/>
        <v>9.0621115473606129E-2</v>
      </c>
    </row>
    <row r="9657" spans="7:8" x14ac:dyDescent="0.35">
      <c r="G9657" s="215">
        <v>9650</v>
      </c>
      <c r="H9657" s="16">
        <f t="shared" ca="1" si="158"/>
        <v>-1.5634752605930502E-2</v>
      </c>
    </row>
    <row r="9658" spans="7:8" x14ac:dyDescent="0.35">
      <c r="G9658" s="215">
        <v>9651</v>
      </c>
      <c r="H9658" s="16">
        <f t="shared" ca="1" si="158"/>
        <v>2.8086021495268166E-3</v>
      </c>
    </row>
    <row r="9659" spans="7:8" x14ac:dyDescent="0.35">
      <c r="G9659" s="215">
        <v>9652</v>
      </c>
      <c r="H9659" s="16">
        <f t="shared" ca="1" si="158"/>
        <v>5.4113273631543043E-2</v>
      </c>
    </row>
    <row r="9660" spans="7:8" x14ac:dyDescent="0.35">
      <c r="G9660" s="215">
        <v>9653</v>
      </c>
      <c r="H9660" s="16">
        <f t="shared" ca="1" si="158"/>
        <v>-9.8512525614742261E-2</v>
      </c>
    </row>
    <row r="9661" spans="7:8" x14ac:dyDescent="0.35">
      <c r="G9661" s="215">
        <v>9654</v>
      </c>
      <c r="H9661" s="16">
        <f t="shared" ca="1" si="158"/>
        <v>-0.10069986337911048</v>
      </c>
    </row>
    <row r="9662" spans="7:8" x14ac:dyDescent="0.35">
      <c r="G9662" s="215">
        <v>9655</v>
      </c>
      <c r="H9662" s="16">
        <f t="shared" ca="1" si="158"/>
        <v>-3.223957575828286E-2</v>
      </c>
    </row>
    <row r="9663" spans="7:8" x14ac:dyDescent="0.35">
      <c r="G9663" s="215">
        <v>9656</v>
      </c>
      <c r="H9663" s="16">
        <f t="shared" ca="1" si="158"/>
        <v>0.13140333405630655</v>
      </c>
    </row>
    <row r="9664" spans="7:8" x14ac:dyDescent="0.35">
      <c r="G9664" s="215">
        <v>9657</v>
      </c>
      <c r="H9664" s="16">
        <f t="shared" ca="1" si="158"/>
        <v>-6.3785906672911737E-3</v>
      </c>
    </row>
    <row r="9665" spans="7:8" x14ac:dyDescent="0.35">
      <c r="G9665" s="215">
        <v>9658</v>
      </c>
      <c r="H9665" s="16">
        <f t="shared" ca="1" si="158"/>
        <v>-5.8132722204319712E-2</v>
      </c>
    </row>
    <row r="9666" spans="7:8" x14ac:dyDescent="0.35">
      <c r="G9666" s="215">
        <v>9659</v>
      </c>
      <c r="H9666" s="16">
        <f t="shared" ca="1" si="158"/>
        <v>-3.9436971726234546E-2</v>
      </c>
    </row>
    <row r="9667" spans="7:8" x14ac:dyDescent="0.35">
      <c r="G9667" s="215">
        <v>9660</v>
      </c>
      <c r="H9667" s="16">
        <f t="shared" ca="1" si="158"/>
        <v>-1.9370739926934933E-2</v>
      </c>
    </row>
    <row r="9668" spans="7:8" x14ac:dyDescent="0.35">
      <c r="G9668" s="215">
        <v>9661</v>
      </c>
      <c r="H9668" s="16">
        <f t="shared" ca="1" si="158"/>
        <v>-3.6145171015251873E-2</v>
      </c>
    </row>
    <row r="9669" spans="7:8" x14ac:dyDescent="0.35">
      <c r="G9669" s="215">
        <v>9662</v>
      </c>
      <c r="H9669" s="16">
        <f t="shared" ca="1" si="158"/>
        <v>8.1127570133768437E-2</v>
      </c>
    </row>
    <row r="9670" spans="7:8" x14ac:dyDescent="0.35">
      <c r="G9670" s="215">
        <v>9663</v>
      </c>
      <c r="H9670" s="16">
        <f t="shared" ca="1" si="158"/>
        <v>1.306638142256779E-2</v>
      </c>
    </row>
    <row r="9671" spans="7:8" x14ac:dyDescent="0.35">
      <c r="G9671" s="215">
        <v>9664</v>
      </c>
      <c r="H9671" s="16">
        <f t="shared" ca="1" si="158"/>
        <v>-5.2268923583639618E-2</v>
      </c>
    </row>
    <row r="9672" spans="7:8" x14ac:dyDescent="0.35">
      <c r="G9672" s="215">
        <v>9665</v>
      </c>
      <c r="H9672" s="16">
        <f t="shared" ref="H9672:H9735" ca="1" si="159">_xlfn.NORM.INV(RAND(),M$10,M$11)</f>
        <v>5.8644523984723529E-2</v>
      </c>
    </row>
    <row r="9673" spans="7:8" x14ac:dyDescent="0.35">
      <c r="G9673" s="215">
        <v>9666</v>
      </c>
      <c r="H9673" s="16">
        <f t="shared" ca="1" si="159"/>
        <v>3.0379788018534869E-2</v>
      </c>
    </row>
    <row r="9674" spans="7:8" x14ac:dyDescent="0.35">
      <c r="G9674" s="215">
        <v>9667</v>
      </c>
      <c r="H9674" s="16">
        <f t="shared" ca="1" si="159"/>
        <v>-2.7022938218066433E-3</v>
      </c>
    </row>
    <row r="9675" spans="7:8" x14ac:dyDescent="0.35">
      <c r="G9675" s="215">
        <v>9668</v>
      </c>
      <c r="H9675" s="16">
        <f t="shared" ca="1" si="159"/>
        <v>-4.9894776090943296E-2</v>
      </c>
    </row>
    <row r="9676" spans="7:8" x14ac:dyDescent="0.35">
      <c r="G9676" s="215">
        <v>9669</v>
      </c>
      <c r="H9676" s="16">
        <f t="shared" ca="1" si="159"/>
        <v>0.21030884679238687</v>
      </c>
    </row>
    <row r="9677" spans="7:8" x14ac:dyDescent="0.35">
      <c r="G9677" s="215">
        <v>9670</v>
      </c>
      <c r="H9677" s="16">
        <f t="shared" ca="1" si="159"/>
        <v>-5.8358754972985066E-2</v>
      </c>
    </row>
    <row r="9678" spans="7:8" x14ac:dyDescent="0.35">
      <c r="G9678" s="215">
        <v>9671</v>
      </c>
      <c r="H9678" s="16">
        <f t="shared" ca="1" si="159"/>
        <v>4.8646566718660453E-2</v>
      </c>
    </row>
    <row r="9679" spans="7:8" x14ac:dyDescent="0.35">
      <c r="G9679" s="215">
        <v>9672</v>
      </c>
      <c r="H9679" s="16">
        <f t="shared" ca="1" si="159"/>
        <v>0.20101407322403583</v>
      </c>
    </row>
    <row r="9680" spans="7:8" x14ac:dyDescent="0.35">
      <c r="G9680" s="215">
        <v>9673</v>
      </c>
      <c r="H9680" s="16">
        <f t="shared" ca="1" si="159"/>
        <v>-3.4500638102490128E-2</v>
      </c>
    </row>
    <row r="9681" spans="7:8" x14ac:dyDescent="0.35">
      <c r="G9681" s="215">
        <v>9674</v>
      </c>
      <c r="H9681" s="16">
        <f t="shared" ca="1" si="159"/>
        <v>5.6044772852103922E-2</v>
      </c>
    </row>
    <row r="9682" spans="7:8" x14ac:dyDescent="0.35">
      <c r="G9682" s="215">
        <v>9675</v>
      </c>
      <c r="H9682" s="16">
        <f t="shared" ca="1" si="159"/>
        <v>-2.4019002020278752E-2</v>
      </c>
    </row>
    <row r="9683" spans="7:8" x14ac:dyDescent="0.35">
      <c r="G9683" s="215">
        <v>9676</v>
      </c>
      <c r="H9683" s="16">
        <f t="shared" ca="1" si="159"/>
        <v>-8.7927719657088579E-4</v>
      </c>
    </row>
    <row r="9684" spans="7:8" x14ac:dyDescent="0.35">
      <c r="G9684" s="215">
        <v>9677</v>
      </c>
      <c r="H9684" s="16">
        <f t="shared" ca="1" si="159"/>
        <v>4.5784572858191167E-2</v>
      </c>
    </row>
    <row r="9685" spans="7:8" x14ac:dyDescent="0.35">
      <c r="G9685" s="215">
        <v>9678</v>
      </c>
      <c r="H9685" s="16">
        <f t="shared" ca="1" si="159"/>
        <v>0.1206659211487266</v>
      </c>
    </row>
    <row r="9686" spans="7:8" x14ac:dyDescent="0.35">
      <c r="G9686" s="215">
        <v>9679</v>
      </c>
      <c r="H9686" s="16">
        <f t="shared" ca="1" si="159"/>
        <v>-5.8553607657376064E-2</v>
      </c>
    </row>
    <row r="9687" spans="7:8" x14ac:dyDescent="0.35">
      <c r="G9687" s="215">
        <v>9680</v>
      </c>
      <c r="H9687" s="16">
        <f t="shared" ca="1" si="159"/>
        <v>8.8624381776093511E-2</v>
      </c>
    </row>
    <row r="9688" spans="7:8" x14ac:dyDescent="0.35">
      <c r="G9688" s="215">
        <v>9681</v>
      </c>
      <c r="H9688" s="16">
        <f t="shared" ca="1" si="159"/>
        <v>-3.4906139076131867E-2</v>
      </c>
    </row>
    <row r="9689" spans="7:8" x14ac:dyDescent="0.35">
      <c r="G9689" s="215">
        <v>9682</v>
      </c>
      <c r="H9689" s="16">
        <f t="shared" ca="1" si="159"/>
        <v>3.8762381856327889E-2</v>
      </c>
    </row>
    <row r="9690" spans="7:8" x14ac:dyDescent="0.35">
      <c r="G9690" s="215">
        <v>9683</v>
      </c>
      <c r="H9690" s="16">
        <f t="shared" ca="1" si="159"/>
        <v>1.5024253724563071E-2</v>
      </c>
    </row>
    <row r="9691" spans="7:8" x14ac:dyDescent="0.35">
      <c r="G9691" s="215">
        <v>9684</v>
      </c>
      <c r="H9691" s="16">
        <f t="shared" ca="1" si="159"/>
        <v>0.11412276802742993</v>
      </c>
    </row>
    <row r="9692" spans="7:8" x14ac:dyDescent="0.35">
      <c r="G9692" s="215">
        <v>9685</v>
      </c>
      <c r="H9692" s="16">
        <f t="shared" ca="1" si="159"/>
        <v>0.21540342768447829</v>
      </c>
    </row>
    <row r="9693" spans="7:8" x14ac:dyDescent="0.35">
      <c r="G9693" s="215">
        <v>9686</v>
      </c>
      <c r="H9693" s="16">
        <f t="shared" ca="1" si="159"/>
        <v>1.2459833852459138E-2</v>
      </c>
    </row>
    <row r="9694" spans="7:8" x14ac:dyDescent="0.35">
      <c r="G9694" s="215">
        <v>9687</v>
      </c>
      <c r="H9694" s="16">
        <f t="shared" ca="1" si="159"/>
        <v>6.872617110507169E-2</v>
      </c>
    </row>
    <row r="9695" spans="7:8" x14ac:dyDescent="0.35">
      <c r="G9695" s="215">
        <v>9688</v>
      </c>
      <c r="H9695" s="16">
        <f t="shared" ca="1" si="159"/>
        <v>-5.4424453295715033E-2</v>
      </c>
    </row>
    <row r="9696" spans="7:8" x14ac:dyDescent="0.35">
      <c r="G9696" s="215">
        <v>9689</v>
      </c>
      <c r="H9696" s="16">
        <f t="shared" ca="1" si="159"/>
        <v>3.9574510691453735E-2</v>
      </c>
    </row>
    <row r="9697" spans="7:8" x14ac:dyDescent="0.35">
      <c r="G9697" s="215">
        <v>9690</v>
      </c>
      <c r="H9697" s="16">
        <f t="shared" ca="1" si="159"/>
        <v>1.3556383255042385E-2</v>
      </c>
    </row>
    <row r="9698" spans="7:8" x14ac:dyDescent="0.35">
      <c r="G9698" s="215">
        <v>9691</v>
      </c>
      <c r="H9698" s="16">
        <f t="shared" ca="1" si="159"/>
        <v>2.2905864875474323E-2</v>
      </c>
    </row>
    <row r="9699" spans="7:8" x14ac:dyDescent="0.35">
      <c r="G9699" s="215">
        <v>9692</v>
      </c>
      <c r="H9699" s="16">
        <f t="shared" ca="1" si="159"/>
        <v>-5.3609275229833719E-2</v>
      </c>
    </row>
    <row r="9700" spans="7:8" x14ac:dyDescent="0.35">
      <c r="G9700" s="215">
        <v>9693</v>
      </c>
      <c r="H9700" s="16">
        <f t="shared" ca="1" si="159"/>
        <v>4.4414929714675436E-2</v>
      </c>
    </row>
    <row r="9701" spans="7:8" x14ac:dyDescent="0.35">
      <c r="G9701" s="215">
        <v>9694</v>
      </c>
      <c r="H9701" s="16">
        <f t="shared" ca="1" si="159"/>
        <v>3.037989294065814E-2</v>
      </c>
    </row>
    <row r="9702" spans="7:8" x14ac:dyDescent="0.35">
      <c r="G9702" s="215">
        <v>9695</v>
      </c>
      <c r="H9702" s="16">
        <f t="shared" ca="1" si="159"/>
        <v>-7.7783828532996868E-2</v>
      </c>
    </row>
    <row r="9703" spans="7:8" x14ac:dyDescent="0.35">
      <c r="G9703" s="215">
        <v>9696</v>
      </c>
      <c r="H9703" s="16">
        <f t="shared" ca="1" si="159"/>
        <v>5.6995423667346376E-2</v>
      </c>
    </row>
    <row r="9704" spans="7:8" x14ac:dyDescent="0.35">
      <c r="G9704" s="215">
        <v>9697</v>
      </c>
      <c r="H9704" s="16">
        <f t="shared" ca="1" si="159"/>
        <v>-5.7884015806040759E-2</v>
      </c>
    </row>
    <row r="9705" spans="7:8" x14ac:dyDescent="0.35">
      <c r="G9705" s="215">
        <v>9698</v>
      </c>
      <c r="H9705" s="16">
        <f t="shared" ca="1" si="159"/>
        <v>9.1940776379525996E-2</v>
      </c>
    </row>
    <row r="9706" spans="7:8" x14ac:dyDescent="0.35">
      <c r="G9706" s="215">
        <v>9699</v>
      </c>
      <c r="H9706" s="16">
        <f t="shared" ca="1" si="159"/>
        <v>8.4049491471902854E-2</v>
      </c>
    </row>
    <row r="9707" spans="7:8" x14ac:dyDescent="0.35">
      <c r="G9707" s="215">
        <v>9700</v>
      </c>
      <c r="H9707" s="16">
        <f t="shared" ca="1" si="159"/>
        <v>-3.5779417678676359E-2</v>
      </c>
    </row>
    <row r="9708" spans="7:8" x14ac:dyDescent="0.35">
      <c r="G9708" s="215">
        <v>9701</v>
      </c>
      <c r="H9708" s="16">
        <f t="shared" ca="1" si="159"/>
        <v>0.13803984362118332</v>
      </c>
    </row>
    <row r="9709" spans="7:8" x14ac:dyDescent="0.35">
      <c r="G9709" s="215">
        <v>9702</v>
      </c>
      <c r="H9709" s="16">
        <f t="shared" ca="1" si="159"/>
        <v>-1.3484794134416219E-2</v>
      </c>
    </row>
    <row r="9710" spans="7:8" x14ac:dyDescent="0.35">
      <c r="G9710" s="215">
        <v>9703</v>
      </c>
      <c r="H9710" s="16">
        <f t="shared" ca="1" si="159"/>
        <v>0.20389937074671677</v>
      </c>
    </row>
    <row r="9711" spans="7:8" x14ac:dyDescent="0.35">
      <c r="G9711" s="215">
        <v>9704</v>
      </c>
      <c r="H9711" s="16">
        <f t="shared" ca="1" si="159"/>
        <v>0.10018467499455237</v>
      </c>
    </row>
    <row r="9712" spans="7:8" x14ac:dyDescent="0.35">
      <c r="G9712" s="215">
        <v>9705</v>
      </c>
      <c r="H9712" s="16">
        <f t="shared" ca="1" si="159"/>
        <v>-6.1695590129790187E-2</v>
      </c>
    </row>
    <row r="9713" spans="7:8" x14ac:dyDescent="0.35">
      <c r="G9713" s="215">
        <v>9706</v>
      </c>
      <c r="H9713" s="16">
        <f t="shared" ca="1" si="159"/>
        <v>-4.1781210221887771E-2</v>
      </c>
    </row>
    <row r="9714" spans="7:8" x14ac:dyDescent="0.35">
      <c r="G9714" s="215">
        <v>9707</v>
      </c>
      <c r="H9714" s="16">
        <f t="shared" ca="1" si="159"/>
        <v>7.6332653562598066E-2</v>
      </c>
    </row>
    <row r="9715" spans="7:8" x14ac:dyDescent="0.35">
      <c r="G9715" s="215">
        <v>9708</v>
      </c>
      <c r="H9715" s="16">
        <f t="shared" ca="1" si="159"/>
        <v>-0.14818894277134725</v>
      </c>
    </row>
    <row r="9716" spans="7:8" x14ac:dyDescent="0.35">
      <c r="G9716" s="215">
        <v>9709</v>
      </c>
      <c r="H9716" s="16">
        <f t="shared" ca="1" si="159"/>
        <v>0.12532830547409346</v>
      </c>
    </row>
    <row r="9717" spans="7:8" x14ac:dyDescent="0.35">
      <c r="G9717" s="215">
        <v>9710</v>
      </c>
      <c r="H9717" s="16">
        <f t="shared" ca="1" si="159"/>
        <v>6.9123753631679039E-2</v>
      </c>
    </row>
    <row r="9718" spans="7:8" x14ac:dyDescent="0.35">
      <c r="G9718" s="215">
        <v>9711</v>
      </c>
      <c r="H9718" s="16">
        <f t="shared" ca="1" si="159"/>
        <v>-9.7114466267030145E-3</v>
      </c>
    </row>
    <row r="9719" spans="7:8" x14ac:dyDescent="0.35">
      <c r="G9719" s="215">
        <v>9712</v>
      </c>
      <c r="H9719" s="16">
        <f t="shared" ca="1" si="159"/>
        <v>6.2565203939004374E-2</v>
      </c>
    </row>
    <row r="9720" spans="7:8" x14ac:dyDescent="0.35">
      <c r="G9720" s="215">
        <v>9713</v>
      </c>
      <c r="H9720" s="16">
        <f t="shared" ca="1" si="159"/>
        <v>1.1309652294500578E-2</v>
      </c>
    </row>
    <row r="9721" spans="7:8" x14ac:dyDescent="0.35">
      <c r="G9721" s="215">
        <v>9714</v>
      </c>
      <c r="H9721" s="16">
        <f t="shared" ca="1" si="159"/>
        <v>0.14278980480588649</v>
      </c>
    </row>
    <row r="9722" spans="7:8" x14ac:dyDescent="0.35">
      <c r="G9722" s="215">
        <v>9715</v>
      </c>
      <c r="H9722" s="16">
        <f t="shared" ca="1" si="159"/>
        <v>-2.2938353498082282E-2</v>
      </c>
    </row>
    <row r="9723" spans="7:8" x14ac:dyDescent="0.35">
      <c r="G9723" s="215">
        <v>9716</v>
      </c>
      <c r="H9723" s="16">
        <f t="shared" ca="1" si="159"/>
        <v>7.4099441931686535E-2</v>
      </c>
    </row>
    <row r="9724" spans="7:8" x14ac:dyDescent="0.35">
      <c r="G9724" s="215">
        <v>9717</v>
      </c>
      <c r="H9724" s="16">
        <f t="shared" ca="1" si="159"/>
        <v>9.9098658819097657E-2</v>
      </c>
    </row>
    <row r="9725" spans="7:8" x14ac:dyDescent="0.35">
      <c r="G9725" s="215">
        <v>9718</v>
      </c>
      <c r="H9725" s="16">
        <f t="shared" ca="1" si="159"/>
        <v>-4.2559873321576805E-2</v>
      </c>
    </row>
    <row r="9726" spans="7:8" x14ac:dyDescent="0.35">
      <c r="G9726" s="215">
        <v>9719</v>
      </c>
      <c r="H9726" s="16">
        <f t="shared" ca="1" si="159"/>
        <v>4.7834732423839357E-2</v>
      </c>
    </row>
    <row r="9727" spans="7:8" x14ac:dyDescent="0.35">
      <c r="G9727" s="215">
        <v>9720</v>
      </c>
      <c r="H9727" s="16">
        <f t="shared" ca="1" si="159"/>
        <v>-0.11087693035111158</v>
      </c>
    </row>
    <row r="9728" spans="7:8" x14ac:dyDescent="0.35">
      <c r="G9728" s="215">
        <v>9721</v>
      </c>
      <c r="H9728" s="16">
        <f t="shared" ca="1" si="159"/>
        <v>-3.5965727588057508E-2</v>
      </c>
    </row>
    <row r="9729" spans="7:8" x14ac:dyDescent="0.35">
      <c r="G9729" s="215">
        <v>9722</v>
      </c>
      <c r="H9729" s="16">
        <f t="shared" ca="1" si="159"/>
        <v>7.3694082514318443E-2</v>
      </c>
    </row>
    <row r="9730" spans="7:8" x14ac:dyDescent="0.35">
      <c r="G9730" s="215">
        <v>9723</v>
      </c>
      <c r="H9730" s="16">
        <f t="shared" ca="1" si="159"/>
        <v>-9.7641662202819043E-2</v>
      </c>
    </row>
    <row r="9731" spans="7:8" x14ac:dyDescent="0.35">
      <c r="G9731" s="215">
        <v>9724</v>
      </c>
      <c r="H9731" s="16">
        <f t="shared" ca="1" si="159"/>
        <v>0.10423133414410383</v>
      </c>
    </row>
    <row r="9732" spans="7:8" x14ac:dyDescent="0.35">
      <c r="G9732" s="215">
        <v>9725</v>
      </c>
      <c r="H9732" s="16">
        <f t="shared" ca="1" si="159"/>
        <v>1.7292735956576228E-2</v>
      </c>
    </row>
    <row r="9733" spans="7:8" x14ac:dyDescent="0.35">
      <c r="G9733" s="215">
        <v>9726</v>
      </c>
      <c r="H9733" s="16">
        <f t="shared" ca="1" si="159"/>
        <v>-6.8060654334799395E-2</v>
      </c>
    </row>
    <row r="9734" spans="7:8" x14ac:dyDescent="0.35">
      <c r="G9734" s="215">
        <v>9727</v>
      </c>
      <c r="H9734" s="16">
        <f t="shared" ca="1" si="159"/>
        <v>-7.5430188297905001E-2</v>
      </c>
    </row>
    <row r="9735" spans="7:8" x14ac:dyDescent="0.35">
      <c r="G9735" s="215">
        <v>9728</v>
      </c>
      <c r="H9735" s="16">
        <f t="shared" ca="1" si="159"/>
        <v>7.9691004709394178E-2</v>
      </c>
    </row>
    <row r="9736" spans="7:8" x14ac:dyDescent="0.35">
      <c r="G9736" s="215">
        <v>9729</v>
      </c>
      <c r="H9736" s="16">
        <f t="shared" ref="H9736:H9799" ca="1" si="160">_xlfn.NORM.INV(RAND(),M$10,M$11)</f>
        <v>0.1904906085695276</v>
      </c>
    </row>
    <row r="9737" spans="7:8" x14ac:dyDescent="0.35">
      <c r="G9737" s="215">
        <v>9730</v>
      </c>
      <c r="H9737" s="16">
        <f t="shared" ca="1" si="160"/>
        <v>2.8092237397075309E-2</v>
      </c>
    </row>
    <row r="9738" spans="7:8" x14ac:dyDescent="0.35">
      <c r="G9738" s="215">
        <v>9731</v>
      </c>
      <c r="H9738" s="16">
        <f t="shared" ca="1" si="160"/>
        <v>-3.6462924675114597E-2</v>
      </c>
    </row>
    <row r="9739" spans="7:8" x14ac:dyDescent="0.35">
      <c r="G9739" s="215">
        <v>9732</v>
      </c>
      <c r="H9739" s="16">
        <f t="shared" ca="1" si="160"/>
        <v>-0.17422270935604492</v>
      </c>
    </row>
    <row r="9740" spans="7:8" x14ac:dyDescent="0.35">
      <c r="G9740" s="215">
        <v>9733</v>
      </c>
      <c r="H9740" s="16">
        <f t="shared" ca="1" si="160"/>
        <v>3.5381426868714386E-2</v>
      </c>
    </row>
    <row r="9741" spans="7:8" x14ac:dyDescent="0.35">
      <c r="G9741" s="215">
        <v>9734</v>
      </c>
      <c r="H9741" s="16">
        <f t="shared" ca="1" si="160"/>
        <v>8.1461114117528988E-2</v>
      </c>
    </row>
    <row r="9742" spans="7:8" x14ac:dyDescent="0.35">
      <c r="G9742" s="215">
        <v>9735</v>
      </c>
      <c r="H9742" s="16">
        <f t="shared" ca="1" si="160"/>
        <v>7.8492397350075641E-2</v>
      </c>
    </row>
    <row r="9743" spans="7:8" x14ac:dyDescent="0.35">
      <c r="G9743" s="215">
        <v>9736</v>
      </c>
      <c r="H9743" s="16">
        <f t="shared" ca="1" si="160"/>
        <v>-3.9149454026040087E-2</v>
      </c>
    </row>
    <row r="9744" spans="7:8" x14ac:dyDescent="0.35">
      <c r="G9744" s="215">
        <v>9737</v>
      </c>
      <c r="H9744" s="16">
        <f t="shared" ca="1" si="160"/>
        <v>-2.5068066712070892E-2</v>
      </c>
    </row>
    <row r="9745" spans="7:8" x14ac:dyDescent="0.35">
      <c r="G9745" s="215">
        <v>9738</v>
      </c>
      <c r="H9745" s="16">
        <f t="shared" ca="1" si="160"/>
        <v>0.23536274523737474</v>
      </c>
    </row>
    <row r="9746" spans="7:8" x14ac:dyDescent="0.35">
      <c r="G9746" s="215">
        <v>9739</v>
      </c>
      <c r="H9746" s="16">
        <f t="shared" ca="1" si="160"/>
        <v>0.16720587838168727</v>
      </c>
    </row>
    <row r="9747" spans="7:8" x14ac:dyDescent="0.35">
      <c r="G9747" s="215">
        <v>9740</v>
      </c>
      <c r="H9747" s="16">
        <f t="shared" ca="1" si="160"/>
        <v>0.13017441456942702</v>
      </c>
    </row>
    <row r="9748" spans="7:8" x14ac:dyDescent="0.35">
      <c r="G9748" s="215">
        <v>9741</v>
      </c>
      <c r="H9748" s="16">
        <f t="shared" ca="1" si="160"/>
        <v>-5.4134430242899517E-2</v>
      </c>
    </row>
    <row r="9749" spans="7:8" x14ac:dyDescent="0.35">
      <c r="G9749" s="215">
        <v>9742</v>
      </c>
      <c r="H9749" s="16">
        <f t="shared" ca="1" si="160"/>
        <v>2.3626827266760186E-2</v>
      </c>
    </row>
    <row r="9750" spans="7:8" x14ac:dyDescent="0.35">
      <c r="G9750" s="215">
        <v>9743</v>
      </c>
      <c r="H9750" s="16">
        <f t="shared" ca="1" si="160"/>
        <v>0.1980973883988961</v>
      </c>
    </row>
    <row r="9751" spans="7:8" x14ac:dyDescent="0.35">
      <c r="G9751" s="215">
        <v>9744</v>
      </c>
      <c r="H9751" s="16">
        <f t="shared" ca="1" si="160"/>
        <v>1.2070139549417691E-2</v>
      </c>
    </row>
    <row r="9752" spans="7:8" x14ac:dyDescent="0.35">
      <c r="G9752" s="215">
        <v>9745</v>
      </c>
      <c r="H9752" s="16">
        <f t="shared" ca="1" si="160"/>
        <v>1.1773303034507821E-2</v>
      </c>
    </row>
    <row r="9753" spans="7:8" x14ac:dyDescent="0.35">
      <c r="G9753" s="215">
        <v>9746</v>
      </c>
      <c r="H9753" s="16">
        <f t="shared" ca="1" si="160"/>
        <v>-0.14826522996252867</v>
      </c>
    </row>
    <row r="9754" spans="7:8" x14ac:dyDescent="0.35">
      <c r="G9754" s="215">
        <v>9747</v>
      </c>
      <c r="H9754" s="16">
        <f t="shared" ca="1" si="160"/>
        <v>-7.7417229128389956E-2</v>
      </c>
    </row>
    <row r="9755" spans="7:8" x14ac:dyDescent="0.35">
      <c r="G9755" s="215">
        <v>9748</v>
      </c>
      <c r="H9755" s="16">
        <f t="shared" ca="1" si="160"/>
        <v>3.8352472814734542E-2</v>
      </c>
    </row>
    <row r="9756" spans="7:8" x14ac:dyDescent="0.35">
      <c r="G9756" s="215">
        <v>9749</v>
      </c>
      <c r="H9756" s="16">
        <f t="shared" ca="1" si="160"/>
        <v>-5.1137839799921175E-2</v>
      </c>
    </row>
    <row r="9757" spans="7:8" x14ac:dyDescent="0.35">
      <c r="G9757" s="215">
        <v>9750</v>
      </c>
      <c r="H9757" s="16">
        <f t="shared" ca="1" si="160"/>
        <v>8.5240102470375806E-2</v>
      </c>
    </row>
    <row r="9758" spans="7:8" x14ac:dyDescent="0.35">
      <c r="G9758" s="215">
        <v>9751</v>
      </c>
      <c r="H9758" s="16">
        <f t="shared" ca="1" si="160"/>
        <v>-5.8196550262571214E-3</v>
      </c>
    </row>
    <row r="9759" spans="7:8" x14ac:dyDescent="0.35">
      <c r="G9759" s="215">
        <v>9752</v>
      </c>
      <c r="H9759" s="16">
        <f t="shared" ca="1" si="160"/>
        <v>-3.3909297568343391E-2</v>
      </c>
    </row>
    <row r="9760" spans="7:8" x14ac:dyDescent="0.35">
      <c r="G9760" s="215">
        <v>9753</v>
      </c>
      <c r="H9760" s="16">
        <f t="shared" ca="1" si="160"/>
        <v>-6.7640790843800057E-4</v>
      </c>
    </row>
    <row r="9761" spans="7:8" x14ac:dyDescent="0.35">
      <c r="G9761" s="215">
        <v>9754</v>
      </c>
      <c r="H9761" s="16">
        <f t="shared" ca="1" si="160"/>
        <v>-6.8682145750073142E-2</v>
      </c>
    </row>
    <row r="9762" spans="7:8" x14ac:dyDescent="0.35">
      <c r="G9762" s="215">
        <v>9755</v>
      </c>
      <c r="H9762" s="16">
        <f t="shared" ca="1" si="160"/>
        <v>-2.2139177243561025E-2</v>
      </c>
    </row>
    <row r="9763" spans="7:8" x14ac:dyDescent="0.35">
      <c r="G9763" s="215">
        <v>9756</v>
      </c>
      <c r="H9763" s="16">
        <f t="shared" ca="1" si="160"/>
        <v>-2.6909600877739168E-2</v>
      </c>
    </row>
    <row r="9764" spans="7:8" x14ac:dyDescent="0.35">
      <c r="G9764" s="215">
        <v>9757</v>
      </c>
      <c r="H9764" s="16">
        <f t="shared" ca="1" si="160"/>
        <v>2.5674322131022692E-2</v>
      </c>
    </row>
    <row r="9765" spans="7:8" x14ac:dyDescent="0.35">
      <c r="G9765" s="215">
        <v>9758</v>
      </c>
      <c r="H9765" s="16">
        <f t="shared" ca="1" si="160"/>
        <v>-7.9236168035034305E-2</v>
      </c>
    </row>
    <row r="9766" spans="7:8" x14ac:dyDescent="0.35">
      <c r="G9766" s="215">
        <v>9759</v>
      </c>
      <c r="H9766" s="16">
        <f t="shared" ca="1" si="160"/>
        <v>-8.8407516593800237E-3</v>
      </c>
    </row>
    <row r="9767" spans="7:8" x14ac:dyDescent="0.35">
      <c r="G9767" s="215">
        <v>9760</v>
      </c>
      <c r="H9767" s="16">
        <f t="shared" ca="1" si="160"/>
        <v>-4.21712950118001E-2</v>
      </c>
    </row>
    <row r="9768" spans="7:8" x14ac:dyDescent="0.35">
      <c r="G9768" s="215">
        <v>9761</v>
      </c>
      <c r="H9768" s="16">
        <f t="shared" ca="1" si="160"/>
        <v>3.4371900578801913E-2</v>
      </c>
    </row>
    <row r="9769" spans="7:8" x14ac:dyDescent="0.35">
      <c r="G9769" s="215">
        <v>9762</v>
      </c>
      <c r="H9769" s="16">
        <f t="shared" ca="1" si="160"/>
        <v>5.0602661303810845E-2</v>
      </c>
    </row>
    <row r="9770" spans="7:8" x14ac:dyDescent="0.35">
      <c r="G9770" s="215">
        <v>9763</v>
      </c>
      <c r="H9770" s="16">
        <f t="shared" ca="1" si="160"/>
        <v>-3.2329122948726113E-2</v>
      </c>
    </row>
    <row r="9771" spans="7:8" x14ac:dyDescent="0.35">
      <c r="G9771" s="215">
        <v>9764</v>
      </c>
      <c r="H9771" s="16">
        <f t="shared" ca="1" si="160"/>
        <v>-2.9900758562963193E-2</v>
      </c>
    </row>
    <row r="9772" spans="7:8" x14ac:dyDescent="0.35">
      <c r="G9772" s="215">
        <v>9765</v>
      </c>
      <c r="H9772" s="16">
        <f t="shared" ca="1" si="160"/>
        <v>-1.7115257221721046E-2</v>
      </c>
    </row>
    <row r="9773" spans="7:8" x14ac:dyDescent="0.35">
      <c r="G9773" s="215">
        <v>9766</v>
      </c>
      <c r="H9773" s="16">
        <f t="shared" ca="1" si="160"/>
        <v>-2.8826309275034011E-3</v>
      </c>
    </row>
    <row r="9774" spans="7:8" x14ac:dyDescent="0.35">
      <c r="G9774" s="215">
        <v>9767</v>
      </c>
      <c r="H9774" s="16">
        <f t="shared" ca="1" si="160"/>
        <v>-0.13581928548999067</v>
      </c>
    </row>
    <row r="9775" spans="7:8" x14ac:dyDescent="0.35">
      <c r="G9775" s="215">
        <v>9768</v>
      </c>
      <c r="H9775" s="16">
        <f t="shared" ca="1" si="160"/>
        <v>-9.3925505107644885E-2</v>
      </c>
    </row>
    <row r="9776" spans="7:8" x14ac:dyDescent="0.35">
      <c r="G9776" s="215">
        <v>9769</v>
      </c>
      <c r="H9776" s="16">
        <f t="shared" ca="1" si="160"/>
        <v>0.17054741344311047</v>
      </c>
    </row>
    <row r="9777" spans="7:8" x14ac:dyDescent="0.35">
      <c r="G9777" s="215">
        <v>9770</v>
      </c>
      <c r="H9777" s="16">
        <f t="shared" ca="1" si="160"/>
        <v>5.0648377441707476E-3</v>
      </c>
    </row>
    <row r="9778" spans="7:8" x14ac:dyDescent="0.35">
      <c r="G9778" s="215">
        <v>9771</v>
      </c>
      <c r="H9778" s="16">
        <f t="shared" ca="1" si="160"/>
        <v>4.5665175876419037E-2</v>
      </c>
    </row>
    <row r="9779" spans="7:8" x14ac:dyDescent="0.35">
      <c r="G9779" s="215">
        <v>9772</v>
      </c>
      <c r="H9779" s="16">
        <f t="shared" ca="1" si="160"/>
        <v>2.6514304219409646E-2</v>
      </c>
    </row>
    <row r="9780" spans="7:8" x14ac:dyDescent="0.35">
      <c r="G9780" s="215">
        <v>9773</v>
      </c>
      <c r="H9780" s="16">
        <f t="shared" ca="1" si="160"/>
        <v>-8.1818789032120684E-2</v>
      </c>
    </row>
    <row r="9781" spans="7:8" x14ac:dyDescent="0.35">
      <c r="G9781" s="215">
        <v>9774</v>
      </c>
      <c r="H9781" s="16">
        <f t="shared" ca="1" si="160"/>
        <v>-3.6377240003959449E-2</v>
      </c>
    </row>
    <row r="9782" spans="7:8" x14ac:dyDescent="0.35">
      <c r="G9782" s="215">
        <v>9775</v>
      </c>
      <c r="H9782" s="16">
        <f t="shared" ca="1" si="160"/>
        <v>-5.8805938418164672E-5</v>
      </c>
    </row>
    <row r="9783" spans="7:8" x14ac:dyDescent="0.35">
      <c r="G9783" s="215">
        <v>9776</v>
      </c>
      <c r="H9783" s="16">
        <f t="shared" ca="1" si="160"/>
        <v>1.2554867467866023E-2</v>
      </c>
    </row>
    <row r="9784" spans="7:8" x14ac:dyDescent="0.35">
      <c r="G9784" s="215">
        <v>9777</v>
      </c>
      <c r="H9784" s="16">
        <f t="shared" ca="1" si="160"/>
        <v>-0.11291137502663812</v>
      </c>
    </row>
    <row r="9785" spans="7:8" x14ac:dyDescent="0.35">
      <c r="G9785" s="215">
        <v>9778</v>
      </c>
      <c r="H9785" s="16">
        <f t="shared" ca="1" si="160"/>
        <v>-4.0693064526598037E-3</v>
      </c>
    </row>
    <row r="9786" spans="7:8" x14ac:dyDescent="0.35">
      <c r="G9786" s="215">
        <v>9779</v>
      </c>
      <c r="H9786" s="16">
        <f t="shared" ca="1" si="160"/>
        <v>-3.2230136905659137E-2</v>
      </c>
    </row>
    <row r="9787" spans="7:8" x14ac:dyDescent="0.35">
      <c r="G9787" s="215">
        <v>9780</v>
      </c>
      <c r="H9787" s="16">
        <f t="shared" ca="1" si="160"/>
        <v>-1.8583368377205357E-2</v>
      </c>
    </row>
    <row r="9788" spans="7:8" x14ac:dyDescent="0.35">
      <c r="G9788" s="215">
        <v>9781</v>
      </c>
      <c r="H9788" s="16">
        <f t="shared" ca="1" si="160"/>
        <v>-2.8548381898405167E-3</v>
      </c>
    </row>
    <row r="9789" spans="7:8" x14ac:dyDescent="0.35">
      <c r="G9789" s="215">
        <v>9782</v>
      </c>
      <c r="H9789" s="16">
        <f t="shared" ca="1" si="160"/>
        <v>3.4007758234284098E-2</v>
      </c>
    </row>
    <row r="9790" spans="7:8" x14ac:dyDescent="0.35">
      <c r="G9790" s="215">
        <v>9783</v>
      </c>
      <c r="H9790" s="16">
        <f t="shared" ca="1" si="160"/>
        <v>-1.7609366807170873E-2</v>
      </c>
    </row>
    <row r="9791" spans="7:8" x14ac:dyDescent="0.35">
      <c r="G9791" s="215">
        <v>9784</v>
      </c>
      <c r="H9791" s="16">
        <f t="shared" ca="1" si="160"/>
        <v>-3.638758551042047E-2</v>
      </c>
    </row>
    <row r="9792" spans="7:8" x14ac:dyDescent="0.35">
      <c r="G9792" s="215">
        <v>9785</v>
      </c>
      <c r="H9792" s="16">
        <f t="shared" ca="1" si="160"/>
        <v>-5.5839940616845732E-2</v>
      </c>
    </row>
    <row r="9793" spans="7:8" x14ac:dyDescent="0.35">
      <c r="G9793" s="215">
        <v>9786</v>
      </c>
      <c r="H9793" s="16">
        <f t="shared" ca="1" si="160"/>
        <v>1.1301246102659895E-2</v>
      </c>
    </row>
    <row r="9794" spans="7:8" x14ac:dyDescent="0.35">
      <c r="G9794" s="215">
        <v>9787</v>
      </c>
      <c r="H9794" s="16">
        <f t="shared" ca="1" si="160"/>
        <v>-2.2997667202121572E-2</v>
      </c>
    </row>
    <row r="9795" spans="7:8" x14ac:dyDescent="0.35">
      <c r="G9795" s="215">
        <v>9788</v>
      </c>
      <c r="H9795" s="16">
        <f t="shared" ca="1" si="160"/>
        <v>9.1514380434083303E-3</v>
      </c>
    </row>
    <row r="9796" spans="7:8" x14ac:dyDescent="0.35">
      <c r="G9796" s="215">
        <v>9789</v>
      </c>
      <c r="H9796" s="16">
        <f t="shared" ca="1" si="160"/>
        <v>1.3213849880137478E-2</v>
      </c>
    </row>
    <row r="9797" spans="7:8" x14ac:dyDescent="0.35">
      <c r="G9797" s="215">
        <v>9790</v>
      </c>
      <c r="H9797" s="16">
        <f t="shared" ca="1" si="160"/>
        <v>8.9250585151470621E-2</v>
      </c>
    </row>
    <row r="9798" spans="7:8" x14ac:dyDescent="0.35">
      <c r="G9798" s="215">
        <v>9791</v>
      </c>
      <c r="H9798" s="16">
        <f t="shared" ca="1" si="160"/>
        <v>5.0702671259349824E-2</v>
      </c>
    </row>
    <row r="9799" spans="7:8" x14ac:dyDescent="0.35">
      <c r="G9799" s="215">
        <v>9792</v>
      </c>
      <c r="H9799" s="16">
        <f t="shared" ca="1" si="160"/>
        <v>-7.4522826555045843E-2</v>
      </c>
    </row>
    <row r="9800" spans="7:8" x14ac:dyDescent="0.35">
      <c r="G9800" s="215">
        <v>9793</v>
      </c>
      <c r="H9800" s="16">
        <f t="shared" ref="H9800:H9863" ca="1" si="161">_xlfn.NORM.INV(RAND(),M$10,M$11)</f>
        <v>1.151379599147332E-2</v>
      </c>
    </row>
    <row r="9801" spans="7:8" x14ac:dyDescent="0.35">
      <c r="G9801" s="215">
        <v>9794</v>
      </c>
      <c r="H9801" s="16">
        <f t="shared" ca="1" si="161"/>
        <v>0.1826487262968903</v>
      </c>
    </row>
    <row r="9802" spans="7:8" x14ac:dyDescent="0.35">
      <c r="G9802" s="215">
        <v>9795</v>
      </c>
      <c r="H9802" s="16">
        <f t="shared" ca="1" si="161"/>
        <v>-0.10284321956586512</v>
      </c>
    </row>
    <row r="9803" spans="7:8" x14ac:dyDescent="0.35">
      <c r="G9803" s="215">
        <v>9796</v>
      </c>
      <c r="H9803" s="16">
        <f t="shared" ca="1" si="161"/>
        <v>-9.7213837757304064E-2</v>
      </c>
    </row>
    <row r="9804" spans="7:8" x14ac:dyDescent="0.35">
      <c r="G9804" s="215">
        <v>9797</v>
      </c>
      <c r="H9804" s="16">
        <f t="shared" ca="1" si="161"/>
        <v>-3.1994355509899625E-2</v>
      </c>
    </row>
    <row r="9805" spans="7:8" x14ac:dyDescent="0.35">
      <c r="G9805" s="215">
        <v>9798</v>
      </c>
      <c r="H9805" s="16">
        <f t="shared" ca="1" si="161"/>
        <v>6.6825984337875635E-2</v>
      </c>
    </row>
    <row r="9806" spans="7:8" x14ac:dyDescent="0.35">
      <c r="G9806" s="215">
        <v>9799</v>
      </c>
      <c r="H9806" s="16">
        <f t="shared" ca="1" si="161"/>
        <v>-4.0146665886528085E-2</v>
      </c>
    </row>
    <row r="9807" spans="7:8" x14ac:dyDescent="0.35">
      <c r="G9807" s="215">
        <v>9800</v>
      </c>
      <c r="H9807" s="16">
        <f t="shared" ca="1" si="161"/>
        <v>-4.87135179731817E-2</v>
      </c>
    </row>
    <row r="9808" spans="7:8" x14ac:dyDescent="0.35">
      <c r="G9808" s="215">
        <v>9801</v>
      </c>
      <c r="H9808" s="16">
        <f t="shared" ca="1" si="161"/>
        <v>1.3774759186420259E-2</v>
      </c>
    </row>
    <row r="9809" spans="7:8" x14ac:dyDescent="0.35">
      <c r="G9809" s="215">
        <v>9802</v>
      </c>
      <c r="H9809" s="16">
        <f t="shared" ca="1" si="161"/>
        <v>-7.0805477208695997E-4</v>
      </c>
    </row>
    <row r="9810" spans="7:8" x14ac:dyDescent="0.35">
      <c r="G9810" s="215">
        <v>9803</v>
      </c>
      <c r="H9810" s="16">
        <f t="shared" ca="1" si="161"/>
        <v>3.5670093584518898E-2</v>
      </c>
    </row>
    <row r="9811" spans="7:8" x14ac:dyDescent="0.35">
      <c r="G9811" s="215">
        <v>9804</v>
      </c>
      <c r="H9811" s="16">
        <f t="shared" ca="1" si="161"/>
        <v>6.743217635177591E-2</v>
      </c>
    </row>
    <row r="9812" spans="7:8" x14ac:dyDescent="0.35">
      <c r="G9812" s="215">
        <v>9805</v>
      </c>
      <c r="H9812" s="16">
        <f t="shared" ca="1" si="161"/>
        <v>-0.18297206696283366</v>
      </c>
    </row>
    <row r="9813" spans="7:8" x14ac:dyDescent="0.35">
      <c r="G9813" s="215">
        <v>9806</v>
      </c>
      <c r="H9813" s="16">
        <f t="shared" ca="1" si="161"/>
        <v>1.6493028744009351E-2</v>
      </c>
    </row>
    <row r="9814" spans="7:8" x14ac:dyDescent="0.35">
      <c r="G9814" s="215">
        <v>9807</v>
      </c>
      <c r="H9814" s="16">
        <f t="shared" ca="1" si="161"/>
        <v>3.7469993291639254E-2</v>
      </c>
    </row>
    <row r="9815" spans="7:8" x14ac:dyDescent="0.35">
      <c r="G9815" s="215">
        <v>9808</v>
      </c>
      <c r="H9815" s="16">
        <f t="shared" ca="1" si="161"/>
        <v>3.1837914891747573E-2</v>
      </c>
    </row>
    <row r="9816" spans="7:8" x14ac:dyDescent="0.35">
      <c r="G9816" s="215">
        <v>9809</v>
      </c>
      <c r="H9816" s="16">
        <f t="shared" ca="1" si="161"/>
        <v>3.2972657632414623E-2</v>
      </c>
    </row>
    <row r="9817" spans="7:8" x14ac:dyDescent="0.35">
      <c r="G9817" s="215">
        <v>9810</v>
      </c>
      <c r="H9817" s="16">
        <f t="shared" ca="1" si="161"/>
        <v>2.3091800948642702E-3</v>
      </c>
    </row>
    <row r="9818" spans="7:8" x14ac:dyDescent="0.35">
      <c r="G9818" s="215">
        <v>9811</v>
      </c>
      <c r="H9818" s="16">
        <f t="shared" ca="1" si="161"/>
        <v>5.01848215954804E-3</v>
      </c>
    </row>
    <row r="9819" spans="7:8" x14ac:dyDescent="0.35">
      <c r="G9819" s="215">
        <v>9812</v>
      </c>
      <c r="H9819" s="16">
        <f t="shared" ca="1" si="161"/>
        <v>-1.0145805041830817E-2</v>
      </c>
    </row>
    <row r="9820" spans="7:8" x14ac:dyDescent="0.35">
      <c r="G9820" s="215">
        <v>9813</v>
      </c>
      <c r="H9820" s="16">
        <f t="shared" ca="1" si="161"/>
        <v>9.9286523220795009E-2</v>
      </c>
    </row>
    <row r="9821" spans="7:8" x14ac:dyDescent="0.35">
      <c r="G9821" s="215">
        <v>9814</v>
      </c>
      <c r="H9821" s="16">
        <f t="shared" ca="1" si="161"/>
        <v>1.3202026882887744E-2</v>
      </c>
    </row>
    <row r="9822" spans="7:8" x14ac:dyDescent="0.35">
      <c r="G9822" s="215">
        <v>9815</v>
      </c>
      <c r="H9822" s="16">
        <f t="shared" ca="1" si="161"/>
        <v>-1.3956971207649861E-2</v>
      </c>
    </row>
    <row r="9823" spans="7:8" x14ac:dyDescent="0.35">
      <c r="G9823" s="215">
        <v>9816</v>
      </c>
      <c r="H9823" s="16">
        <f t="shared" ca="1" si="161"/>
        <v>-6.3720364706937024E-2</v>
      </c>
    </row>
    <row r="9824" spans="7:8" x14ac:dyDescent="0.35">
      <c r="G9824" s="215">
        <v>9817</v>
      </c>
      <c r="H9824" s="16">
        <f t="shared" ca="1" si="161"/>
        <v>-0.10264534513811409</v>
      </c>
    </row>
    <row r="9825" spans="7:8" x14ac:dyDescent="0.35">
      <c r="G9825" s="215">
        <v>9818</v>
      </c>
      <c r="H9825" s="16">
        <f t="shared" ca="1" si="161"/>
        <v>6.93675203347527E-2</v>
      </c>
    </row>
    <row r="9826" spans="7:8" x14ac:dyDescent="0.35">
      <c r="G9826" s="215">
        <v>9819</v>
      </c>
      <c r="H9826" s="16">
        <f t="shared" ca="1" si="161"/>
        <v>0.15269571612044044</v>
      </c>
    </row>
    <row r="9827" spans="7:8" x14ac:dyDescent="0.35">
      <c r="G9827" s="215">
        <v>9820</v>
      </c>
      <c r="H9827" s="16">
        <f t="shared" ca="1" si="161"/>
        <v>0.15147489011014917</v>
      </c>
    </row>
    <row r="9828" spans="7:8" x14ac:dyDescent="0.35">
      <c r="G9828" s="215">
        <v>9821</v>
      </c>
      <c r="H9828" s="16">
        <f t="shared" ca="1" si="161"/>
        <v>-2.5366759615398037E-2</v>
      </c>
    </row>
    <row r="9829" spans="7:8" x14ac:dyDescent="0.35">
      <c r="G9829" s="215">
        <v>9822</v>
      </c>
      <c r="H9829" s="16">
        <f t="shared" ca="1" si="161"/>
        <v>3.2685088484676515E-2</v>
      </c>
    </row>
    <row r="9830" spans="7:8" x14ac:dyDescent="0.35">
      <c r="G9830" s="215">
        <v>9823</v>
      </c>
      <c r="H9830" s="16">
        <f t="shared" ca="1" si="161"/>
        <v>9.2293316791055527E-2</v>
      </c>
    </row>
    <row r="9831" spans="7:8" x14ac:dyDescent="0.35">
      <c r="G9831" s="215">
        <v>9824</v>
      </c>
      <c r="H9831" s="16">
        <f t="shared" ca="1" si="161"/>
        <v>1.656383151303488E-2</v>
      </c>
    </row>
    <row r="9832" spans="7:8" x14ac:dyDescent="0.35">
      <c r="G9832" s="215">
        <v>9825</v>
      </c>
      <c r="H9832" s="16">
        <f t="shared" ca="1" si="161"/>
        <v>7.3786471218530089E-3</v>
      </c>
    </row>
    <row r="9833" spans="7:8" x14ac:dyDescent="0.35">
      <c r="G9833" s="215">
        <v>9826</v>
      </c>
      <c r="H9833" s="16">
        <f t="shared" ca="1" si="161"/>
        <v>8.9568769870021755E-2</v>
      </c>
    </row>
    <row r="9834" spans="7:8" x14ac:dyDescent="0.35">
      <c r="G9834" s="215">
        <v>9827</v>
      </c>
      <c r="H9834" s="16">
        <f t="shared" ca="1" si="161"/>
        <v>0.14737217705867792</v>
      </c>
    </row>
    <row r="9835" spans="7:8" x14ac:dyDescent="0.35">
      <c r="G9835" s="215">
        <v>9828</v>
      </c>
      <c r="H9835" s="16">
        <f t="shared" ca="1" si="161"/>
        <v>-7.3773303294695329E-4</v>
      </c>
    </row>
    <row r="9836" spans="7:8" x14ac:dyDescent="0.35">
      <c r="G9836" s="215">
        <v>9829</v>
      </c>
      <c r="H9836" s="16">
        <f t="shared" ca="1" si="161"/>
        <v>0.11320647036814928</v>
      </c>
    </row>
    <row r="9837" spans="7:8" x14ac:dyDescent="0.35">
      <c r="G9837" s="215">
        <v>9830</v>
      </c>
      <c r="H9837" s="16">
        <f t="shared" ca="1" si="161"/>
        <v>-1.8897145898821268E-2</v>
      </c>
    </row>
    <row r="9838" spans="7:8" x14ac:dyDescent="0.35">
      <c r="G9838" s="215">
        <v>9831</v>
      </c>
      <c r="H9838" s="16">
        <f t="shared" ca="1" si="161"/>
        <v>-4.4634546909261566E-2</v>
      </c>
    </row>
    <row r="9839" spans="7:8" x14ac:dyDescent="0.35">
      <c r="G9839" s="215">
        <v>9832</v>
      </c>
      <c r="H9839" s="16">
        <f t="shared" ca="1" si="161"/>
        <v>-0.11300878366109465</v>
      </c>
    </row>
    <row r="9840" spans="7:8" x14ac:dyDescent="0.35">
      <c r="G9840" s="215">
        <v>9833</v>
      </c>
      <c r="H9840" s="16">
        <f t="shared" ca="1" si="161"/>
        <v>-0.13763538614297383</v>
      </c>
    </row>
    <row r="9841" spans="7:8" x14ac:dyDescent="0.35">
      <c r="G9841" s="215">
        <v>9834</v>
      </c>
      <c r="H9841" s="16">
        <f t="shared" ca="1" si="161"/>
        <v>-1.8887755910654749E-2</v>
      </c>
    </row>
    <row r="9842" spans="7:8" x14ac:dyDescent="0.35">
      <c r="G9842" s="215">
        <v>9835</v>
      </c>
      <c r="H9842" s="16">
        <f t="shared" ca="1" si="161"/>
        <v>-4.5308268971207988E-2</v>
      </c>
    </row>
    <row r="9843" spans="7:8" x14ac:dyDescent="0.35">
      <c r="G9843" s="215">
        <v>9836</v>
      </c>
      <c r="H9843" s="16">
        <f t="shared" ca="1" si="161"/>
        <v>0.11882211150113216</v>
      </c>
    </row>
    <row r="9844" spans="7:8" x14ac:dyDescent="0.35">
      <c r="G9844" s="215">
        <v>9837</v>
      </c>
      <c r="H9844" s="16">
        <f t="shared" ca="1" si="161"/>
        <v>9.0386653325883443E-2</v>
      </c>
    </row>
    <row r="9845" spans="7:8" x14ac:dyDescent="0.35">
      <c r="G9845" s="215">
        <v>9838</v>
      </c>
      <c r="H9845" s="16">
        <f t="shared" ca="1" si="161"/>
        <v>-3.3621209035191418E-2</v>
      </c>
    </row>
    <row r="9846" spans="7:8" x14ac:dyDescent="0.35">
      <c r="G9846" s="215">
        <v>9839</v>
      </c>
      <c r="H9846" s="16">
        <f t="shared" ca="1" si="161"/>
        <v>6.7486581812553473E-2</v>
      </c>
    </row>
    <row r="9847" spans="7:8" x14ac:dyDescent="0.35">
      <c r="G9847" s="215">
        <v>9840</v>
      </c>
      <c r="H9847" s="16">
        <f t="shared" ca="1" si="161"/>
        <v>-1.566758962839292E-2</v>
      </c>
    </row>
    <row r="9848" spans="7:8" x14ac:dyDescent="0.35">
      <c r="G9848" s="215">
        <v>9841</v>
      </c>
      <c r="H9848" s="16">
        <f t="shared" ca="1" si="161"/>
        <v>4.504543364256583E-2</v>
      </c>
    </row>
    <row r="9849" spans="7:8" x14ac:dyDescent="0.35">
      <c r="G9849" s="215">
        <v>9842</v>
      </c>
      <c r="H9849" s="16">
        <f t="shared" ca="1" si="161"/>
        <v>7.8449655550488245E-2</v>
      </c>
    </row>
    <row r="9850" spans="7:8" x14ac:dyDescent="0.35">
      <c r="G9850" s="215">
        <v>9843</v>
      </c>
      <c r="H9850" s="16">
        <f t="shared" ca="1" si="161"/>
        <v>1.626177034801999E-2</v>
      </c>
    </row>
    <row r="9851" spans="7:8" x14ac:dyDescent="0.35">
      <c r="G9851" s="215">
        <v>9844</v>
      </c>
      <c r="H9851" s="16">
        <f t="shared" ca="1" si="161"/>
        <v>-2.5349582187698502E-2</v>
      </c>
    </row>
    <row r="9852" spans="7:8" x14ac:dyDescent="0.35">
      <c r="G9852" s="215">
        <v>9845</v>
      </c>
      <c r="H9852" s="16">
        <f t="shared" ca="1" si="161"/>
        <v>-4.8308187651269124E-2</v>
      </c>
    </row>
    <row r="9853" spans="7:8" x14ac:dyDescent="0.35">
      <c r="G9853" s="215">
        <v>9846</v>
      </c>
      <c r="H9853" s="16">
        <f t="shared" ca="1" si="161"/>
        <v>-3.0079288664469708E-2</v>
      </c>
    </row>
    <row r="9854" spans="7:8" x14ac:dyDescent="0.35">
      <c r="G9854" s="215">
        <v>9847</v>
      </c>
      <c r="H9854" s="16">
        <f t="shared" ca="1" si="161"/>
        <v>6.1280580776584867E-2</v>
      </c>
    </row>
    <row r="9855" spans="7:8" x14ac:dyDescent="0.35">
      <c r="G9855" s="215">
        <v>9848</v>
      </c>
      <c r="H9855" s="16">
        <f t="shared" ca="1" si="161"/>
        <v>4.728567175311181E-2</v>
      </c>
    </row>
    <row r="9856" spans="7:8" x14ac:dyDescent="0.35">
      <c r="G9856" s="215">
        <v>9849</v>
      </c>
      <c r="H9856" s="16">
        <f t="shared" ca="1" si="161"/>
        <v>5.469008047220246E-2</v>
      </c>
    </row>
    <row r="9857" spans="7:8" x14ac:dyDescent="0.35">
      <c r="G9857" s="215">
        <v>9850</v>
      </c>
      <c r="H9857" s="16">
        <f t="shared" ca="1" si="161"/>
        <v>0.10486786469697076</v>
      </c>
    </row>
    <row r="9858" spans="7:8" x14ac:dyDescent="0.35">
      <c r="G9858" s="215">
        <v>9851</v>
      </c>
      <c r="H9858" s="16">
        <f t="shared" ca="1" si="161"/>
        <v>-0.17188627598026043</v>
      </c>
    </row>
    <row r="9859" spans="7:8" x14ac:dyDescent="0.35">
      <c r="G9859" s="215">
        <v>9852</v>
      </c>
      <c r="H9859" s="16">
        <f t="shared" ca="1" si="161"/>
        <v>4.1381636565651133E-3</v>
      </c>
    </row>
    <row r="9860" spans="7:8" x14ac:dyDescent="0.35">
      <c r="G9860" s="215">
        <v>9853</v>
      </c>
      <c r="H9860" s="16">
        <f t="shared" ca="1" si="161"/>
        <v>7.0870203097021425E-2</v>
      </c>
    </row>
    <row r="9861" spans="7:8" x14ac:dyDescent="0.35">
      <c r="G9861" s="215">
        <v>9854</v>
      </c>
      <c r="H9861" s="16">
        <f t="shared" ca="1" si="161"/>
        <v>-2.8934769264144442E-3</v>
      </c>
    </row>
    <row r="9862" spans="7:8" x14ac:dyDescent="0.35">
      <c r="G9862" s="215">
        <v>9855</v>
      </c>
      <c r="H9862" s="16">
        <f t="shared" ca="1" si="161"/>
        <v>3.2206658151390899E-2</v>
      </c>
    </row>
    <row r="9863" spans="7:8" x14ac:dyDescent="0.35">
      <c r="G9863" s="215">
        <v>9856</v>
      </c>
      <c r="H9863" s="16">
        <f t="shared" ca="1" si="161"/>
        <v>2.0446764674941359E-2</v>
      </c>
    </row>
    <row r="9864" spans="7:8" x14ac:dyDescent="0.35">
      <c r="G9864" s="215">
        <v>9857</v>
      </c>
      <c r="H9864" s="16">
        <f t="shared" ref="H9864:H9927" ca="1" si="162">_xlfn.NORM.INV(RAND(),M$10,M$11)</f>
        <v>7.7251511596062028E-2</v>
      </c>
    </row>
    <row r="9865" spans="7:8" x14ac:dyDescent="0.35">
      <c r="G9865" s="215">
        <v>9858</v>
      </c>
      <c r="H9865" s="16">
        <f t="shared" ca="1" si="162"/>
        <v>-0.12150436708859352</v>
      </c>
    </row>
    <row r="9866" spans="7:8" x14ac:dyDescent="0.35">
      <c r="G9866" s="215">
        <v>9859</v>
      </c>
      <c r="H9866" s="16">
        <f t="shared" ca="1" si="162"/>
        <v>0.11915347282189125</v>
      </c>
    </row>
    <row r="9867" spans="7:8" x14ac:dyDescent="0.35">
      <c r="G9867" s="215">
        <v>9860</v>
      </c>
      <c r="H9867" s="16">
        <f t="shared" ca="1" si="162"/>
        <v>1.5544265714749024E-2</v>
      </c>
    </row>
    <row r="9868" spans="7:8" x14ac:dyDescent="0.35">
      <c r="G9868" s="215">
        <v>9861</v>
      </c>
      <c r="H9868" s="16">
        <f t="shared" ca="1" si="162"/>
        <v>-0.19050262065255272</v>
      </c>
    </row>
    <row r="9869" spans="7:8" x14ac:dyDescent="0.35">
      <c r="G9869" s="215">
        <v>9862</v>
      </c>
      <c r="H9869" s="16">
        <f t="shared" ca="1" si="162"/>
        <v>-4.023695005484175E-2</v>
      </c>
    </row>
    <row r="9870" spans="7:8" x14ac:dyDescent="0.35">
      <c r="G9870" s="215">
        <v>9863</v>
      </c>
      <c r="H9870" s="16">
        <f t="shared" ca="1" si="162"/>
        <v>-6.1864482966764917E-2</v>
      </c>
    </row>
    <row r="9871" spans="7:8" x14ac:dyDescent="0.35">
      <c r="G9871" s="215">
        <v>9864</v>
      </c>
      <c r="H9871" s="16">
        <f t="shared" ca="1" si="162"/>
        <v>-2.9944093999791366E-3</v>
      </c>
    </row>
    <row r="9872" spans="7:8" x14ac:dyDescent="0.35">
      <c r="G9872" s="215">
        <v>9865</v>
      </c>
      <c r="H9872" s="16">
        <f t="shared" ca="1" si="162"/>
        <v>4.1422379967269524E-2</v>
      </c>
    </row>
    <row r="9873" spans="7:8" x14ac:dyDescent="0.35">
      <c r="G9873" s="215">
        <v>9866</v>
      </c>
      <c r="H9873" s="16">
        <f t="shared" ca="1" si="162"/>
        <v>9.3050338620195003E-2</v>
      </c>
    </row>
    <row r="9874" spans="7:8" x14ac:dyDescent="0.35">
      <c r="G9874" s="215">
        <v>9867</v>
      </c>
      <c r="H9874" s="16">
        <f t="shared" ca="1" si="162"/>
        <v>-0.12720412055744235</v>
      </c>
    </row>
    <row r="9875" spans="7:8" x14ac:dyDescent="0.35">
      <c r="G9875" s="215">
        <v>9868</v>
      </c>
      <c r="H9875" s="16">
        <f t="shared" ca="1" si="162"/>
        <v>-8.001452828117632E-2</v>
      </c>
    </row>
    <row r="9876" spans="7:8" x14ac:dyDescent="0.35">
      <c r="G9876" s="215">
        <v>9869</v>
      </c>
      <c r="H9876" s="16">
        <f t="shared" ca="1" si="162"/>
        <v>6.1594535085352474E-3</v>
      </c>
    </row>
    <row r="9877" spans="7:8" x14ac:dyDescent="0.35">
      <c r="G9877" s="215">
        <v>9870</v>
      </c>
      <c r="H9877" s="16">
        <f t="shared" ca="1" si="162"/>
        <v>7.3704627719150401E-2</v>
      </c>
    </row>
    <row r="9878" spans="7:8" x14ac:dyDescent="0.35">
      <c r="G9878" s="215">
        <v>9871</v>
      </c>
      <c r="H9878" s="16">
        <f t="shared" ca="1" si="162"/>
        <v>-6.1387975756314453E-2</v>
      </c>
    </row>
    <row r="9879" spans="7:8" x14ac:dyDescent="0.35">
      <c r="G9879" s="215">
        <v>9872</v>
      </c>
      <c r="H9879" s="16">
        <f t="shared" ca="1" si="162"/>
        <v>-7.2293007357827857E-2</v>
      </c>
    </row>
    <row r="9880" spans="7:8" x14ac:dyDescent="0.35">
      <c r="G9880" s="215">
        <v>9873</v>
      </c>
      <c r="H9880" s="16">
        <f t="shared" ca="1" si="162"/>
        <v>-6.6187726076996967E-2</v>
      </c>
    </row>
    <row r="9881" spans="7:8" x14ac:dyDescent="0.35">
      <c r="G9881" s="215">
        <v>9874</v>
      </c>
      <c r="H9881" s="16">
        <f t="shared" ca="1" si="162"/>
        <v>7.7345150199380583E-2</v>
      </c>
    </row>
    <row r="9882" spans="7:8" x14ac:dyDescent="0.35">
      <c r="G9882" s="215">
        <v>9875</v>
      </c>
      <c r="H9882" s="16">
        <f t="shared" ca="1" si="162"/>
        <v>-0.12817659781398807</v>
      </c>
    </row>
    <row r="9883" spans="7:8" x14ac:dyDescent="0.35">
      <c r="G9883" s="215">
        <v>9876</v>
      </c>
      <c r="H9883" s="16">
        <f t="shared" ca="1" si="162"/>
        <v>2.1306948844675884E-2</v>
      </c>
    </row>
    <row r="9884" spans="7:8" x14ac:dyDescent="0.35">
      <c r="G9884" s="215">
        <v>9877</v>
      </c>
      <c r="H9884" s="16">
        <f t="shared" ca="1" si="162"/>
        <v>0.13289205383257302</v>
      </c>
    </row>
    <row r="9885" spans="7:8" x14ac:dyDescent="0.35">
      <c r="G9885" s="215">
        <v>9878</v>
      </c>
      <c r="H9885" s="16">
        <f t="shared" ca="1" si="162"/>
        <v>-4.3183095911864672E-3</v>
      </c>
    </row>
    <row r="9886" spans="7:8" x14ac:dyDescent="0.35">
      <c r="G9886" s="215">
        <v>9879</v>
      </c>
      <c r="H9886" s="16">
        <f t="shared" ca="1" si="162"/>
        <v>5.2193678507378008E-2</v>
      </c>
    </row>
    <row r="9887" spans="7:8" x14ac:dyDescent="0.35">
      <c r="G9887" s="215">
        <v>9880</v>
      </c>
      <c r="H9887" s="16">
        <f t="shared" ca="1" si="162"/>
        <v>5.8919084399605831E-2</v>
      </c>
    </row>
    <row r="9888" spans="7:8" x14ac:dyDescent="0.35">
      <c r="G9888" s="215">
        <v>9881</v>
      </c>
      <c r="H9888" s="16">
        <f t="shared" ca="1" si="162"/>
        <v>-2.2270753515119691E-3</v>
      </c>
    </row>
    <row r="9889" spans="7:8" x14ac:dyDescent="0.35">
      <c r="G9889" s="215">
        <v>9882</v>
      </c>
      <c r="H9889" s="16">
        <f t="shared" ca="1" si="162"/>
        <v>8.7729438503069038E-2</v>
      </c>
    </row>
    <row r="9890" spans="7:8" x14ac:dyDescent="0.35">
      <c r="G9890" s="215">
        <v>9883</v>
      </c>
      <c r="H9890" s="16">
        <f t="shared" ca="1" si="162"/>
        <v>-3.820115637936991E-2</v>
      </c>
    </row>
    <row r="9891" spans="7:8" x14ac:dyDescent="0.35">
      <c r="G9891" s="215">
        <v>9884</v>
      </c>
      <c r="H9891" s="16">
        <f t="shared" ca="1" si="162"/>
        <v>0.16453618507499443</v>
      </c>
    </row>
    <row r="9892" spans="7:8" x14ac:dyDescent="0.35">
      <c r="G9892" s="215">
        <v>9885</v>
      </c>
      <c r="H9892" s="16">
        <f t="shared" ca="1" si="162"/>
        <v>7.4148763672433102E-2</v>
      </c>
    </row>
    <row r="9893" spans="7:8" x14ac:dyDescent="0.35">
      <c r="G9893" s="215">
        <v>9886</v>
      </c>
      <c r="H9893" s="16">
        <f t="shared" ca="1" si="162"/>
        <v>6.3756576836759782E-2</v>
      </c>
    </row>
    <row r="9894" spans="7:8" x14ac:dyDescent="0.35">
      <c r="G9894" s="215">
        <v>9887</v>
      </c>
      <c r="H9894" s="16">
        <f t="shared" ca="1" si="162"/>
        <v>-5.8496286676073608E-2</v>
      </c>
    </row>
    <row r="9895" spans="7:8" x14ac:dyDescent="0.35">
      <c r="G9895" s="215">
        <v>9888</v>
      </c>
      <c r="H9895" s="16">
        <f t="shared" ca="1" si="162"/>
        <v>-2.2570369157197023E-2</v>
      </c>
    </row>
    <row r="9896" spans="7:8" x14ac:dyDescent="0.35">
      <c r="G9896" s="215">
        <v>9889</v>
      </c>
      <c r="H9896" s="16">
        <f t="shared" ca="1" si="162"/>
        <v>7.8354633286907518E-2</v>
      </c>
    </row>
    <row r="9897" spans="7:8" x14ac:dyDescent="0.35">
      <c r="G9897" s="215">
        <v>9890</v>
      </c>
      <c r="H9897" s="16">
        <f t="shared" ca="1" si="162"/>
        <v>-3.6975849756610724E-2</v>
      </c>
    </row>
    <row r="9898" spans="7:8" x14ac:dyDescent="0.35">
      <c r="G9898" s="215">
        <v>9891</v>
      </c>
      <c r="H9898" s="16">
        <f t="shared" ca="1" si="162"/>
        <v>-3.146612517000151E-2</v>
      </c>
    </row>
    <row r="9899" spans="7:8" x14ac:dyDescent="0.35">
      <c r="G9899" s="215">
        <v>9892</v>
      </c>
      <c r="H9899" s="16">
        <f t="shared" ca="1" si="162"/>
        <v>-9.2389312893998266E-2</v>
      </c>
    </row>
    <row r="9900" spans="7:8" x14ac:dyDescent="0.35">
      <c r="G9900" s="215">
        <v>9893</v>
      </c>
      <c r="H9900" s="16">
        <f t="shared" ca="1" si="162"/>
        <v>-0.14589231765480454</v>
      </c>
    </row>
    <row r="9901" spans="7:8" x14ac:dyDescent="0.35">
      <c r="G9901" s="215">
        <v>9894</v>
      </c>
      <c r="H9901" s="16">
        <f t="shared" ca="1" si="162"/>
        <v>0.11973206830449495</v>
      </c>
    </row>
    <row r="9902" spans="7:8" x14ac:dyDescent="0.35">
      <c r="G9902" s="215">
        <v>9895</v>
      </c>
      <c r="H9902" s="16">
        <f t="shared" ca="1" si="162"/>
        <v>-7.2115161015155499E-2</v>
      </c>
    </row>
    <row r="9903" spans="7:8" x14ac:dyDescent="0.35">
      <c r="G9903" s="215">
        <v>9896</v>
      </c>
      <c r="H9903" s="16">
        <f t="shared" ca="1" si="162"/>
        <v>-2.1501723026541224E-2</v>
      </c>
    </row>
    <row r="9904" spans="7:8" x14ac:dyDescent="0.35">
      <c r="G9904" s="215">
        <v>9897</v>
      </c>
      <c r="H9904" s="16">
        <f t="shared" ca="1" si="162"/>
        <v>-1.0966462403530833E-2</v>
      </c>
    </row>
    <row r="9905" spans="7:8" x14ac:dyDescent="0.35">
      <c r="G9905" s="215">
        <v>9898</v>
      </c>
      <c r="H9905" s="16">
        <f t="shared" ca="1" si="162"/>
        <v>-0.11362666893599943</v>
      </c>
    </row>
    <row r="9906" spans="7:8" x14ac:dyDescent="0.35">
      <c r="G9906" s="215">
        <v>9899</v>
      </c>
      <c r="H9906" s="16">
        <f t="shared" ca="1" si="162"/>
        <v>-6.2341354196915333E-2</v>
      </c>
    </row>
    <row r="9907" spans="7:8" x14ac:dyDescent="0.35">
      <c r="G9907" s="215">
        <v>9900</v>
      </c>
      <c r="H9907" s="16">
        <f t="shared" ca="1" si="162"/>
        <v>3.0645158711998369E-2</v>
      </c>
    </row>
    <row r="9908" spans="7:8" x14ac:dyDescent="0.35">
      <c r="G9908" s="215">
        <v>9901</v>
      </c>
      <c r="H9908" s="16">
        <f t="shared" ca="1" si="162"/>
        <v>-9.9383102051331315E-2</v>
      </c>
    </row>
    <row r="9909" spans="7:8" x14ac:dyDescent="0.35">
      <c r="G9909" s="215">
        <v>9902</v>
      </c>
      <c r="H9909" s="16">
        <f t="shared" ca="1" si="162"/>
        <v>-9.12364277930683E-2</v>
      </c>
    </row>
    <row r="9910" spans="7:8" x14ac:dyDescent="0.35">
      <c r="G9910" s="215">
        <v>9903</v>
      </c>
      <c r="H9910" s="16">
        <f t="shared" ca="1" si="162"/>
        <v>8.6630586125614792E-2</v>
      </c>
    </row>
    <row r="9911" spans="7:8" x14ac:dyDescent="0.35">
      <c r="G9911" s="215">
        <v>9904</v>
      </c>
      <c r="H9911" s="16">
        <f t="shared" ca="1" si="162"/>
        <v>2.7731682761199021E-2</v>
      </c>
    </row>
    <row r="9912" spans="7:8" x14ac:dyDescent="0.35">
      <c r="G9912" s="215">
        <v>9905</v>
      </c>
      <c r="H9912" s="16">
        <f t="shared" ca="1" si="162"/>
        <v>8.1303856992727824E-3</v>
      </c>
    </row>
    <row r="9913" spans="7:8" x14ac:dyDescent="0.35">
      <c r="G9913" s="215">
        <v>9906</v>
      </c>
      <c r="H9913" s="16">
        <f t="shared" ca="1" si="162"/>
        <v>3.9787901341270603E-2</v>
      </c>
    </row>
    <row r="9914" spans="7:8" x14ac:dyDescent="0.35">
      <c r="G9914" s="215">
        <v>9907</v>
      </c>
      <c r="H9914" s="16">
        <f t="shared" ca="1" si="162"/>
        <v>-3.3746337404528287E-2</v>
      </c>
    </row>
    <row r="9915" spans="7:8" x14ac:dyDescent="0.35">
      <c r="G9915" s="215">
        <v>9908</v>
      </c>
      <c r="H9915" s="16">
        <f t="shared" ca="1" si="162"/>
        <v>8.3044214284156787E-2</v>
      </c>
    </row>
    <row r="9916" spans="7:8" x14ac:dyDescent="0.35">
      <c r="G9916" s="215">
        <v>9909</v>
      </c>
      <c r="H9916" s="16">
        <f t="shared" ca="1" si="162"/>
        <v>2.1232830145139416E-2</v>
      </c>
    </row>
    <row r="9917" spans="7:8" x14ac:dyDescent="0.35">
      <c r="G9917" s="215">
        <v>9910</v>
      </c>
      <c r="H9917" s="16">
        <f t="shared" ca="1" si="162"/>
        <v>-3.2484538840562932E-2</v>
      </c>
    </row>
    <row r="9918" spans="7:8" x14ac:dyDescent="0.35">
      <c r="G9918" s="215">
        <v>9911</v>
      </c>
      <c r="H9918" s="16">
        <f t="shared" ca="1" si="162"/>
        <v>-0.11175219849396158</v>
      </c>
    </row>
    <row r="9919" spans="7:8" x14ac:dyDescent="0.35">
      <c r="G9919" s="215">
        <v>9912</v>
      </c>
      <c r="H9919" s="16">
        <f t="shared" ca="1" si="162"/>
        <v>5.3487869701836707E-2</v>
      </c>
    </row>
    <row r="9920" spans="7:8" x14ac:dyDescent="0.35">
      <c r="G9920" s="215">
        <v>9913</v>
      </c>
      <c r="H9920" s="16">
        <f t="shared" ca="1" si="162"/>
        <v>1.4233976482861371E-2</v>
      </c>
    </row>
    <row r="9921" spans="7:8" x14ac:dyDescent="0.35">
      <c r="G9921" s="215">
        <v>9914</v>
      </c>
      <c r="H9921" s="16">
        <f t="shared" ca="1" si="162"/>
        <v>4.1194102427567103E-2</v>
      </c>
    </row>
    <row r="9922" spans="7:8" x14ac:dyDescent="0.35">
      <c r="G9922" s="215">
        <v>9915</v>
      </c>
      <c r="H9922" s="16">
        <f t="shared" ca="1" si="162"/>
        <v>-0.13851105264693658</v>
      </c>
    </row>
    <row r="9923" spans="7:8" x14ac:dyDescent="0.35">
      <c r="G9923" s="215">
        <v>9916</v>
      </c>
      <c r="H9923" s="16">
        <f t="shared" ca="1" si="162"/>
        <v>0.13367949569345211</v>
      </c>
    </row>
    <row r="9924" spans="7:8" x14ac:dyDescent="0.35">
      <c r="G9924" s="215">
        <v>9917</v>
      </c>
      <c r="H9924" s="16">
        <f t="shared" ca="1" si="162"/>
        <v>-2.691978554940307E-2</v>
      </c>
    </row>
    <row r="9925" spans="7:8" x14ac:dyDescent="0.35">
      <c r="G9925" s="215">
        <v>9918</v>
      </c>
      <c r="H9925" s="16">
        <f t="shared" ca="1" si="162"/>
        <v>6.0814797736830663E-3</v>
      </c>
    </row>
    <row r="9926" spans="7:8" x14ac:dyDescent="0.35">
      <c r="G9926" s="215">
        <v>9919</v>
      </c>
      <c r="H9926" s="16">
        <f t="shared" ca="1" si="162"/>
        <v>1.6607385680435887E-2</v>
      </c>
    </row>
    <row r="9927" spans="7:8" x14ac:dyDescent="0.35">
      <c r="G9927" s="215">
        <v>9920</v>
      </c>
      <c r="H9927" s="16">
        <f t="shared" ca="1" si="162"/>
        <v>-9.668291271836961E-2</v>
      </c>
    </row>
    <row r="9928" spans="7:8" x14ac:dyDescent="0.35">
      <c r="G9928" s="215">
        <v>9921</v>
      </c>
      <c r="H9928" s="16">
        <f t="shared" ref="H9928:H9991" ca="1" si="163">_xlfn.NORM.INV(RAND(),M$10,M$11)</f>
        <v>-3.2827574394756434E-2</v>
      </c>
    </row>
    <row r="9929" spans="7:8" x14ac:dyDescent="0.35">
      <c r="G9929" s="215">
        <v>9922</v>
      </c>
      <c r="H9929" s="16">
        <f t="shared" ca="1" si="163"/>
        <v>0.10022529018045755</v>
      </c>
    </row>
    <row r="9930" spans="7:8" x14ac:dyDescent="0.35">
      <c r="G9930" s="215">
        <v>9923</v>
      </c>
      <c r="H9930" s="16">
        <f t="shared" ca="1" si="163"/>
        <v>-2.7290682845180849E-2</v>
      </c>
    </row>
    <row r="9931" spans="7:8" x14ac:dyDescent="0.35">
      <c r="G9931" s="215">
        <v>9924</v>
      </c>
      <c r="H9931" s="16">
        <f t="shared" ca="1" si="163"/>
        <v>3.5582742011009333E-2</v>
      </c>
    </row>
    <row r="9932" spans="7:8" x14ac:dyDescent="0.35">
      <c r="G9932" s="215">
        <v>9925</v>
      </c>
      <c r="H9932" s="16">
        <f t="shared" ca="1" si="163"/>
        <v>-2.2603579901717148E-2</v>
      </c>
    </row>
    <row r="9933" spans="7:8" x14ac:dyDescent="0.35">
      <c r="G9933" s="215">
        <v>9926</v>
      </c>
      <c r="H9933" s="16">
        <f t="shared" ca="1" si="163"/>
        <v>-5.7226853287484156E-3</v>
      </c>
    </row>
    <row r="9934" spans="7:8" x14ac:dyDescent="0.35">
      <c r="G9934" s="215">
        <v>9927</v>
      </c>
      <c r="H9934" s="16">
        <f t="shared" ca="1" si="163"/>
        <v>0.16931581373221957</v>
      </c>
    </row>
    <row r="9935" spans="7:8" x14ac:dyDescent="0.35">
      <c r="G9935" s="215">
        <v>9928</v>
      </c>
      <c r="H9935" s="16">
        <f t="shared" ca="1" si="163"/>
        <v>-6.3529682357124417E-2</v>
      </c>
    </row>
    <row r="9936" spans="7:8" x14ac:dyDescent="0.35">
      <c r="G9936" s="215">
        <v>9929</v>
      </c>
      <c r="H9936" s="16">
        <f t="shared" ca="1" si="163"/>
        <v>6.6293346190169503E-3</v>
      </c>
    </row>
    <row r="9937" spans="7:8" x14ac:dyDescent="0.35">
      <c r="G9937" s="215">
        <v>9930</v>
      </c>
      <c r="H9937" s="16">
        <f t="shared" ca="1" si="163"/>
        <v>-5.6658518184109441E-2</v>
      </c>
    </row>
    <row r="9938" spans="7:8" x14ac:dyDescent="0.35">
      <c r="G9938" s="215">
        <v>9931</v>
      </c>
      <c r="H9938" s="16">
        <f t="shared" ca="1" si="163"/>
        <v>-6.1343992337124315E-2</v>
      </c>
    </row>
    <row r="9939" spans="7:8" x14ac:dyDescent="0.35">
      <c r="G9939" s="215">
        <v>9932</v>
      </c>
      <c r="H9939" s="16">
        <f t="shared" ca="1" si="163"/>
        <v>-4.6221192429274E-2</v>
      </c>
    </row>
    <row r="9940" spans="7:8" x14ac:dyDescent="0.35">
      <c r="G9940" s="215">
        <v>9933</v>
      </c>
      <c r="H9940" s="16">
        <f t="shared" ca="1" si="163"/>
        <v>5.9716421676700465E-2</v>
      </c>
    </row>
    <row r="9941" spans="7:8" x14ac:dyDescent="0.35">
      <c r="G9941" s="215">
        <v>9934</v>
      </c>
      <c r="H9941" s="16">
        <f t="shared" ca="1" si="163"/>
        <v>3.5265219899736189E-2</v>
      </c>
    </row>
    <row r="9942" spans="7:8" x14ac:dyDescent="0.35">
      <c r="G9942" s="215">
        <v>9935</v>
      </c>
      <c r="H9942" s="16">
        <f t="shared" ca="1" si="163"/>
        <v>-3.097807711541738E-2</v>
      </c>
    </row>
    <row r="9943" spans="7:8" x14ac:dyDescent="0.35">
      <c r="G9943" s="215">
        <v>9936</v>
      </c>
      <c r="H9943" s="16">
        <f t="shared" ca="1" si="163"/>
        <v>-5.7815620264059606E-2</v>
      </c>
    </row>
    <row r="9944" spans="7:8" x14ac:dyDescent="0.35">
      <c r="G9944" s="215">
        <v>9937</v>
      </c>
      <c r="H9944" s="16">
        <f t="shared" ca="1" si="163"/>
        <v>-4.0360779310604139E-2</v>
      </c>
    </row>
    <row r="9945" spans="7:8" x14ac:dyDescent="0.35">
      <c r="G9945" s="215">
        <v>9938</v>
      </c>
      <c r="H9945" s="16">
        <f t="shared" ca="1" si="163"/>
        <v>5.4453176974700188E-2</v>
      </c>
    </row>
    <row r="9946" spans="7:8" x14ac:dyDescent="0.35">
      <c r="G9946" s="215">
        <v>9939</v>
      </c>
      <c r="H9946" s="16">
        <f t="shared" ca="1" si="163"/>
        <v>3.2332471439767925E-2</v>
      </c>
    </row>
    <row r="9947" spans="7:8" x14ac:dyDescent="0.35">
      <c r="G9947" s="215">
        <v>9940</v>
      </c>
      <c r="H9947" s="16">
        <f t="shared" ca="1" si="163"/>
        <v>3.5367080936344386E-2</v>
      </c>
    </row>
    <row r="9948" spans="7:8" x14ac:dyDescent="0.35">
      <c r="G9948" s="215">
        <v>9941</v>
      </c>
      <c r="H9948" s="16">
        <f t="shared" ca="1" si="163"/>
        <v>9.279402404560752E-2</v>
      </c>
    </row>
    <row r="9949" spans="7:8" x14ac:dyDescent="0.35">
      <c r="G9949" s="215">
        <v>9942</v>
      </c>
      <c r="H9949" s="16">
        <f t="shared" ca="1" si="163"/>
        <v>-0.12728049476753517</v>
      </c>
    </row>
    <row r="9950" spans="7:8" x14ac:dyDescent="0.35">
      <c r="G9950" s="215">
        <v>9943</v>
      </c>
      <c r="H9950" s="16">
        <f t="shared" ca="1" si="163"/>
        <v>-3.3655812875875143E-2</v>
      </c>
    </row>
    <row r="9951" spans="7:8" x14ac:dyDescent="0.35">
      <c r="G9951" s="215">
        <v>9944</v>
      </c>
      <c r="H9951" s="16">
        <f t="shared" ca="1" si="163"/>
        <v>0.17873155371467617</v>
      </c>
    </row>
    <row r="9952" spans="7:8" x14ac:dyDescent="0.35">
      <c r="G9952" s="215">
        <v>9945</v>
      </c>
      <c r="H9952" s="16">
        <f t="shared" ca="1" si="163"/>
        <v>-7.3016026302573658E-2</v>
      </c>
    </row>
    <row r="9953" spans="7:8" x14ac:dyDescent="0.35">
      <c r="G9953" s="215">
        <v>9946</v>
      </c>
      <c r="H9953" s="16">
        <f t="shared" ca="1" si="163"/>
        <v>0.12030866957948025</v>
      </c>
    </row>
    <row r="9954" spans="7:8" x14ac:dyDescent="0.35">
      <c r="G9954" s="215">
        <v>9947</v>
      </c>
      <c r="H9954" s="16">
        <f t="shared" ca="1" si="163"/>
        <v>2.9387438800246066E-2</v>
      </c>
    </row>
    <row r="9955" spans="7:8" x14ac:dyDescent="0.35">
      <c r="G9955" s="215">
        <v>9948</v>
      </c>
      <c r="H9955" s="16">
        <f t="shared" ca="1" si="163"/>
        <v>1.6284330974994661E-2</v>
      </c>
    </row>
    <row r="9956" spans="7:8" x14ac:dyDescent="0.35">
      <c r="G9956" s="215">
        <v>9949</v>
      </c>
      <c r="H9956" s="16">
        <f t="shared" ca="1" si="163"/>
        <v>2.1272760620549683E-2</v>
      </c>
    </row>
    <row r="9957" spans="7:8" x14ac:dyDescent="0.35">
      <c r="G9957" s="215">
        <v>9950</v>
      </c>
      <c r="H9957" s="16">
        <f t="shared" ca="1" si="163"/>
        <v>-0.17885144986478088</v>
      </c>
    </row>
    <row r="9958" spans="7:8" x14ac:dyDescent="0.35">
      <c r="G9958" s="215">
        <v>9951</v>
      </c>
      <c r="H9958" s="16">
        <f t="shared" ca="1" si="163"/>
        <v>2.6565910770386118E-2</v>
      </c>
    </row>
    <row r="9959" spans="7:8" x14ac:dyDescent="0.35">
      <c r="G9959" s="215">
        <v>9952</v>
      </c>
      <c r="H9959" s="16">
        <f t="shared" ca="1" si="163"/>
        <v>-8.964303947162669E-2</v>
      </c>
    </row>
    <row r="9960" spans="7:8" x14ac:dyDescent="0.35">
      <c r="G9960" s="215">
        <v>9953</v>
      </c>
      <c r="H9960" s="16">
        <f t="shared" ca="1" si="163"/>
        <v>8.3387132772923776E-3</v>
      </c>
    </row>
    <row r="9961" spans="7:8" x14ac:dyDescent="0.35">
      <c r="G9961" s="215">
        <v>9954</v>
      </c>
      <c r="H9961" s="16">
        <f t="shared" ca="1" si="163"/>
        <v>7.9122503577711313E-3</v>
      </c>
    </row>
    <row r="9962" spans="7:8" x14ac:dyDescent="0.35">
      <c r="G9962" s="215">
        <v>9955</v>
      </c>
      <c r="H9962" s="16">
        <f t="shared" ca="1" si="163"/>
        <v>-4.4323134763188859E-2</v>
      </c>
    </row>
    <row r="9963" spans="7:8" x14ac:dyDescent="0.35">
      <c r="G9963" s="215">
        <v>9956</v>
      </c>
      <c r="H9963" s="16">
        <f t="shared" ca="1" si="163"/>
        <v>8.9397488175257334E-2</v>
      </c>
    </row>
    <row r="9964" spans="7:8" x14ac:dyDescent="0.35">
      <c r="G9964" s="215">
        <v>9957</v>
      </c>
      <c r="H9964" s="16">
        <f t="shared" ca="1" si="163"/>
        <v>-5.1393716328462097E-5</v>
      </c>
    </row>
    <row r="9965" spans="7:8" x14ac:dyDescent="0.35">
      <c r="G9965" s="215">
        <v>9958</v>
      </c>
      <c r="H9965" s="16">
        <f t="shared" ca="1" si="163"/>
        <v>-5.7050684849143121E-2</v>
      </c>
    </row>
    <row r="9966" spans="7:8" x14ac:dyDescent="0.35">
      <c r="G9966" s="215">
        <v>9959</v>
      </c>
      <c r="H9966" s="16">
        <f t="shared" ca="1" si="163"/>
        <v>6.823189869533665E-3</v>
      </c>
    </row>
    <row r="9967" spans="7:8" x14ac:dyDescent="0.35">
      <c r="G9967" s="215">
        <v>9960</v>
      </c>
      <c r="H9967" s="16">
        <f t="shared" ca="1" si="163"/>
        <v>-5.1616951394732186E-2</v>
      </c>
    </row>
    <row r="9968" spans="7:8" x14ac:dyDescent="0.35">
      <c r="G9968" s="215">
        <v>9961</v>
      </c>
      <c r="H9968" s="16">
        <f t="shared" ca="1" si="163"/>
        <v>4.2436024491695132E-2</v>
      </c>
    </row>
    <row r="9969" spans="7:8" x14ac:dyDescent="0.35">
      <c r="G9969" s="215">
        <v>9962</v>
      </c>
      <c r="H9969" s="16">
        <f t="shared" ca="1" si="163"/>
        <v>3.9279703243393804E-2</v>
      </c>
    </row>
    <row r="9970" spans="7:8" x14ac:dyDescent="0.35">
      <c r="G9970" s="215">
        <v>9963</v>
      </c>
      <c r="H9970" s="16">
        <f t="shared" ca="1" si="163"/>
        <v>7.7145450988490002E-2</v>
      </c>
    </row>
    <row r="9971" spans="7:8" x14ac:dyDescent="0.35">
      <c r="G9971" s="215">
        <v>9964</v>
      </c>
      <c r="H9971" s="16">
        <f t="shared" ca="1" si="163"/>
        <v>-1.1018830573267361E-2</v>
      </c>
    </row>
    <row r="9972" spans="7:8" x14ac:dyDescent="0.35">
      <c r="G9972" s="215">
        <v>9965</v>
      </c>
      <c r="H9972" s="16">
        <f t="shared" ca="1" si="163"/>
        <v>4.6120782482891587E-2</v>
      </c>
    </row>
    <row r="9973" spans="7:8" x14ac:dyDescent="0.35">
      <c r="G9973" s="215">
        <v>9966</v>
      </c>
      <c r="H9973" s="16">
        <f t="shared" ca="1" si="163"/>
        <v>6.1192934139448513E-2</v>
      </c>
    </row>
    <row r="9974" spans="7:8" x14ac:dyDescent="0.35">
      <c r="G9974" s="215">
        <v>9967</v>
      </c>
      <c r="H9974" s="16">
        <f t="shared" ca="1" si="163"/>
        <v>0.13524635390324424</v>
      </c>
    </row>
    <row r="9975" spans="7:8" x14ac:dyDescent="0.35">
      <c r="G9975" s="215">
        <v>9968</v>
      </c>
      <c r="H9975" s="16">
        <f t="shared" ca="1" si="163"/>
        <v>6.7982255216193263E-2</v>
      </c>
    </row>
    <row r="9976" spans="7:8" x14ac:dyDescent="0.35">
      <c r="G9976" s="215">
        <v>9969</v>
      </c>
      <c r="H9976" s="16">
        <f t="shared" ca="1" si="163"/>
        <v>0.18582518079189114</v>
      </c>
    </row>
    <row r="9977" spans="7:8" x14ac:dyDescent="0.35">
      <c r="G9977" s="215">
        <v>9970</v>
      </c>
      <c r="H9977" s="16">
        <f t="shared" ca="1" si="163"/>
        <v>-1.2622339557477949E-4</v>
      </c>
    </row>
    <row r="9978" spans="7:8" x14ac:dyDescent="0.35">
      <c r="G9978" s="215">
        <v>9971</v>
      </c>
      <c r="H9978" s="16">
        <f t="shared" ca="1" si="163"/>
        <v>1.5066874588415304E-2</v>
      </c>
    </row>
    <row r="9979" spans="7:8" x14ac:dyDescent="0.35">
      <c r="G9979" s="215">
        <v>9972</v>
      </c>
      <c r="H9979" s="16">
        <f t="shared" ca="1" si="163"/>
        <v>5.6602684619663862E-2</v>
      </c>
    </row>
    <row r="9980" spans="7:8" x14ac:dyDescent="0.35">
      <c r="G9980" s="215">
        <v>9973</v>
      </c>
      <c r="H9980" s="16">
        <f t="shared" ca="1" si="163"/>
        <v>-4.4060266460898875E-2</v>
      </c>
    </row>
    <row r="9981" spans="7:8" x14ac:dyDescent="0.35">
      <c r="G9981" s="215">
        <v>9974</v>
      </c>
      <c r="H9981" s="16">
        <f t="shared" ca="1" si="163"/>
        <v>9.8273941826032586E-3</v>
      </c>
    </row>
    <row r="9982" spans="7:8" x14ac:dyDescent="0.35">
      <c r="G9982" s="215">
        <v>9975</v>
      </c>
      <c r="H9982" s="16">
        <f t="shared" ca="1" si="163"/>
        <v>0.14357552411303914</v>
      </c>
    </row>
    <row r="9983" spans="7:8" x14ac:dyDescent="0.35">
      <c r="G9983" s="215">
        <v>9976</v>
      </c>
      <c r="H9983" s="16">
        <f t="shared" ca="1" si="163"/>
        <v>1.6521154410812786E-2</v>
      </c>
    </row>
    <row r="9984" spans="7:8" x14ac:dyDescent="0.35">
      <c r="G9984" s="215">
        <v>9977</v>
      </c>
      <c r="H9984" s="16">
        <f t="shared" ca="1" si="163"/>
        <v>-2.3455086812485645E-2</v>
      </c>
    </row>
    <row r="9985" spans="7:8" x14ac:dyDescent="0.35">
      <c r="G9985" s="215">
        <v>9978</v>
      </c>
      <c r="H9985" s="16">
        <f t="shared" ca="1" si="163"/>
        <v>-0.1782838250085281</v>
      </c>
    </row>
    <row r="9986" spans="7:8" x14ac:dyDescent="0.35">
      <c r="G9986" s="215">
        <v>9979</v>
      </c>
      <c r="H9986" s="16">
        <f t="shared" ca="1" si="163"/>
        <v>-4.3924998764588233E-3</v>
      </c>
    </row>
    <row r="9987" spans="7:8" x14ac:dyDescent="0.35">
      <c r="G9987" s="215">
        <v>9980</v>
      </c>
      <c r="H9987" s="16">
        <f t="shared" ca="1" si="163"/>
        <v>-4.3633601691911356E-2</v>
      </c>
    </row>
    <row r="9988" spans="7:8" x14ac:dyDescent="0.35">
      <c r="G9988" s="215">
        <v>9981</v>
      </c>
      <c r="H9988" s="16">
        <f t="shared" ca="1" si="163"/>
        <v>9.2174555519599091E-2</v>
      </c>
    </row>
    <row r="9989" spans="7:8" x14ac:dyDescent="0.35">
      <c r="G9989" s="215">
        <v>9982</v>
      </c>
      <c r="H9989" s="16">
        <f t="shared" ca="1" si="163"/>
        <v>4.6978590701482859E-2</v>
      </c>
    </row>
    <row r="9990" spans="7:8" x14ac:dyDescent="0.35">
      <c r="G9990" s="215">
        <v>9983</v>
      </c>
      <c r="H9990" s="16">
        <f t="shared" ca="1" si="163"/>
        <v>0.13091225145365365</v>
      </c>
    </row>
    <row r="9991" spans="7:8" x14ac:dyDescent="0.35">
      <c r="G9991" s="215">
        <v>9984</v>
      </c>
      <c r="H9991" s="16">
        <f t="shared" ca="1" si="163"/>
        <v>-2.7705847494311379E-2</v>
      </c>
    </row>
    <row r="9992" spans="7:8" x14ac:dyDescent="0.35">
      <c r="G9992" s="215">
        <v>9985</v>
      </c>
      <c r="H9992" s="16">
        <f t="shared" ref="H9992:H10007" ca="1" si="164">_xlfn.NORM.INV(RAND(),M$10,M$11)</f>
        <v>1.2649132484788252E-2</v>
      </c>
    </row>
    <row r="9993" spans="7:8" x14ac:dyDescent="0.35">
      <c r="G9993" s="215">
        <v>9986</v>
      </c>
      <c r="H9993" s="16">
        <f t="shared" ca="1" si="164"/>
        <v>-4.0862951097753952E-2</v>
      </c>
    </row>
    <row r="9994" spans="7:8" x14ac:dyDescent="0.35">
      <c r="G9994" s="215">
        <v>9987</v>
      </c>
      <c r="H9994" s="16">
        <f t="shared" ca="1" si="164"/>
        <v>-1.7396892768867321E-2</v>
      </c>
    </row>
    <row r="9995" spans="7:8" x14ac:dyDescent="0.35">
      <c r="G9995" s="215">
        <v>9988</v>
      </c>
      <c r="H9995" s="16">
        <f t="shared" ca="1" si="164"/>
        <v>5.9723338140853181E-3</v>
      </c>
    </row>
    <row r="9996" spans="7:8" x14ac:dyDescent="0.35">
      <c r="G9996" s="215">
        <v>9989</v>
      </c>
      <c r="H9996" s="16">
        <f t="shared" ca="1" si="164"/>
        <v>2.4702299290159747E-2</v>
      </c>
    </row>
    <row r="9997" spans="7:8" x14ac:dyDescent="0.35">
      <c r="G9997" s="215">
        <v>9990</v>
      </c>
      <c r="H9997" s="16">
        <f t="shared" ca="1" si="164"/>
        <v>6.9177053450108869E-2</v>
      </c>
    </row>
    <row r="9998" spans="7:8" x14ac:dyDescent="0.35">
      <c r="G9998" s="215">
        <v>9991</v>
      </c>
      <c r="H9998" s="16">
        <f t="shared" ca="1" si="164"/>
        <v>0.12678156266643953</v>
      </c>
    </row>
    <row r="9999" spans="7:8" x14ac:dyDescent="0.35">
      <c r="G9999" s="215">
        <v>9992</v>
      </c>
      <c r="H9999" s="16">
        <f t="shared" ca="1" si="164"/>
        <v>-8.0626301656221061E-2</v>
      </c>
    </row>
    <row r="10000" spans="7:8" x14ac:dyDescent="0.35">
      <c r="G10000" s="215">
        <v>9993</v>
      </c>
      <c r="H10000" s="16">
        <f t="shared" ca="1" si="164"/>
        <v>7.2693772502767956E-2</v>
      </c>
    </row>
    <row r="10001" spans="7:8" x14ac:dyDescent="0.35">
      <c r="G10001" s="215">
        <v>9994</v>
      </c>
      <c r="H10001" s="16">
        <f t="shared" ca="1" si="164"/>
        <v>2.2891084980993764E-2</v>
      </c>
    </row>
    <row r="10002" spans="7:8" x14ac:dyDescent="0.35">
      <c r="G10002" s="215">
        <v>9995</v>
      </c>
      <c r="H10002" s="16">
        <f t="shared" ca="1" si="164"/>
        <v>5.029035138566651E-2</v>
      </c>
    </row>
    <row r="10003" spans="7:8" x14ac:dyDescent="0.35">
      <c r="G10003" s="215">
        <v>9996</v>
      </c>
      <c r="H10003" s="16">
        <f t="shared" ca="1" si="164"/>
        <v>-6.3351251595702346E-2</v>
      </c>
    </row>
    <row r="10004" spans="7:8" x14ac:dyDescent="0.35">
      <c r="G10004" s="215">
        <v>9997</v>
      </c>
      <c r="H10004" s="16">
        <f t="shared" ca="1" si="164"/>
        <v>-1.0006766053283971E-2</v>
      </c>
    </row>
    <row r="10005" spans="7:8" x14ac:dyDescent="0.35">
      <c r="G10005" s="215">
        <v>9998</v>
      </c>
      <c r="H10005" s="16">
        <f t="shared" ca="1" si="164"/>
        <v>-3.6786653946603284E-2</v>
      </c>
    </row>
    <row r="10006" spans="7:8" x14ac:dyDescent="0.35">
      <c r="G10006" s="215">
        <v>9999</v>
      </c>
      <c r="H10006" s="16">
        <f t="shared" ca="1" si="164"/>
        <v>-5.6007067208969766E-2</v>
      </c>
    </row>
    <row r="10007" spans="7:8" x14ac:dyDescent="0.35">
      <c r="G10007" s="215">
        <v>10000</v>
      </c>
      <c r="H10007" s="16">
        <f t="shared" ca="1" si="164"/>
        <v>-5.1533943489827441E-2</v>
      </c>
    </row>
  </sheetData>
  <printOptions horizontalCentered="1" verticalCentered="1"/>
  <pageMargins left="3.937007874015748E-2" right="3.937007874015748E-2" top="3.937007874015748E-2" bottom="3.937007874015748E-2" header="0.31496062992125984" footer="0.31496062992125984"/>
  <pageSetup scale="96" fitToHeight="0" orientation="portrait" r:id="rId1"/>
  <rowBreaks count="1" manualBreakCount="1">
    <brk id="40" max="12"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DF6D-E0C6-4E2E-9099-0E28435A2F92}">
  <dimension ref="B1:I176"/>
  <sheetViews>
    <sheetView showGridLines="0" topLeftCell="A49" zoomScale="105" zoomScaleNormal="93" workbookViewId="0">
      <selection activeCell="I59" sqref="I59"/>
    </sheetView>
  </sheetViews>
  <sheetFormatPr defaultRowHeight="14.5" x14ac:dyDescent="0.35"/>
  <cols>
    <col min="1" max="1" width="1.81640625" customWidth="1"/>
    <col min="2" max="2" width="43.1796875" bestFit="1" customWidth="1"/>
    <col min="3" max="9" width="9.90625" bestFit="1" customWidth="1"/>
  </cols>
  <sheetData>
    <row r="1" spans="2:9" x14ac:dyDescent="0.35">
      <c r="B1" s="47"/>
      <c r="C1" s="47"/>
      <c r="D1" s="47"/>
      <c r="E1" s="47"/>
      <c r="F1" s="47"/>
      <c r="G1" s="47"/>
      <c r="H1" s="47"/>
      <c r="I1" s="47"/>
    </row>
    <row r="2" spans="2:9" ht="26" x14ac:dyDescent="0.6">
      <c r="B2" s="186" t="s">
        <v>289</v>
      </c>
    </row>
    <row r="3" spans="2:9" ht="18.5" x14ac:dyDescent="0.45">
      <c r="B3" s="188" t="s">
        <v>388</v>
      </c>
    </row>
    <row r="4" spans="2:9" ht="21" x14ac:dyDescent="0.5">
      <c r="B4" s="187" t="s">
        <v>389</v>
      </c>
    </row>
    <row r="5" spans="2:9" ht="18.5" x14ac:dyDescent="0.45">
      <c r="B5" s="188" t="s">
        <v>390</v>
      </c>
    </row>
    <row r="6" spans="2:9" ht="15" thickBot="1" x14ac:dyDescent="0.4">
      <c r="B6" s="205"/>
      <c r="C6" s="205"/>
    </row>
    <row r="7" spans="2:9" ht="17" customHeight="1" thickTop="1" x14ac:dyDescent="0.35">
      <c r="B7" s="234" t="s">
        <v>419</v>
      </c>
      <c r="C7" s="226"/>
      <c r="D7" s="227"/>
      <c r="E7" s="227"/>
      <c r="F7" s="227"/>
      <c r="G7" s="227"/>
      <c r="H7" s="227"/>
      <c r="I7" s="227"/>
    </row>
    <row r="8" spans="2:9" ht="1" customHeight="1" x14ac:dyDescent="0.35">
      <c r="B8" s="248" t="s">
        <v>420</v>
      </c>
      <c r="C8" s="248"/>
      <c r="D8" s="248"/>
      <c r="E8" s="248"/>
      <c r="F8" s="248"/>
      <c r="G8" s="248"/>
      <c r="H8" s="248"/>
      <c r="I8" s="248"/>
    </row>
    <row r="9" spans="2:9" x14ac:dyDescent="0.35">
      <c r="B9" s="248"/>
      <c r="C9" s="248"/>
      <c r="D9" s="248"/>
      <c r="E9" s="248"/>
      <c r="F9" s="248"/>
      <c r="G9" s="248"/>
      <c r="H9" s="248"/>
      <c r="I9" s="248"/>
    </row>
    <row r="10" spans="2:9" x14ac:dyDescent="0.35">
      <c r="B10" s="248"/>
      <c r="C10" s="248"/>
      <c r="D10" s="248"/>
      <c r="E10" s="248"/>
      <c r="F10" s="248"/>
      <c r="G10" s="248"/>
      <c r="H10" s="248"/>
      <c r="I10" s="248"/>
    </row>
    <row r="11" spans="2:9" x14ac:dyDescent="0.35">
      <c r="B11" s="248"/>
      <c r="C11" s="248"/>
      <c r="D11" s="248"/>
      <c r="E11" s="248"/>
      <c r="F11" s="248"/>
      <c r="G11" s="248"/>
      <c r="H11" s="248"/>
      <c r="I11" s="248"/>
    </row>
    <row r="12" spans="2:9" x14ac:dyDescent="0.35">
      <c r="B12" s="248"/>
      <c r="C12" s="248"/>
      <c r="D12" s="248"/>
      <c r="E12" s="248"/>
      <c r="F12" s="248"/>
      <c r="G12" s="248"/>
      <c r="H12" s="248"/>
      <c r="I12" s="248"/>
    </row>
    <row r="13" spans="2:9" x14ac:dyDescent="0.35">
      <c r="B13" s="248"/>
      <c r="C13" s="248"/>
      <c r="D13" s="248"/>
      <c r="E13" s="248"/>
      <c r="F13" s="248"/>
      <c r="G13" s="248"/>
      <c r="H13" s="248"/>
      <c r="I13" s="248"/>
    </row>
    <row r="14" spans="2:9" ht="15" thickBot="1" x14ac:dyDescent="0.4">
      <c r="B14" s="248"/>
      <c r="C14" s="248"/>
      <c r="D14" s="248"/>
      <c r="E14" s="248"/>
      <c r="F14" s="248"/>
      <c r="G14" s="248"/>
      <c r="H14" s="248"/>
      <c r="I14" s="248"/>
    </row>
    <row r="15" spans="2:9" ht="15" thickTop="1" x14ac:dyDescent="0.35">
      <c r="B15" s="234" t="s">
        <v>433</v>
      </c>
      <c r="C15" s="227"/>
      <c r="D15" s="227"/>
      <c r="E15" s="227"/>
      <c r="F15" s="227"/>
      <c r="G15" s="227"/>
      <c r="H15" s="227"/>
      <c r="I15" s="227"/>
    </row>
    <row r="16" spans="2:9" ht="7" customHeight="1" x14ac:dyDescent="0.35">
      <c r="B16" s="233"/>
    </row>
    <row r="17" spans="2:2" x14ac:dyDescent="0.35">
      <c r="B17" s="233"/>
    </row>
    <row r="18" spans="2:2" x14ac:dyDescent="0.35">
      <c r="B18" s="233"/>
    </row>
    <row r="19" spans="2:2" x14ac:dyDescent="0.35">
      <c r="B19" s="233"/>
    </row>
    <row r="20" spans="2:2" x14ac:dyDescent="0.35">
      <c r="B20" s="233"/>
    </row>
    <row r="21" spans="2:2" x14ac:dyDescent="0.35">
      <c r="B21" s="233"/>
    </row>
    <row r="22" spans="2:2" x14ac:dyDescent="0.35">
      <c r="B22" s="233"/>
    </row>
    <row r="23" spans="2:2" x14ac:dyDescent="0.35">
      <c r="B23" s="233"/>
    </row>
    <row r="24" spans="2:2" x14ac:dyDescent="0.35">
      <c r="B24" s="233"/>
    </row>
    <row r="25" spans="2:2" x14ac:dyDescent="0.35">
      <c r="B25" s="233"/>
    </row>
    <row r="26" spans="2:2" x14ac:dyDescent="0.35">
      <c r="B26" s="233"/>
    </row>
    <row r="27" spans="2:2" x14ac:dyDescent="0.35">
      <c r="B27" s="233"/>
    </row>
    <row r="51" spans="2:9" x14ac:dyDescent="0.35">
      <c r="B51" s="142"/>
      <c r="C51" s="142"/>
      <c r="D51" s="142"/>
      <c r="E51" s="142"/>
      <c r="F51" s="142"/>
      <c r="G51" s="142"/>
      <c r="H51" s="142"/>
      <c r="I51" s="142"/>
    </row>
    <row r="52" spans="2:9" s="44" customFormat="1" x14ac:dyDescent="0.35"/>
    <row r="53" spans="2:9" x14ac:dyDescent="0.35">
      <c r="B53" s="142"/>
      <c r="C53" s="142"/>
      <c r="D53" s="142"/>
      <c r="E53" s="142"/>
      <c r="F53" s="142"/>
      <c r="G53" s="142"/>
      <c r="H53" s="142"/>
      <c r="I53" s="142"/>
    </row>
    <row r="54" spans="2:9" s="44" customFormat="1" ht="26" x14ac:dyDescent="0.6">
      <c r="B54" s="235" t="s">
        <v>434</v>
      </c>
    </row>
    <row r="55" spans="2:9" s="44" customFormat="1" ht="5.5" customHeight="1" x14ac:dyDescent="0.6">
      <c r="B55" s="235"/>
    </row>
    <row r="56" spans="2:9" ht="2.5" customHeight="1" x14ac:dyDescent="0.35"/>
    <row r="57" spans="2:9" x14ac:dyDescent="0.35">
      <c r="B57" s="247" t="s">
        <v>421</v>
      </c>
      <c r="C57" s="247"/>
      <c r="D57" s="247"/>
      <c r="E57" s="247"/>
      <c r="F57" s="247"/>
      <c r="G57" s="247"/>
      <c r="H57" s="247"/>
      <c r="I57" s="247"/>
    </row>
    <row r="58" spans="2:9" x14ac:dyDescent="0.35">
      <c r="C58" s="98">
        <f>HistoricalFS!F9</f>
        <v>43921</v>
      </c>
      <c r="D58" s="98">
        <f>HistoricalFS!G9</f>
        <v>44286</v>
      </c>
      <c r="E58" s="98">
        <f>HistoricalFS!H9</f>
        <v>44651</v>
      </c>
      <c r="F58" s="98">
        <f>HistoricalFS!I9</f>
        <v>45016</v>
      </c>
      <c r="G58" s="98">
        <f>HistoricalFS!J9</f>
        <v>45382</v>
      </c>
      <c r="H58" s="98">
        <f>HistoricalFS!K9</f>
        <v>45747</v>
      </c>
      <c r="I58" s="98">
        <f>HistoricalFS!L9</f>
        <v>46112</v>
      </c>
    </row>
    <row r="59" spans="2:9" x14ac:dyDescent="0.35">
      <c r="B59" t="s">
        <v>175</v>
      </c>
      <c r="C59" s="144">
        <f>'Data Sheet'!E30</f>
        <v>6748</v>
      </c>
      <c r="D59" s="144">
        <f>'Data Sheet'!F30</f>
        <v>7995</v>
      </c>
      <c r="E59" s="144">
        <f>'Data Sheet'!G30</f>
        <v>8879</v>
      </c>
      <c r="F59" s="144">
        <f>'Data Sheet'!H30</f>
        <v>10120</v>
      </c>
      <c r="G59" s="144">
        <f>'Data Sheet'!I30</f>
        <v>10277</v>
      </c>
      <c r="H59" s="144">
        <f>'Data Sheet'!J30</f>
        <v>10649</v>
      </c>
      <c r="I59" s="144">
        <f>'Data Sheet'!K30</f>
        <v>15040</v>
      </c>
    </row>
    <row r="60" spans="2:9" x14ac:dyDescent="0.35">
      <c r="B60" t="s">
        <v>422</v>
      </c>
      <c r="C60" s="144">
        <f>(('Data Sheet'!E57+'Data Sheet'!E58)+('Data Sheet'!D58+'Data Sheet'!D57))/2</f>
        <v>8048</v>
      </c>
      <c r="D60" s="144">
        <f>(('Data Sheet'!F57+'Data Sheet'!F58)+('Data Sheet'!E58+'Data Sheet'!E57))/2</f>
        <v>27951.5</v>
      </c>
      <c r="E60" s="144">
        <f>(('Data Sheet'!G57+'Data Sheet'!G58)+('Data Sheet'!F58+'Data Sheet'!F57))/2</f>
        <v>48367.5</v>
      </c>
      <c r="F60" s="144">
        <f>(('Data Sheet'!H57+'Data Sheet'!H58)+('Data Sheet'!G58+'Data Sheet'!G57))/2</f>
        <v>49682.5</v>
      </c>
      <c r="G60" s="144">
        <f>(('Data Sheet'!I57+'Data Sheet'!I58)+('Data Sheet'!H58+'Data Sheet'!H57))/2</f>
        <v>50761</v>
      </c>
      <c r="H60" s="144">
        <f>(('Data Sheet'!J57+'Data Sheet'!J58)+('Data Sheet'!I58+'Data Sheet'!I57))/2</f>
        <v>50310</v>
      </c>
      <c r="I60" s="144">
        <f>(('Data Sheet'!K57+'Data Sheet'!K58)+('Data Sheet'!J58+'Data Sheet'!J57))/2</f>
        <v>49070.5</v>
      </c>
    </row>
    <row r="61" spans="2:9" x14ac:dyDescent="0.35">
      <c r="B61" s="229" t="s">
        <v>421</v>
      </c>
      <c r="C61" s="230">
        <f t="shared" ref="C61:I61" si="0">C59/C60</f>
        <v>0.83846918489065603</v>
      </c>
      <c r="D61" s="230">
        <f t="shared" si="0"/>
        <v>0.28603116111836574</v>
      </c>
      <c r="E61" s="230">
        <f t="shared" si="0"/>
        <v>0.18357368067400631</v>
      </c>
      <c r="F61" s="230">
        <f t="shared" si="0"/>
        <v>0.20369345342927589</v>
      </c>
      <c r="G61" s="230">
        <f t="shared" si="0"/>
        <v>0.20245858040621736</v>
      </c>
      <c r="H61" s="230">
        <f t="shared" si="0"/>
        <v>0.21166766050486982</v>
      </c>
      <c r="I61" s="230">
        <f t="shared" si="0"/>
        <v>0.30649779399027927</v>
      </c>
    </row>
    <row r="64" spans="2:9" x14ac:dyDescent="0.35">
      <c r="B64" s="247" t="s">
        <v>423</v>
      </c>
      <c r="C64" s="247"/>
      <c r="D64" s="247"/>
      <c r="E64" s="247"/>
      <c r="F64" s="247"/>
      <c r="G64" s="247"/>
      <c r="H64" s="247"/>
      <c r="I64" s="247"/>
    </row>
    <row r="65" spans="2:9" x14ac:dyDescent="0.35">
      <c r="C65" s="98">
        <f t="shared" ref="C65:I66" si="1">C58</f>
        <v>43921</v>
      </c>
      <c r="D65" s="98">
        <f t="shared" si="1"/>
        <v>44286</v>
      </c>
      <c r="E65" s="98">
        <f t="shared" si="1"/>
        <v>44651</v>
      </c>
      <c r="F65" s="98">
        <f t="shared" si="1"/>
        <v>45016</v>
      </c>
      <c r="G65" s="98">
        <f t="shared" si="1"/>
        <v>45382</v>
      </c>
      <c r="H65" s="98">
        <f t="shared" si="1"/>
        <v>45747</v>
      </c>
      <c r="I65" s="98">
        <f t="shared" si="1"/>
        <v>46112</v>
      </c>
    </row>
    <row r="66" spans="2:9" x14ac:dyDescent="0.35">
      <c r="B66" t="str">
        <f>B59</f>
        <v>Net Profit</v>
      </c>
      <c r="C66" s="144">
        <f t="shared" si="1"/>
        <v>6748</v>
      </c>
      <c r="D66" s="144">
        <f t="shared" si="1"/>
        <v>7995</v>
      </c>
      <c r="E66" s="144">
        <f t="shared" si="1"/>
        <v>8879</v>
      </c>
      <c r="F66" s="144">
        <f t="shared" si="1"/>
        <v>10120</v>
      </c>
      <c r="G66" s="144">
        <f t="shared" si="1"/>
        <v>10277</v>
      </c>
      <c r="H66" s="144">
        <f t="shared" si="1"/>
        <v>10649</v>
      </c>
      <c r="I66" s="144">
        <f t="shared" si="1"/>
        <v>15040</v>
      </c>
    </row>
    <row r="67" spans="2:9" x14ac:dyDescent="0.35">
      <c r="B67" t="s">
        <v>343</v>
      </c>
      <c r="C67" s="144">
        <f>'Data Sheet'!E17</f>
        <v>39783</v>
      </c>
      <c r="D67" s="144">
        <f>'Data Sheet'!F17</f>
        <v>47028</v>
      </c>
      <c r="E67" s="144">
        <f>'Data Sheet'!G17</f>
        <v>52446</v>
      </c>
      <c r="F67" s="144">
        <f>'Data Sheet'!H17</f>
        <v>60580</v>
      </c>
      <c r="G67" s="144">
        <f>'Data Sheet'!I17</f>
        <v>61896</v>
      </c>
      <c r="H67" s="144">
        <f>'Data Sheet'!J17</f>
        <v>61328</v>
      </c>
      <c r="I67" s="144">
        <f>'Data Sheet'!K17</f>
        <v>64468</v>
      </c>
    </row>
    <row r="68" spans="2:9" x14ac:dyDescent="0.35">
      <c r="B68" s="229" t="s">
        <v>424</v>
      </c>
      <c r="C68" s="230">
        <f t="shared" ref="C68:I68" si="2">C66/C67</f>
        <v>0.16962018952819044</v>
      </c>
      <c r="D68" s="230">
        <f t="shared" si="2"/>
        <v>0.17000510334268945</v>
      </c>
      <c r="E68" s="230">
        <f t="shared" si="2"/>
        <v>0.16929794455249209</v>
      </c>
      <c r="F68" s="230">
        <f t="shared" si="2"/>
        <v>0.16705183228788378</v>
      </c>
      <c r="G68" s="230">
        <f t="shared" si="2"/>
        <v>0.16603657748481324</v>
      </c>
      <c r="H68" s="230">
        <f t="shared" si="2"/>
        <v>0.17364009913905556</v>
      </c>
      <c r="I68" s="230">
        <f t="shared" si="2"/>
        <v>0.23329403735186449</v>
      </c>
    </row>
    <row r="70" spans="2:9" x14ac:dyDescent="0.35">
      <c r="B70" t="s">
        <v>343</v>
      </c>
      <c r="C70" s="144">
        <f t="shared" ref="C70:I70" si="3">C67</f>
        <v>39783</v>
      </c>
      <c r="D70" s="144">
        <f t="shared" si="3"/>
        <v>47028</v>
      </c>
      <c r="E70" s="144">
        <f t="shared" si="3"/>
        <v>52446</v>
      </c>
      <c r="F70" s="144">
        <f t="shared" si="3"/>
        <v>60580</v>
      </c>
      <c r="G70" s="144">
        <f t="shared" si="3"/>
        <v>61896</v>
      </c>
      <c r="H70" s="144">
        <f t="shared" si="3"/>
        <v>61328</v>
      </c>
      <c r="I70" s="144">
        <f t="shared" si="3"/>
        <v>64468</v>
      </c>
    </row>
    <row r="71" spans="2:9" x14ac:dyDescent="0.35">
      <c r="B71" t="s">
        <v>425</v>
      </c>
      <c r="C71" s="144">
        <f>('Data Sheet'!E66+'Data Sheet'!D66)/2</f>
        <v>19391</v>
      </c>
      <c r="D71" s="144">
        <f>('Data Sheet'!F66+'Data Sheet'!E66)/2</f>
        <v>44446.5</v>
      </c>
      <c r="E71" s="144">
        <f>('Data Sheet'!G66+'Data Sheet'!F66)/2</f>
        <v>69623</v>
      </c>
      <c r="F71" s="144">
        <f>('Data Sheet'!H66+'Data Sheet'!G66)/2</f>
        <v>71791.5</v>
      </c>
      <c r="G71" s="144">
        <f>('Data Sheet'!I66+'Data Sheet'!H66)/2</f>
        <v>75783</v>
      </c>
      <c r="H71" s="144">
        <f>('Data Sheet'!J66+'Data Sheet'!I66)/2</f>
        <v>79176</v>
      </c>
      <c r="I71" s="144">
        <f>('Data Sheet'!K66+'Data Sheet'!J66)/2</f>
        <v>79800.5</v>
      </c>
    </row>
    <row r="72" spans="2:9" x14ac:dyDescent="0.35">
      <c r="B72" s="229" t="s">
        <v>426</v>
      </c>
      <c r="C72" s="231">
        <f t="shared" ref="C72:I72" si="4">C70/C71</f>
        <v>2.051621886442164</v>
      </c>
      <c r="D72" s="231">
        <f t="shared" si="4"/>
        <v>1.0580810637508016</v>
      </c>
      <c r="E72" s="231">
        <f t="shared" si="4"/>
        <v>0.75328555218821369</v>
      </c>
      <c r="F72" s="231">
        <f t="shared" si="4"/>
        <v>0.84383248713287784</v>
      </c>
      <c r="G72" s="231">
        <f t="shared" si="4"/>
        <v>0.81675309766042514</v>
      </c>
      <c r="H72" s="231">
        <f t="shared" si="4"/>
        <v>0.77457815499646354</v>
      </c>
      <c r="I72" s="231">
        <f t="shared" si="4"/>
        <v>0.80786461237711538</v>
      </c>
    </row>
    <row r="74" spans="2:9" x14ac:dyDescent="0.35">
      <c r="B74" t="s">
        <v>425</v>
      </c>
      <c r="C74" s="144">
        <f t="shared" ref="C74:I74" si="5">C71</f>
        <v>19391</v>
      </c>
      <c r="D74" s="144">
        <f t="shared" si="5"/>
        <v>44446.5</v>
      </c>
      <c r="E74" s="144">
        <f t="shared" si="5"/>
        <v>69623</v>
      </c>
      <c r="F74" s="144">
        <f t="shared" si="5"/>
        <v>71791.5</v>
      </c>
      <c r="G74" s="144">
        <f t="shared" si="5"/>
        <v>75783</v>
      </c>
      <c r="H74" s="144">
        <f t="shared" si="5"/>
        <v>79176</v>
      </c>
      <c r="I74" s="144">
        <f t="shared" si="5"/>
        <v>79800.5</v>
      </c>
    </row>
    <row r="75" spans="2:9" x14ac:dyDescent="0.35">
      <c r="B75" t="s">
        <v>422</v>
      </c>
      <c r="C75" s="144">
        <f t="shared" ref="C75:I75" si="6">C60</f>
        <v>8048</v>
      </c>
      <c r="D75" s="144">
        <f t="shared" si="6"/>
        <v>27951.5</v>
      </c>
      <c r="E75" s="144">
        <f t="shared" si="6"/>
        <v>48367.5</v>
      </c>
      <c r="F75" s="144">
        <f t="shared" si="6"/>
        <v>49682.5</v>
      </c>
      <c r="G75" s="144">
        <f t="shared" si="6"/>
        <v>50761</v>
      </c>
      <c r="H75" s="144">
        <f t="shared" si="6"/>
        <v>50310</v>
      </c>
      <c r="I75" s="144">
        <f t="shared" si="6"/>
        <v>49070.5</v>
      </c>
    </row>
    <row r="76" spans="2:9" x14ac:dyDescent="0.35">
      <c r="B76" s="229" t="s">
        <v>427</v>
      </c>
      <c r="C76" s="231">
        <f t="shared" ref="C76:I76" si="7">C74/C75</f>
        <v>2.4094184890656063</v>
      </c>
      <c r="D76" s="231">
        <f t="shared" si="7"/>
        <v>1.5901293311629072</v>
      </c>
      <c r="E76" s="231">
        <f t="shared" si="7"/>
        <v>1.4394583139504833</v>
      </c>
      <c r="F76" s="231">
        <f t="shared" si="7"/>
        <v>1.4450057867458361</v>
      </c>
      <c r="G76" s="231">
        <f t="shared" si="7"/>
        <v>1.4929374913811784</v>
      </c>
      <c r="H76" s="231">
        <f t="shared" si="7"/>
        <v>1.57376267143709</v>
      </c>
      <c r="I76" s="231">
        <f t="shared" si="7"/>
        <v>1.6262418357261492</v>
      </c>
    </row>
    <row r="79" spans="2:9" x14ac:dyDescent="0.35">
      <c r="B79" s="229" t="s">
        <v>431</v>
      </c>
      <c r="C79" s="230">
        <f t="shared" ref="C79:I79" si="8">C76*C72*C68</f>
        <v>0.83846918489065603</v>
      </c>
      <c r="D79" s="230">
        <f t="shared" si="8"/>
        <v>0.28603116111836574</v>
      </c>
      <c r="E79" s="230">
        <f t="shared" si="8"/>
        <v>0.18357368067400631</v>
      </c>
      <c r="F79" s="230">
        <f t="shared" si="8"/>
        <v>0.20369345342927589</v>
      </c>
      <c r="G79" s="230">
        <f t="shared" si="8"/>
        <v>0.20245858040621736</v>
      </c>
      <c r="H79" s="230">
        <f t="shared" si="8"/>
        <v>0.21166766050486979</v>
      </c>
      <c r="I79" s="230">
        <f t="shared" si="8"/>
        <v>0.30649779399027927</v>
      </c>
    </row>
    <row r="81" spans="2:9" x14ac:dyDescent="0.35">
      <c r="B81" s="247" t="s">
        <v>428</v>
      </c>
      <c r="C81" s="247"/>
      <c r="D81" s="247"/>
      <c r="E81" s="247"/>
      <c r="F81" s="247"/>
      <c r="G81" s="247"/>
      <c r="H81" s="247"/>
      <c r="I81" s="247"/>
    </row>
    <row r="82" spans="2:9" x14ac:dyDescent="0.35">
      <c r="C82" s="98">
        <f t="shared" ref="C82:I82" si="9">C58</f>
        <v>43921</v>
      </c>
      <c r="D82" s="98">
        <f t="shared" si="9"/>
        <v>44286</v>
      </c>
      <c r="E82" s="98">
        <f t="shared" si="9"/>
        <v>44651</v>
      </c>
      <c r="F82" s="98">
        <f t="shared" si="9"/>
        <v>45016</v>
      </c>
      <c r="G82" s="98">
        <f t="shared" si="9"/>
        <v>45382</v>
      </c>
      <c r="H82" s="98">
        <f t="shared" si="9"/>
        <v>45747</v>
      </c>
      <c r="I82" s="98">
        <f t="shared" si="9"/>
        <v>46112</v>
      </c>
    </row>
    <row r="83" spans="2:9" x14ac:dyDescent="0.35">
      <c r="B83" t="s">
        <v>175</v>
      </c>
      <c r="C83" s="144">
        <f t="shared" ref="C83:I83" si="10">C66</f>
        <v>6748</v>
      </c>
      <c r="D83" s="144">
        <f t="shared" si="10"/>
        <v>7995</v>
      </c>
      <c r="E83" s="144">
        <f t="shared" si="10"/>
        <v>8879</v>
      </c>
      <c r="F83" s="144">
        <f t="shared" si="10"/>
        <v>10120</v>
      </c>
      <c r="G83" s="144">
        <f t="shared" si="10"/>
        <v>10277</v>
      </c>
      <c r="H83" s="144">
        <f t="shared" si="10"/>
        <v>10649</v>
      </c>
      <c r="I83" s="144">
        <f t="shared" si="10"/>
        <v>15040</v>
      </c>
    </row>
    <row r="84" spans="2:9" x14ac:dyDescent="0.35">
      <c r="B84" t="s">
        <v>425</v>
      </c>
      <c r="C84" s="144">
        <f t="shared" ref="C84:I84" si="11">C71</f>
        <v>19391</v>
      </c>
      <c r="D84" s="144">
        <f t="shared" si="11"/>
        <v>44446.5</v>
      </c>
      <c r="E84" s="144">
        <f t="shared" si="11"/>
        <v>69623</v>
      </c>
      <c r="F84" s="144">
        <f t="shared" si="11"/>
        <v>71791.5</v>
      </c>
      <c r="G84" s="144">
        <f t="shared" si="11"/>
        <v>75783</v>
      </c>
      <c r="H84" s="144">
        <f t="shared" si="11"/>
        <v>79176</v>
      </c>
      <c r="I84" s="144">
        <f t="shared" si="11"/>
        <v>79800.5</v>
      </c>
    </row>
    <row r="85" spans="2:9" x14ac:dyDescent="0.35">
      <c r="B85" s="229" t="s">
        <v>429</v>
      </c>
      <c r="C85" s="230">
        <f t="shared" ref="C85:I85" si="12">C83/C84</f>
        <v>0.34799649321850346</v>
      </c>
      <c r="D85" s="230">
        <f t="shared" si="12"/>
        <v>0.17987918058789781</v>
      </c>
      <c r="E85" s="230">
        <f t="shared" si="12"/>
        <v>0.12752969564655359</v>
      </c>
      <c r="F85" s="230">
        <f t="shared" si="12"/>
        <v>0.14096376311958936</v>
      </c>
      <c r="G85" s="230">
        <f t="shared" si="12"/>
        <v>0.1356108889856564</v>
      </c>
      <c r="H85" s="230">
        <f t="shared" si="12"/>
        <v>0.13449782762453269</v>
      </c>
      <c r="I85" s="230">
        <f t="shared" si="12"/>
        <v>0.1884699970551563</v>
      </c>
    </row>
    <row r="87" spans="2:9" x14ac:dyDescent="0.35">
      <c r="B87" s="247" t="s">
        <v>430</v>
      </c>
      <c r="C87" s="247"/>
      <c r="D87" s="247"/>
      <c r="E87" s="247"/>
      <c r="F87" s="247"/>
      <c r="G87" s="247"/>
      <c r="H87" s="247"/>
      <c r="I87" s="247"/>
    </row>
    <row r="88" spans="2:9" x14ac:dyDescent="0.35">
      <c r="C88" s="98">
        <f t="shared" ref="C88:I88" si="13">C58</f>
        <v>43921</v>
      </c>
      <c r="D88" s="98">
        <f t="shared" si="13"/>
        <v>44286</v>
      </c>
      <c r="E88" s="98">
        <f t="shared" si="13"/>
        <v>44651</v>
      </c>
      <c r="F88" s="98">
        <f t="shared" si="13"/>
        <v>45016</v>
      </c>
      <c r="G88" s="98">
        <f t="shared" si="13"/>
        <v>45382</v>
      </c>
      <c r="H88" s="98">
        <f t="shared" si="13"/>
        <v>45747</v>
      </c>
      <c r="I88" s="98">
        <f t="shared" si="13"/>
        <v>46112</v>
      </c>
    </row>
    <row r="89" spans="2:9" x14ac:dyDescent="0.35">
      <c r="B89" t="s">
        <v>175</v>
      </c>
      <c r="C89" s="144">
        <f t="shared" ref="C89:I90" si="14">C66</f>
        <v>6748</v>
      </c>
      <c r="D89" s="144">
        <f t="shared" si="14"/>
        <v>7995</v>
      </c>
      <c r="E89" s="144">
        <f t="shared" si="14"/>
        <v>8879</v>
      </c>
      <c r="F89" s="144">
        <f t="shared" si="14"/>
        <v>10120</v>
      </c>
      <c r="G89" s="144">
        <f t="shared" si="14"/>
        <v>10277</v>
      </c>
      <c r="H89" s="144">
        <f t="shared" si="14"/>
        <v>10649</v>
      </c>
      <c r="I89" s="144">
        <f t="shared" si="14"/>
        <v>15040</v>
      </c>
    </row>
    <row r="90" spans="2:9" x14ac:dyDescent="0.35">
      <c r="B90" t="s">
        <v>343</v>
      </c>
      <c r="C90" s="144">
        <f t="shared" si="14"/>
        <v>39783</v>
      </c>
      <c r="D90" s="144">
        <f t="shared" si="14"/>
        <v>47028</v>
      </c>
      <c r="E90" s="144">
        <f t="shared" si="14"/>
        <v>52446</v>
      </c>
      <c r="F90" s="144">
        <f t="shared" si="14"/>
        <v>60580</v>
      </c>
      <c r="G90" s="144">
        <f t="shared" si="14"/>
        <v>61896</v>
      </c>
      <c r="H90" s="144">
        <f t="shared" si="14"/>
        <v>61328</v>
      </c>
      <c r="I90" s="144">
        <f t="shared" si="14"/>
        <v>64468</v>
      </c>
    </row>
    <row r="91" spans="2:9" x14ac:dyDescent="0.35">
      <c r="B91" s="229" t="s">
        <v>424</v>
      </c>
      <c r="C91" s="230">
        <f t="shared" ref="C91:I91" si="15">C89/C90</f>
        <v>0.16962018952819044</v>
      </c>
      <c r="D91" s="230">
        <f t="shared" si="15"/>
        <v>0.17000510334268945</v>
      </c>
      <c r="E91" s="230">
        <f t="shared" si="15"/>
        <v>0.16929794455249209</v>
      </c>
      <c r="F91" s="230">
        <f t="shared" si="15"/>
        <v>0.16705183228788378</v>
      </c>
      <c r="G91" s="230">
        <f t="shared" si="15"/>
        <v>0.16603657748481324</v>
      </c>
      <c r="H91" s="230">
        <f t="shared" si="15"/>
        <v>0.17364009913905556</v>
      </c>
      <c r="I91" s="230">
        <f t="shared" si="15"/>
        <v>0.23329403735186449</v>
      </c>
    </row>
    <row r="93" spans="2:9" x14ac:dyDescent="0.35">
      <c r="B93" t="s">
        <v>343</v>
      </c>
      <c r="C93" s="144">
        <f t="shared" ref="C93:I93" si="16">C90</f>
        <v>39783</v>
      </c>
      <c r="D93" s="144">
        <f t="shared" si="16"/>
        <v>47028</v>
      </c>
      <c r="E93" s="144">
        <f t="shared" si="16"/>
        <v>52446</v>
      </c>
      <c r="F93" s="144">
        <f t="shared" si="16"/>
        <v>60580</v>
      </c>
      <c r="G93" s="144">
        <f t="shared" si="16"/>
        <v>61896</v>
      </c>
      <c r="H93" s="144">
        <f t="shared" si="16"/>
        <v>61328</v>
      </c>
      <c r="I93" s="144">
        <f t="shared" si="16"/>
        <v>64468</v>
      </c>
    </row>
    <row r="94" spans="2:9" x14ac:dyDescent="0.35">
      <c r="B94" t="s">
        <v>425</v>
      </c>
      <c r="C94" s="144">
        <f t="shared" ref="C94:I94" si="17">C71</f>
        <v>19391</v>
      </c>
      <c r="D94" s="144">
        <f t="shared" si="17"/>
        <v>44446.5</v>
      </c>
      <c r="E94" s="144">
        <f t="shared" si="17"/>
        <v>69623</v>
      </c>
      <c r="F94" s="144">
        <f t="shared" si="17"/>
        <v>71791.5</v>
      </c>
      <c r="G94" s="144">
        <f t="shared" si="17"/>
        <v>75783</v>
      </c>
      <c r="H94" s="144">
        <f t="shared" si="17"/>
        <v>79176</v>
      </c>
      <c r="I94" s="144">
        <f t="shared" si="17"/>
        <v>79800.5</v>
      </c>
    </row>
    <row r="95" spans="2:9" x14ac:dyDescent="0.35">
      <c r="B95" s="229" t="s">
        <v>426</v>
      </c>
      <c r="C95" s="231">
        <f t="shared" ref="C95:I95" si="18">C93/C94</f>
        <v>2.051621886442164</v>
      </c>
      <c r="D95" s="231">
        <f t="shared" si="18"/>
        <v>1.0580810637508016</v>
      </c>
      <c r="E95" s="231">
        <f t="shared" si="18"/>
        <v>0.75328555218821369</v>
      </c>
      <c r="F95" s="231">
        <f t="shared" si="18"/>
        <v>0.84383248713287784</v>
      </c>
      <c r="G95" s="231">
        <f t="shared" si="18"/>
        <v>0.81675309766042514</v>
      </c>
      <c r="H95" s="231">
        <f t="shared" si="18"/>
        <v>0.77457815499646354</v>
      </c>
      <c r="I95" s="231">
        <f t="shared" si="18"/>
        <v>0.80786461237711538</v>
      </c>
    </row>
    <row r="97" spans="2:9" x14ac:dyDescent="0.35">
      <c r="B97" s="229" t="s">
        <v>432</v>
      </c>
      <c r="C97" s="230">
        <f t="shared" ref="C97:I97" si="19">C91*C95</f>
        <v>0.34799649321850346</v>
      </c>
      <c r="D97" s="230">
        <f t="shared" si="19"/>
        <v>0.17987918058789781</v>
      </c>
      <c r="E97" s="230">
        <f t="shared" si="19"/>
        <v>0.12752969564655359</v>
      </c>
      <c r="F97" s="230">
        <f t="shared" si="19"/>
        <v>0.14096376311958936</v>
      </c>
      <c r="G97" s="230">
        <f t="shared" si="19"/>
        <v>0.1356108889856564</v>
      </c>
      <c r="H97" s="230">
        <f t="shared" si="19"/>
        <v>0.13449782762453269</v>
      </c>
      <c r="I97" s="230">
        <f t="shared" si="19"/>
        <v>0.1884699970551563</v>
      </c>
    </row>
    <row r="98" spans="2:9" s="44" customFormat="1" x14ac:dyDescent="0.35">
      <c r="B98" s="162"/>
      <c r="C98" s="236"/>
      <c r="D98" s="236"/>
      <c r="E98" s="236"/>
      <c r="F98" s="236"/>
      <c r="G98" s="236"/>
      <c r="H98" s="236"/>
      <c r="I98" s="236"/>
    </row>
    <row r="99" spans="2:9" s="44" customFormat="1" x14ac:dyDescent="0.35">
      <c r="B99" s="162"/>
      <c r="C99" s="236"/>
      <c r="D99" s="236"/>
      <c r="E99" s="236"/>
      <c r="F99" s="236"/>
      <c r="G99" s="236"/>
      <c r="H99" s="236"/>
      <c r="I99" s="236"/>
    </row>
    <row r="100" spans="2:9" s="44" customFormat="1" x14ac:dyDescent="0.35">
      <c r="B100" s="162"/>
      <c r="C100" s="236"/>
      <c r="D100" s="236"/>
      <c r="E100" s="236"/>
      <c r="F100" s="236"/>
      <c r="G100" s="236"/>
      <c r="H100" s="236"/>
      <c r="I100" s="236"/>
    </row>
    <row r="101" spans="2:9" s="44" customFormat="1" x14ac:dyDescent="0.35">
      <c r="B101" s="162"/>
      <c r="C101" s="236"/>
      <c r="D101" s="236"/>
      <c r="E101" s="236"/>
      <c r="F101" s="236"/>
      <c r="G101" s="236"/>
      <c r="H101" s="236"/>
      <c r="I101" s="236"/>
    </row>
    <row r="102" spans="2:9" s="44" customFormat="1" x14ac:dyDescent="0.35">
      <c r="B102" s="162"/>
      <c r="C102" s="236"/>
      <c r="D102" s="236"/>
      <c r="E102" s="236"/>
      <c r="F102" s="236"/>
      <c r="G102" s="236"/>
      <c r="H102" s="236"/>
      <c r="I102" s="236"/>
    </row>
    <row r="103" spans="2:9" s="44" customFormat="1" x14ac:dyDescent="0.35">
      <c r="B103" s="162"/>
      <c r="C103" s="236"/>
      <c r="D103" s="236"/>
      <c r="E103" s="236"/>
      <c r="F103" s="236"/>
      <c r="G103" s="236"/>
      <c r="H103" s="236"/>
      <c r="I103" s="236"/>
    </row>
    <row r="104" spans="2:9" s="44" customFormat="1" x14ac:dyDescent="0.35">
      <c r="B104" s="162"/>
      <c r="C104" s="236"/>
      <c r="D104" s="236"/>
      <c r="E104" s="236"/>
      <c r="F104" s="236"/>
      <c r="G104" s="236"/>
      <c r="H104" s="236"/>
      <c r="I104" s="236"/>
    </row>
    <row r="105" spans="2:9" s="44" customFormat="1" x14ac:dyDescent="0.35">
      <c r="B105" s="162"/>
      <c r="C105" s="236"/>
      <c r="D105" s="236"/>
      <c r="E105" s="236"/>
      <c r="F105" s="236"/>
      <c r="G105" s="236"/>
      <c r="H105" s="236"/>
      <c r="I105" s="236"/>
    </row>
    <row r="106" spans="2:9" s="44" customFormat="1" x14ac:dyDescent="0.35">
      <c r="B106" s="162"/>
      <c r="C106" s="236"/>
      <c r="D106" s="236"/>
      <c r="E106" s="236"/>
      <c r="F106" s="236"/>
      <c r="G106" s="236"/>
      <c r="H106" s="236"/>
      <c r="I106" s="236"/>
    </row>
    <row r="107" spans="2:9" s="44" customFormat="1" x14ac:dyDescent="0.35">
      <c r="B107" s="162"/>
      <c r="C107" s="236"/>
      <c r="D107" s="236"/>
      <c r="E107" s="236"/>
      <c r="F107" s="236"/>
      <c r="G107" s="236"/>
      <c r="H107" s="236"/>
      <c r="I107" s="236"/>
    </row>
    <row r="108" spans="2:9" s="44" customFormat="1" x14ac:dyDescent="0.35">
      <c r="B108" s="162"/>
      <c r="C108" s="236"/>
      <c r="D108" s="236"/>
      <c r="E108" s="236"/>
      <c r="F108" s="236"/>
      <c r="G108" s="236"/>
      <c r="H108" s="236"/>
      <c r="I108" s="236"/>
    </row>
    <row r="109" spans="2:9" s="44" customFormat="1" x14ac:dyDescent="0.35">
      <c r="B109" s="162"/>
      <c r="C109" s="236"/>
      <c r="D109" s="236"/>
      <c r="E109" s="236"/>
      <c r="F109" s="236"/>
      <c r="G109" s="236"/>
      <c r="H109" s="236"/>
      <c r="I109" s="236"/>
    </row>
    <row r="110" spans="2:9" s="44" customFormat="1" x14ac:dyDescent="0.35">
      <c r="B110" s="162"/>
      <c r="C110" s="236"/>
      <c r="D110" s="236"/>
      <c r="E110" s="236"/>
      <c r="F110" s="236"/>
      <c r="G110" s="236"/>
      <c r="H110" s="236"/>
      <c r="I110" s="236"/>
    </row>
    <row r="111" spans="2:9" s="44" customFormat="1" ht="7" customHeight="1" x14ac:dyDescent="0.35">
      <c r="B111" s="162"/>
      <c r="C111" s="236"/>
      <c r="D111" s="236"/>
      <c r="E111" s="236"/>
      <c r="F111" s="236"/>
      <c r="G111" s="236"/>
      <c r="H111" s="236"/>
      <c r="I111" s="236"/>
    </row>
    <row r="112" spans="2:9" s="44" customFormat="1" ht="0.5" customHeight="1" x14ac:dyDescent="0.35">
      <c r="B112" s="162"/>
      <c r="C112" s="236"/>
      <c r="D112" s="236"/>
      <c r="E112" s="236"/>
      <c r="F112" s="236"/>
      <c r="G112" s="236"/>
      <c r="H112" s="236"/>
      <c r="I112" s="236"/>
    </row>
    <row r="113" spans="2:9" s="44" customFormat="1" x14ac:dyDescent="0.35">
      <c r="B113" s="228"/>
      <c r="C113" s="238"/>
      <c r="D113" s="238"/>
      <c r="E113" s="238"/>
      <c r="F113" s="238"/>
      <c r="G113" s="238"/>
      <c r="H113" s="238"/>
      <c r="I113" s="238"/>
    </row>
    <row r="114" spans="2:9" s="44" customFormat="1" x14ac:dyDescent="0.35">
      <c r="B114" s="162"/>
      <c r="C114" s="237"/>
      <c r="D114" s="237"/>
      <c r="E114" s="237"/>
      <c r="F114" s="237"/>
      <c r="G114" s="237"/>
      <c r="H114" s="237"/>
      <c r="I114" s="237"/>
    </row>
    <row r="115" spans="2:9" s="44" customFormat="1" x14ac:dyDescent="0.35">
      <c r="B115" s="162"/>
      <c r="C115" s="236"/>
      <c r="D115" s="236"/>
      <c r="E115" s="236"/>
      <c r="F115" s="236"/>
      <c r="G115" s="236"/>
      <c r="H115" s="236"/>
      <c r="I115" s="236"/>
    </row>
    <row r="149" s="44" customFormat="1" x14ac:dyDescent="0.35"/>
    <row r="155" s="44" customFormat="1" x14ac:dyDescent="0.35"/>
    <row r="170" spans="2:9" s="44" customFormat="1" x14ac:dyDescent="0.35"/>
    <row r="171" spans="2:9" s="44" customFormat="1" x14ac:dyDescent="0.35"/>
    <row r="172" spans="2:9" s="44" customFormat="1" x14ac:dyDescent="0.35"/>
    <row r="173" spans="2:9" s="44" customFormat="1" x14ac:dyDescent="0.35"/>
    <row r="174" spans="2:9" s="44" customFormat="1" x14ac:dyDescent="0.35">
      <c r="B174" s="162"/>
      <c r="C174" s="244"/>
      <c r="D174" s="244"/>
      <c r="E174" s="244"/>
      <c r="F174" s="244"/>
      <c r="G174" s="244"/>
      <c r="H174" s="244"/>
      <c r="I174" s="244"/>
    </row>
    <row r="175" spans="2:9" s="44" customFormat="1" x14ac:dyDescent="0.35"/>
    <row r="176" spans="2:9" s="44" customFormat="1" x14ac:dyDescent="0.35">
      <c r="B176" s="162"/>
      <c r="C176" s="236"/>
      <c r="D176" s="236"/>
      <c r="E176" s="236"/>
      <c r="F176" s="236"/>
      <c r="G176" s="236"/>
      <c r="H176" s="236"/>
      <c r="I176" s="236"/>
    </row>
  </sheetData>
  <mergeCells count="5">
    <mergeCell ref="B81:I81"/>
    <mergeCell ref="B87:I87"/>
    <mergeCell ref="B8:I14"/>
    <mergeCell ref="B57:I57"/>
    <mergeCell ref="B64:I64"/>
  </mergeCells>
  <printOptions horizontalCentered="1" verticalCentered="1"/>
  <pageMargins left="3.937007874015748E-2" right="3.937007874015748E-2" top="0.23622047244094491" bottom="0.23622047244094491" header="0.31496062992125984" footer="0.31496062992125984"/>
  <pageSetup scale="84" fitToHeight="0" orientation="portrait" r:id="rId1"/>
  <rowBreaks count="1" manualBreakCount="1">
    <brk id="51" max="8"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F92D-BF10-445A-8FA3-3D72D1D6E4FD}">
  <sheetPr>
    <pageSetUpPr fitToPage="1"/>
  </sheetPr>
  <dimension ref="B1:J63"/>
  <sheetViews>
    <sheetView showGridLines="0" zoomScale="81" zoomScaleNormal="81" workbookViewId="0">
      <selection activeCell="K39" sqref="K39"/>
    </sheetView>
  </sheetViews>
  <sheetFormatPr defaultRowHeight="14.5" x14ac:dyDescent="0.35"/>
  <cols>
    <col min="1" max="1" width="1.81640625" customWidth="1"/>
    <col min="2" max="2" width="58.26953125" bestFit="1" customWidth="1"/>
    <col min="3" max="9" width="9.26953125" bestFit="1" customWidth="1"/>
  </cols>
  <sheetData>
    <row r="1" spans="2:9" x14ac:dyDescent="0.35">
      <c r="B1" s="47"/>
      <c r="C1" s="47"/>
      <c r="D1" s="47"/>
      <c r="E1" s="47"/>
      <c r="F1" s="47"/>
      <c r="G1" s="47"/>
      <c r="H1" s="47"/>
      <c r="I1" s="47"/>
    </row>
    <row r="2" spans="2:9" ht="26" x14ac:dyDescent="0.6">
      <c r="B2" s="186" t="s">
        <v>289</v>
      </c>
    </row>
    <row r="3" spans="2:9" ht="18.5" x14ac:dyDescent="0.45">
      <c r="B3" s="188" t="s">
        <v>388</v>
      </c>
    </row>
    <row r="4" spans="2:9" ht="21" x14ac:dyDescent="0.5">
      <c r="B4" s="187" t="s">
        <v>389</v>
      </c>
    </row>
    <row r="5" spans="2:9" ht="18.5" x14ac:dyDescent="0.45">
      <c r="B5" s="188" t="s">
        <v>390</v>
      </c>
    </row>
    <row r="6" spans="2:9" x14ac:dyDescent="0.35">
      <c r="B6" s="205"/>
      <c r="C6" s="205"/>
    </row>
    <row r="8" spans="2:9" x14ac:dyDescent="0.35">
      <c r="B8" s="142"/>
      <c r="C8" s="142"/>
      <c r="D8" s="142"/>
      <c r="E8" s="142"/>
      <c r="F8" s="142"/>
      <c r="G8" s="142"/>
      <c r="H8" s="142"/>
      <c r="I8" s="142"/>
    </row>
    <row r="9" spans="2:9" ht="26" x14ac:dyDescent="0.6">
      <c r="B9" s="235" t="s">
        <v>435</v>
      </c>
      <c r="C9" s="44"/>
      <c r="D9" s="44"/>
      <c r="E9" s="44"/>
      <c r="F9" s="44"/>
      <c r="G9" s="44"/>
      <c r="H9" s="44"/>
      <c r="I9" s="44"/>
    </row>
    <row r="10" spans="2:9" ht="26" x14ac:dyDescent="0.6">
      <c r="B10" s="235"/>
      <c r="C10" s="44"/>
      <c r="D10" s="44"/>
      <c r="E10" s="44"/>
      <c r="F10" s="44"/>
      <c r="G10" s="44"/>
      <c r="H10" s="44"/>
      <c r="I10" s="44"/>
    </row>
    <row r="11" spans="2:9" ht="26" x14ac:dyDescent="0.6">
      <c r="B11" s="235"/>
      <c r="C11" s="44"/>
      <c r="D11" s="44"/>
      <c r="E11" s="44"/>
      <c r="F11" s="44"/>
      <c r="G11" s="44"/>
      <c r="H11" s="44"/>
      <c r="I11" s="44"/>
    </row>
    <row r="12" spans="2:9" ht="26" x14ac:dyDescent="0.6">
      <c r="B12" s="235"/>
      <c r="C12" s="44"/>
      <c r="D12" s="44"/>
      <c r="E12" s="44"/>
      <c r="F12" s="44"/>
      <c r="G12" s="44"/>
      <c r="H12" s="44"/>
      <c r="I12" s="44"/>
    </row>
    <row r="13" spans="2:9" ht="26" x14ac:dyDescent="0.6">
      <c r="B13" s="235"/>
      <c r="C13" s="44"/>
      <c r="D13" s="44"/>
      <c r="E13" s="44"/>
      <c r="F13" s="44"/>
      <c r="G13" s="44"/>
      <c r="H13" s="44"/>
      <c r="I13" s="44"/>
    </row>
    <row r="14" spans="2:9" ht="26" x14ac:dyDescent="0.6">
      <c r="B14" s="235"/>
      <c r="C14" s="44"/>
      <c r="D14" s="44"/>
      <c r="E14" s="44"/>
      <c r="F14" s="44"/>
      <c r="G14" s="44"/>
      <c r="H14" s="44"/>
      <c r="I14" s="44"/>
    </row>
    <row r="15" spans="2:9" ht="26" x14ac:dyDescent="0.6">
      <c r="B15" s="235"/>
      <c r="C15" s="44"/>
      <c r="D15" s="44"/>
      <c r="E15" s="44"/>
      <c r="F15" s="44"/>
      <c r="G15" s="44"/>
      <c r="H15" s="44"/>
      <c r="I15" s="44"/>
    </row>
    <row r="16" spans="2:9" ht="26" x14ac:dyDescent="0.6">
      <c r="B16" s="235"/>
      <c r="C16" s="44"/>
      <c r="D16" s="44"/>
      <c r="E16" s="44"/>
      <c r="F16" s="44"/>
      <c r="G16" s="44"/>
      <c r="H16" s="44"/>
      <c r="I16" s="44"/>
    </row>
    <row r="17" spans="2:9" ht="26" x14ac:dyDescent="0.6">
      <c r="B17" s="235"/>
      <c r="C17" s="44"/>
      <c r="D17" s="44"/>
      <c r="E17" s="44"/>
      <c r="F17" s="44"/>
      <c r="G17" s="44"/>
      <c r="H17" s="44"/>
      <c r="I17" s="44"/>
    </row>
    <row r="18" spans="2:9" ht="26" x14ac:dyDescent="0.6">
      <c r="B18" s="235"/>
      <c r="C18" s="44"/>
      <c r="D18" s="44"/>
      <c r="E18" s="44"/>
      <c r="F18" s="44"/>
      <c r="G18" s="44"/>
      <c r="H18" s="44"/>
      <c r="I18" s="44"/>
    </row>
    <row r="19" spans="2:9" ht="26" x14ac:dyDescent="0.6">
      <c r="B19" s="235"/>
      <c r="C19" s="44"/>
      <c r="D19" s="44"/>
      <c r="E19" s="44"/>
      <c r="F19" s="44"/>
      <c r="G19" s="44"/>
      <c r="H19" s="44"/>
      <c r="I19" s="44"/>
    </row>
    <row r="20" spans="2:9" ht="26" x14ac:dyDescent="0.6">
      <c r="B20" s="235"/>
      <c r="C20" s="44"/>
      <c r="D20" s="44"/>
      <c r="E20" s="44"/>
      <c r="F20" s="44"/>
      <c r="G20" s="44"/>
      <c r="H20" s="44"/>
      <c r="I20" s="44"/>
    </row>
    <row r="21" spans="2:9" ht="26" x14ac:dyDescent="0.6">
      <c r="B21" s="235"/>
      <c r="C21" s="44"/>
      <c r="D21" s="44"/>
      <c r="E21" s="44"/>
      <c r="F21" s="44"/>
      <c r="G21" s="44"/>
      <c r="H21" s="44"/>
      <c r="I21" s="44"/>
    </row>
    <row r="22" spans="2:9" ht="26" x14ac:dyDescent="0.6">
      <c r="B22" s="235"/>
      <c r="C22" s="44"/>
      <c r="D22" s="44"/>
      <c r="E22" s="44"/>
      <c r="F22" s="44"/>
      <c r="G22" s="44"/>
      <c r="H22" s="44"/>
      <c r="I22" s="44"/>
    </row>
    <row r="23" spans="2:9" ht="26" x14ac:dyDescent="0.6">
      <c r="B23" s="235"/>
      <c r="C23" s="44"/>
      <c r="D23" s="44"/>
      <c r="E23" s="44"/>
      <c r="F23" s="44"/>
      <c r="G23" s="44"/>
      <c r="H23" s="44"/>
      <c r="I23" s="44"/>
    </row>
    <row r="24" spans="2:9" ht="26" x14ac:dyDescent="0.6">
      <c r="B24" s="235"/>
      <c r="C24" s="44"/>
      <c r="D24" s="44"/>
      <c r="E24" s="44"/>
      <c r="F24" s="44"/>
      <c r="G24" s="44"/>
      <c r="H24" s="44"/>
      <c r="I24" s="44"/>
    </row>
    <row r="25" spans="2:9" x14ac:dyDescent="0.35">
      <c r="B25" s="247" t="s">
        <v>437</v>
      </c>
      <c r="C25" s="247"/>
      <c r="D25" s="247"/>
      <c r="E25" s="247"/>
      <c r="F25" s="247"/>
      <c r="G25" s="247"/>
      <c r="H25" s="247"/>
      <c r="I25" s="247"/>
    </row>
    <row r="26" spans="2:9" x14ac:dyDescent="0.35">
      <c r="C26" s="98">
        <f>'Dupont Analysis'!C88</f>
        <v>43921</v>
      </c>
      <c r="D26" s="98">
        <f>'Dupont Analysis'!D88</f>
        <v>44286</v>
      </c>
      <c r="E26" s="98">
        <f>'Dupont Analysis'!E88</f>
        <v>44651</v>
      </c>
      <c r="F26" s="98">
        <f>'Dupont Analysis'!F88</f>
        <v>45016</v>
      </c>
      <c r="G26" s="98">
        <f>'Dupont Analysis'!G88</f>
        <v>45382</v>
      </c>
      <c r="H26" s="98">
        <f>'Dupont Analysis'!H88</f>
        <v>45747</v>
      </c>
      <c r="I26" s="98">
        <f>'Dupont Analysis'!I88</f>
        <v>46112</v>
      </c>
    </row>
    <row r="27" spans="2:9" x14ac:dyDescent="0.35">
      <c r="B27" t="s">
        <v>436</v>
      </c>
      <c r="C27" s="144">
        <f>'Data Sheet'!E65-'Data Sheet'!E60</f>
        <v>898</v>
      </c>
      <c r="D27" s="144">
        <f>'Data Sheet'!F65-'Data Sheet'!F60</f>
        <v>-7223</v>
      </c>
      <c r="E27" s="144">
        <f>'Data Sheet'!G65-'Data Sheet'!G60</f>
        <v>-6203</v>
      </c>
      <c r="F27" s="144">
        <f>'Data Sheet'!H65-'Data Sheet'!H60</f>
        <v>-5169</v>
      </c>
      <c r="G27" s="144">
        <f>'Data Sheet'!I65-'Data Sheet'!I60</f>
        <v>-6692</v>
      </c>
      <c r="H27" s="144">
        <f>'Data Sheet'!J65-'Data Sheet'!J60</f>
        <v>-8104</v>
      </c>
      <c r="I27" s="144">
        <f>'Data Sheet'!K65-'Data Sheet'!K60</f>
        <v>-12450</v>
      </c>
    </row>
    <row r="28" spans="2:9" x14ac:dyDescent="0.35">
      <c r="B28" t="s">
        <v>137</v>
      </c>
      <c r="C28" s="144">
        <f>'Data Sheet'!E66</f>
        <v>20153</v>
      </c>
      <c r="D28" s="144">
        <f>'Data Sheet'!F66</f>
        <v>68740</v>
      </c>
      <c r="E28" s="144">
        <f>'Data Sheet'!G66</f>
        <v>70506</v>
      </c>
      <c r="F28" s="144">
        <f>'Data Sheet'!H66</f>
        <v>73077</v>
      </c>
      <c r="G28" s="144">
        <f>'Data Sheet'!I66</f>
        <v>78489</v>
      </c>
      <c r="H28" s="144">
        <f>'Data Sheet'!J66</f>
        <v>79863</v>
      </c>
      <c r="I28" s="144">
        <f>'Data Sheet'!K66</f>
        <v>79738</v>
      </c>
    </row>
    <row r="29" spans="2:9" x14ac:dyDescent="0.35">
      <c r="B29" s="229" t="s">
        <v>443</v>
      </c>
      <c r="C29" s="230">
        <f t="shared" ref="C29:I29" si="0">C27/C28</f>
        <v>4.4559122711258871E-2</v>
      </c>
      <c r="D29" s="230">
        <f t="shared" si="0"/>
        <v>-0.1050771021239453</v>
      </c>
      <c r="E29" s="230">
        <f t="shared" si="0"/>
        <v>-8.7978328085553004E-2</v>
      </c>
      <c r="F29" s="230">
        <f t="shared" si="0"/>
        <v>-7.0733609754094998E-2</v>
      </c>
      <c r="G29" s="230">
        <f t="shared" si="0"/>
        <v>-8.5260354954197398E-2</v>
      </c>
      <c r="H29" s="230">
        <f t="shared" si="0"/>
        <v>-0.10147377383769705</v>
      </c>
      <c r="I29" s="230">
        <f t="shared" si="0"/>
        <v>-0.1561363465349018</v>
      </c>
    </row>
    <row r="32" spans="2:9" x14ac:dyDescent="0.35">
      <c r="B32" s="247" t="s">
        <v>438</v>
      </c>
      <c r="C32" s="247"/>
      <c r="D32" s="247"/>
      <c r="E32" s="247"/>
      <c r="F32" s="247"/>
      <c r="G32" s="247"/>
      <c r="H32" s="247"/>
      <c r="I32" s="247"/>
    </row>
    <row r="33" spans="2:10" x14ac:dyDescent="0.35">
      <c r="C33" s="98">
        <f t="shared" ref="C33:I33" si="1">C26</f>
        <v>43921</v>
      </c>
      <c r="D33" s="98">
        <f t="shared" si="1"/>
        <v>44286</v>
      </c>
      <c r="E33" s="98">
        <f t="shared" si="1"/>
        <v>44651</v>
      </c>
      <c r="F33" s="98">
        <f t="shared" si="1"/>
        <v>45016</v>
      </c>
      <c r="G33" s="98">
        <f t="shared" si="1"/>
        <v>45382</v>
      </c>
      <c r="H33" s="98">
        <f t="shared" si="1"/>
        <v>45747</v>
      </c>
      <c r="I33" s="98">
        <f t="shared" si="1"/>
        <v>46112</v>
      </c>
    </row>
    <row r="34" spans="2:10" x14ac:dyDescent="0.35">
      <c r="B34" t="s">
        <v>168</v>
      </c>
      <c r="C34" s="144">
        <f>'Data Sheet'!E58</f>
        <v>8013</v>
      </c>
      <c r="D34" s="144">
        <f>'Data Sheet'!F58</f>
        <v>47439</v>
      </c>
      <c r="E34" s="144">
        <f>'Data Sheet'!G58</f>
        <v>48826</v>
      </c>
      <c r="F34" s="144">
        <f>'Data Sheet'!H58</f>
        <v>50069</v>
      </c>
      <c r="G34" s="144">
        <f>'Data Sheet'!I58</f>
        <v>50983</v>
      </c>
      <c r="H34" s="144">
        <f>'Data Sheet'!J58</f>
        <v>49167</v>
      </c>
      <c r="I34" s="144">
        <f>'Data Sheet'!K58</f>
        <v>48504</v>
      </c>
    </row>
    <row r="35" spans="2:10" x14ac:dyDescent="0.35">
      <c r="B35" t="s">
        <v>137</v>
      </c>
      <c r="C35" s="144">
        <f t="shared" ref="C35:I35" si="2">C28</f>
        <v>20153</v>
      </c>
      <c r="D35" s="144">
        <f t="shared" si="2"/>
        <v>68740</v>
      </c>
      <c r="E35" s="144">
        <f t="shared" si="2"/>
        <v>70506</v>
      </c>
      <c r="F35" s="144">
        <f t="shared" si="2"/>
        <v>73077</v>
      </c>
      <c r="G35" s="144">
        <f t="shared" si="2"/>
        <v>78489</v>
      </c>
      <c r="H35" s="144">
        <f t="shared" si="2"/>
        <v>79863</v>
      </c>
      <c r="I35" s="144">
        <f t="shared" si="2"/>
        <v>79738</v>
      </c>
    </row>
    <row r="36" spans="2:10" x14ac:dyDescent="0.35">
      <c r="B36" s="229" t="s">
        <v>444</v>
      </c>
      <c r="C36" s="230">
        <f t="shared" ref="C36:I36" si="3">C34/C35</f>
        <v>0.39760829653153379</v>
      </c>
      <c r="D36" s="230">
        <f t="shared" si="3"/>
        <v>0.69012219959266807</v>
      </c>
      <c r="E36" s="230">
        <f t="shared" si="3"/>
        <v>0.69250843899809944</v>
      </c>
      <c r="F36" s="230">
        <f t="shared" si="3"/>
        <v>0.68515401562735201</v>
      </c>
      <c r="G36" s="230">
        <f t="shared" si="3"/>
        <v>0.64955598873727527</v>
      </c>
      <c r="H36" s="230">
        <f t="shared" si="3"/>
        <v>0.6156417865594831</v>
      </c>
      <c r="I36" s="230">
        <f t="shared" si="3"/>
        <v>0.60829215681356441</v>
      </c>
    </row>
    <row r="37" spans="2:10" x14ac:dyDescent="0.35">
      <c r="B37" s="162"/>
      <c r="C37" s="236"/>
      <c r="D37" s="236"/>
      <c r="E37" s="236"/>
      <c r="F37" s="236"/>
      <c r="G37" s="236"/>
      <c r="H37" s="236"/>
      <c r="I37" s="236"/>
    </row>
    <row r="38" spans="2:10" x14ac:dyDescent="0.35">
      <c r="B38" s="247" t="s">
        <v>439</v>
      </c>
      <c r="C38" s="247"/>
      <c r="D38" s="247"/>
      <c r="E38" s="247"/>
      <c r="F38" s="247"/>
      <c r="G38" s="247"/>
      <c r="H38" s="247"/>
      <c r="I38" s="247"/>
    </row>
    <row r="39" spans="2:10" x14ac:dyDescent="0.35">
      <c r="B39" s="165"/>
      <c r="C39" s="245">
        <f t="shared" ref="C39:I39" si="4">C33</f>
        <v>43921</v>
      </c>
      <c r="D39" s="245">
        <f t="shared" si="4"/>
        <v>44286</v>
      </c>
      <c r="E39" s="245">
        <f t="shared" si="4"/>
        <v>44651</v>
      </c>
      <c r="F39" s="245">
        <f t="shared" si="4"/>
        <v>45016</v>
      </c>
      <c r="G39" s="245">
        <f t="shared" si="4"/>
        <v>45382</v>
      </c>
      <c r="H39" s="245">
        <f t="shared" si="4"/>
        <v>45747</v>
      </c>
      <c r="I39" s="245">
        <f t="shared" si="4"/>
        <v>46112</v>
      </c>
      <c r="J39" s="44"/>
    </row>
    <row r="40" spans="2:10" x14ac:dyDescent="0.35">
      <c r="B40" t="s">
        <v>295</v>
      </c>
      <c r="C40" s="144">
        <f>HistoricalFS!F23-HistoricalFS!F29</f>
        <v>8859</v>
      </c>
      <c r="D40" s="144">
        <f>HistoricalFS!G23-HistoricalFS!G29</f>
        <v>10552</v>
      </c>
      <c r="E40" s="144">
        <f>HistoricalFS!H23-HistoricalFS!H29</f>
        <v>11766</v>
      </c>
      <c r="F40" s="144">
        <f>HistoricalFS!I23-HistoricalFS!I29</f>
        <v>13010</v>
      </c>
      <c r="G40" s="144">
        <f>HistoricalFS!J23-HistoricalFS!J29</f>
        <v>13443</v>
      </c>
      <c r="H40" s="144">
        <f>HistoricalFS!K23-HistoricalFS!K29</f>
        <v>13445</v>
      </c>
      <c r="I40" s="144">
        <f>HistoricalFS!L23-HistoricalFS!L29</f>
        <v>13706</v>
      </c>
    </row>
    <row r="41" spans="2:10" x14ac:dyDescent="0.35">
      <c r="B41" t="s">
        <v>260</v>
      </c>
      <c r="C41" s="144">
        <f t="shared" ref="C41:I41" si="5">C35</f>
        <v>20153</v>
      </c>
      <c r="D41" s="144">
        <f t="shared" si="5"/>
        <v>68740</v>
      </c>
      <c r="E41" s="144">
        <f t="shared" si="5"/>
        <v>70506</v>
      </c>
      <c r="F41" s="144">
        <f t="shared" si="5"/>
        <v>73077</v>
      </c>
      <c r="G41" s="144">
        <f t="shared" si="5"/>
        <v>78489</v>
      </c>
      <c r="H41" s="144">
        <f t="shared" si="5"/>
        <v>79863</v>
      </c>
      <c r="I41" s="144">
        <f t="shared" si="5"/>
        <v>79738</v>
      </c>
    </row>
    <row r="42" spans="2:10" x14ac:dyDescent="0.35">
      <c r="B42" s="229" t="s">
        <v>445</v>
      </c>
      <c r="C42" s="231">
        <f t="shared" ref="C42:I42" si="6">C40/C41</f>
        <v>0.43958715823946809</v>
      </c>
      <c r="D42" s="231">
        <f t="shared" si="6"/>
        <v>0.15350596450392784</v>
      </c>
      <c r="E42" s="231">
        <f t="shared" si="6"/>
        <v>0.16687941451791338</v>
      </c>
      <c r="F42" s="231">
        <f t="shared" si="6"/>
        <v>0.17803139154590364</v>
      </c>
      <c r="G42" s="231">
        <f t="shared" si="6"/>
        <v>0.171272407598517</v>
      </c>
      <c r="H42" s="231">
        <f t="shared" si="6"/>
        <v>0.16835080074627801</v>
      </c>
      <c r="I42" s="231">
        <f t="shared" si="6"/>
        <v>0.17188793298051117</v>
      </c>
    </row>
    <row r="44" spans="2:10" x14ac:dyDescent="0.35">
      <c r="B44" s="247" t="s">
        <v>440</v>
      </c>
      <c r="C44" s="247"/>
      <c r="D44" s="247"/>
      <c r="E44" s="247"/>
      <c r="F44" s="247"/>
      <c r="G44" s="247"/>
      <c r="H44" s="247"/>
      <c r="I44" s="247"/>
    </row>
    <row r="45" spans="2:10" x14ac:dyDescent="0.35">
      <c r="B45" s="13"/>
      <c r="C45" s="245">
        <f t="shared" ref="C45:I45" si="7">C39</f>
        <v>43921</v>
      </c>
      <c r="D45" s="245">
        <f t="shared" si="7"/>
        <v>44286</v>
      </c>
      <c r="E45" s="245">
        <f t="shared" si="7"/>
        <v>44651</v>
      </c>
      <c r="F45" s="245">
        <f t="shared" si="7"/>
        <v>45016</v>
      </c>
      <c r="G45" s="245">
        <f t="shared" si="7"/>
        <v>45382</v>
      </c>
      <c r="H45" s="245">
        <f t="shared" si="7"/>
        <v>45747</v>
      </c>
      <c r="I45" s="245">
        <f t="shared" si="7"/>
        <v>46112</v>
      </c>
      <c r="J45" s="44"/>
    </row>
    <row r="46" spans="2:10" x14ac:dyDescent="0.35">
      <c r="B46" t="s">
        <v>362</v>
      </c>
      <c r="C46" s="144">
        <f>'Data Sheet'!E90*'Data Sheet'!E70</f>
        <v>475163.27999999997</v>
      </c>
      <c r="D46" s="144">
        <f>'Data Sheet'!F90*'Data Sheet'!F70</f>
        <v>546873.19999999995</v>
      </c>
      <c r="E46" s="144">
        <f>'Data Sheet'!G90*'Data Sheet'!G70</f>
        <v>460764.5</v>
      </c>
      <c r="F46" s="144">
        <f>'Data Sheet'!H90*'Data Sheet'!H70</f>
        <v>575853.4</v>
      </c>
      <c r="G46" s="144">
        <f>'Data Sheet'!I90*'Data Sheet'!I70</f>
        <v>509277.89999999997</v>
      </c>
      <c r="H46" s="144">
        <f>'Data Sheet'!J90*'Data Sheet'!J70</f>
        <v>508041.80000000005</v>
      </c>
      <c r="I46" s="144">
        <f>'Data Sheet'!K90*'Data Sheet'!K70</f>
        <v>482971.99999999994</v>
      </c>
    </row>
    <row r="47" spans="2:10" x14ac:dyDescent="0.35">
      <c r="B47" t="s">
        <v>114</v>
      </c>
      <c r="C47" s="144">
        <f>HistoricalFS!F58</f>
        <v>20153</v>
      </c>
      <c r="D47" s="144">
        <f>HistoricalFS!G58</f>
        <v>68740</v>
      </c>
      <c r="E47" s="144">
        <f>HistoricalFS!H58</f>
        <v>70506</v>
      </c>
      <c r="F47" s="144">
        <f>HistoricalFS!I58</f>
        <v>73077</v>
      </c>
      <c r="G47" s="144">
        <f>HistoricalFS!J58</f>
        <v>78489</v>
      </c>
      <c r="H47" s="144">
        <f>HistoricalFS!K58</f>
        <v>79863</v>
      </c>
      <c r="I47" s="144">
        <f>HistoricalFS!L58</f>
        <v>79738</v>
      </c>
    </row>
    <row r="48" spans="2:10" x14ac:dyDescent="0.35">
      <c r="B48" s="229" t="s">
        <v>446</v>
      </c>
      <c r="C48" s="232">
        <f t="shared" ref="C48:I48" si="8">C46/C47</f>
        <v>23.577793876842154</v>
      </c>
      <c r="D48" s="232">
        <f t="shared" si="8"/>
        <v>7.9556764620308398</v>
      </c>
      <c r="E48" s="232">
        <f t="shared" si="8"/>
        <v>6.5351104870507477</v>
      </c>
      <c r="F48" s="232">
        <f t="shared" si="8"/>
        <v>7.8800908630622502</v>
      </c>
      <c r="G48" s="232">
        <f t="shared" si="8"/>
        <v>6.4885257806826431</v>
      </c>
      <c r="H48" s="232">
        <f t="shared" si="8"/>
        <v>6.3614164256288896</v>
      </c>
      <c r="I48" s="232">
        <f t="shared" si="8"/>
        <v>6.056986631217236</v>
      </c>
    </row>
    <row r="50" spans="2:10" x14ac:dyDescent="0.35">
      <c r="B50" s="247" t="s">
        <v>441</v>
      </c>
      <c r="C50" s="247"/>
      <c r="D50" s="247"/>
      <c r="E50" s="247"/>
      <c r="F50" s="247"/>
      <c r="G50" s="247"/>
      <c r="H50" s="247"/>
      <c r="I50" s="247"/>
    </row>
    <row r="51" spans="2:10" x14ac:dyDescent="0.35">
      <c r="C51" s="98">
        <f t="shared" ref="C51:I51" si="9">C26</f>
        <v>43921</v>
      </c>
      <c r="D51" s="98">
        <f t="shared" si="9"/>
        <v>44286</v>
      </c>
      <c r="E51" s="98">
        <f t="shared" si="9"/>
        <v>44651</v>
      </c>
      <c r="F51" s="98">
        <f t="shared" si="9"/>
        <v>45016</v>
      </c>
      <c r="G51" s="98">
        <f t="shared" si="9"/>
        <v>45382</v>
      </c>
      <c r="H51" s="98">
        <f t="shared" si="9"/>
        <v>45747</v>
      </c>
      <c r="I51" s="98">
        <f t="shared" si="9"/>
        <v>46112</v>
      </c>
    </row>
    <row r="52" spans="2:10" x14ac:dyDescent="0.35">
      <c r="B52" t="s">
        <v>194</v>
      </c>
      <c r="C52" s="144">
        <f>'Data Sheet'!E17</f>
        <v>39783</v>
      </c>
      <c r="D52" s="144">
        <f>'Data Sheet'!F17</f>
        <v>47028</v>
      </c>
      <c r="E52" s="144">
        <f>'Data Sheet'!G17</f>
        <v>52446</v>
      </c>
      <c r="F52" s="144">
        <f>'Data Sheet'!H17</f>
        <v>60580</v>
      </c>
      <c r="G52" s="144">
        <f>'Data Sheet'!I17</f>
        <v>61896</v>
      </c>
      <c r="H52" s="144">
        <f>'Data Sheet'!J17</f>
        <v>61328</v>
      </c>
      <c r="I52" s="144">
        <f>'Data Sheet'!K17</f>
        <v>64468</v>
      </c>
    </row>
    <row r="53" spans="2:10" x14ac:dyDescent="0.35">
      <c r="B53" t="s">
        <v>260</v>
      </c>
      <c r="C53" s="144">
        <f t="shared" ref="C53:I53" si="10">C35</f>
        <v>20153</v>
      </c>
      <c r="D53" s="144">
        <f t="shared" si="10"/>
        <v>68740</v>
      </c>
      <c r="E53" s="144">
        <f t="shared" si="10"/>
        <v>70506</v>
      </c>
      <c r="F53" s="144">
        <f t="shared" si="10"/>
        <v>73077</v>
      </c>
      <c r="G53" s="144">
        <f t="shared" si="10"/>
        <v>78489</v>
      </c>
      <c r="H53" s="144">
        <f t="shared" si="10"/>
        <v>79863</v>
      </c>
      <c r="I53" s="144">
        <f t="shared" si="10"/>
        <v>79738</v>
      </c>
    </row>
    <row r="54" spans="2:10" x14ac:dyDescent="0.35">
      <c r="B54" s="229" t="s">
        <v>447</v>
      </c>
      <c r="C54" s="232">
        <f t="shared" ref="C54:I54" si="11">C52/C53</f>
        <v>1.974048528755024</v>
      </c>
      <c r="D54" s="232">
        <f t="shared" si="11"/>
        <v>0.68414314809426824</v>
      </c>
      <c r="E54" s="232">
        <f t="shared" si="11"/>
        <v>0.74385158709897026</v>
      </c>
      <c r="F54" s="232">
        <f t="shared" si="11"/>
        <v>0.82898860106463046</v>
      </c>
      <c r="G54" s="232">
        <f t="shared" si="11"/>
        <v>0.78859458013224781</v>
      </c>
      <c r="H54" s="232">
        <f t="shared" si="11"/>
        <v>0.76791505453088416</v>
      </c>
      <c r="I54" s="232">
        <f t="shared" si="11"/>
        <v>0.80849783039454215</v>
      </c>
    </row>
    <row r="56" spans="2:10" x14ac:dyDescent="0.35">
      <c r="B56" s="247" t="s">
        <v>442</v>
      </c>
      <c r="C56" s="247"/>
      <c r="D56" s="247"/>
      <c r="E56" s="247"/>
      <c r="F56" s="247"/>
      <c r="G56" s="247"/>
      <c r="H56" s="247"/>
      <c r="I56" s="247"/>
    </row>
    <row r="57" spans="2:10" x14ac:dyDescent="0.35">
      <c r="C57" s="98">
        <f t="shared" ref="C57:I57" si="12">C51</f>
        <v>43921</v>
      </c>
      <c r="D57" s="98">
        <f t="shared" si="12"/>
        <v>44286</v>
      </c>
      <c r="E57" s="98">
        <f t="shared" si="12"/>
        <v>44651</v>
      </c>
      <c r="F57" s="98">
        <f t="shared" si="12"/>
        <v>45016</v>
      </c>
      <c r="G57" s="98">
        <f t="shared" si="12"/>
        <v>45382</v>
      </c>
      <c r="H57" s="98">
        <f t="shared" si="12"/>
        <v>45747</v>
      </c>
      <c r="I57" s="98">
        <f t="shared" si="12"/>
        <v>46112</v>
      </c>
    </row>
    <row r="58" spans="2:10" x14ac:dyDescent="0.35">
      <c r="B58" s="199" t="s">
        <v>448</v>
      </c>
      <c r="C58" s="144">
        <f t="shared" ref="C58:I58" si="13">(C29*1.2)+(C36*1.4)+(C42*3.3)+(C48*0.6)+(C54*1)</f>
        <v>18.181485039448216</v>
      </c>
      <c r="D58" s="144">
        <f t="shared" si="13"/>
        <v>6.8041972650567342</v>
      </c>
      <c r="E58" s="144">
        <f t="shared" si="13"/>
        <v>6.0795577681332089</v>
      </c>
      <c r="F58" s="144">
        <f t="shared" si="13"/>
        <v>7.0188820011768414</v>
      </c>
      <c r="G58" s="144">
        <f t="shared" si="13"/>
        <v>6.0539749519040882</v>
      </c>
      <c r="H58" s="144">
        <f t="shared" si="13"/>
        <v>5.880452524948975</v>
      </c>
      <c r="I58" s="144">
        <f t="shared" si="13"/>
        <v>5.6741653916576791</v>
      </c>
    </row>
    <row r="59" spans="2:10" x14ac:dyDescent="0.35">
      <c r="B59" s="3" t="s">
        <v>449</v>
      </c>
      <c r="C59" s="242" t="str">
        <f t="shared" ref="C59:I59" si="14">IF(C58&lt;1.81, "Distressed", IF(C58&gt;3, "Strong","Grey Zone"))</f>
        <v>Strong</v>
      </c>
      <c r="D59" s="242" t="str">
        <f t="shared" si="14"/>
        <v>Strong</v>
      </c>
      <c r="E59" s="242" t="str">
        <f t="shared" si="14"/>
        <v>Strong</v>
      </c>
      <c r="F59" s="242" t="str">
        <f t="shared" si="14"/>
        <v>Strong</v>
      </c>
      <c r="G59" s="242" t="str">
        <f t="shared" si="14"/>
        <v>Strong</v>
      </c>
      <c r="H59" s="242" t="str">
        <f t="shared" si="14"/>
        <v>Strong</v>
      </c>
      <c r="I59" s="242" t="str">
        <f t="shared" si="14"/>
        <v>Strong</v>
      </c>
    </row>
    <row r="60" spans="2:10" x14ac:dyDescent="0.35">
      <c r="B60" s="162"/>
      <c r="C60" s="236"/>
      <c r="D60" s="236"/>
      <c r="E60" s="236"/>
      <c r="F60" s="236"/>
      <c r="G60" s="236"/>
      <c r="H60" s="236"/>
      <c r="I60" s="236"/>
      <c r="J60" s="44"/>
    </row>
    <row r="61" spans="2:10" x14ac:dyDescent="0.35">
      <c r="B61" s="44"/>
      <c r="C61" s="44"/>
      <c r="D61" s="44"/>
      <c r="E61" s="44"/>
      <c r="F61" s="44"/>
      <c r="G61" s="44"/>
      <c r="H61" s="44"/>
      <c r="I61" s="44"/>
      <c r="J61" s="44"/>
    </row>
    <row r="62" spans="2:10" x14ac:dyDescent="0.35">
      <c r="B62" s="44"/>
      <c r="C62" s="243"/>
      <c r="D62" s="243"/>
      <c r="E62" s="243"/>
      <c r="F62" s="243"/>
      <c r="G62" s="243"/>
      <c r="H62" s="243"/>
      <c r="I62" s="243"/>
      <c r="J62" s="44"/>
    </row>
    <row r="63" spans="2:10" x14ac:dyDescent="0.35">
      <c r="B63" s="247"/>
      <c r="C63" s="247"/>
      <c r="D63" s="247"/>
      <c r="E63" s="247"/>
      <c r="F63" s="247"/>
      <c r="G63" s="247"/>
      <c r="H63" s="247"/>
      <c r="I63" s="247"/>
      <c r="J63" s="44"/>
    </row>
  </sheetData>
  <mergeCells count="7">
    <mergeCell ref="B63:I63"/>
    <mergeCell ref="B25:I25"/>
    <mergeCell ref="B32:I32"/>
    <mergeCell ref="B50:I50"/>
    <mergeCell ref="B56:I56"/>
    <mergeCell ref="B38:I38"/>
    <mergeCell ref="B44:I44"/>
  </mergeCells>
  <printOptions horizontalCentered="1"/>
  <pageMargins left="3.937007874015748E-2" right="3.937007874015748E-2" top="0.15748031496062992" bottom="0.15748031496062992" header="0.31496062992125984" footer="0.31496062992125984"/>
  <pageSetup scale="68"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C6A0-F800-433D-A545-23E625E661C8}">
  <sheetPr>
    <tabColor rgb="FF002060"/>
  </sheetPr>
  <dimension ref="A1"/>
  <sheetViews>
    <sheetView workbookViewId="0">
      <selection activeCell="K21" sqref="K21"/>
    </sheetView>
  </sheetViews>
  <sheetFormatPr defaultRowHeight="14.5" x14ac:dyDescent="0.3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FE8CC-3B2E-43F5-97CD-4BAE130A3005}">
  <dimension ref="A1:L93"/>
  <sheetViews>
    <sheetView workbookViewId="0">
      <selection activeCell="B70" sqref="B70"/>
    </sheetView>
  </sheetViews>
  <sheetFormatPr defaultColWidth="10.453125" defaultRowHeight="12.5" x14ac:dyDescent="0.25"/>
  <cols>
    <col min="1" max="1" width="26.7265625" style="99" bestFit="1" customWidth="1"/>
    <col min="2" max="2" width="26.1796875" style="99" bestFit="1" customWidth="1"/>
    <col min="3" max="3" width="18.453125" style="99" bestFit="1" customWidth="1"/>
    <col min="4" max="11" width="11.453125" style="99" bestFit="1" customWidth="1"/>
    <col min="12" max="16384" width="10.453125" style="99"/>
  </cols>
  <sheetData>
    <row r="1" spans="1:11" s="101" customFormat="1" ht="13" x14ac:dyDescent="0.3">
      <c r="A1" s="101" t="s">
        <v>290</v>
      </c>
      <c r="B1" s="101" t="s">
        <v>289</v>
      </c>
      <c r="E1" s="252" t="str">
        <f>IF(B2&lt;&gt;B3, "A NEW VERSION OF THE WORKSHEET IS AVAILABLE", "")</f>
        <v/>
      </c>
      <c r="F1" s="252"/>
      <c r="G1" s="252"/>
      <c r="H1" s="252"/>
      <c r="I1" s="252"/>
      <c r="J1" s="252"/>
      <c r="K1" s="252"/>
    </row>
    <row r="2" spans="1:11" ht="13" x14ac:dyDescent="0.3">
      <c r="A2" s="101" t="s">
        <v>288</v>
      </c>
      <c r="B2" s="99">
        <v>2.1</v>
      </c>
      <c r="E2" s="253" t="s">
        <v>287</v>
      </c>
      <c r="F2" s="253"/>
      <c r="G2" s="253"/>
      <c r="H2" s="253"/>
      <c r="I2" s="253"/>
      <c r="J2" s="253"/>
      <c r="K2" s="253"/>
    </row>
    <row r="3" spans="1:11" ht="13" x14ac:dyDescent="0.3">
      <c r="A3" s="101" t="s">
        <v>286</v>
      </c>
      <c r="B3" s="99">
        <v>2.1</v>
      </c>
    </row>
    <row r="4" spans="1:11" ht="13" x14ac:dyDescent="0.3">
      <c r="A4" s="101"/>
    </row>
    <row r="5" spans="1:11" ht="13" x14ac:dyDescent="0.3">
      <c r="A5" s="101" t="s">
        <v>285</v>
      </c>
    </row>
    <row r="6" spans="1:11" x14ac:dyDescent="0.25">
      <c r="A6" s="99" t="s">
        <v>284</v>
      </c>
      <c r="B6" s="99">
        <f>IF(B9&gt;0, B9/B8, 0)</f>
        <v>234.88770918367345</v>
      </c>
    </row>
    <row r="7" spans="1:11" x14ac:dyDescent="0.25">
      <c r="A7" s="99" t="s">
        <v>283</v>
      </c>
      <c r="B7" s="102">
        <v>1</v>
      </c>
    </row>
    <row r="8" spans="1:11" x14ac:dyDescent="0.25">
      <c r="A8" s="99" t="s">
        <v>282</v>
      </c>
      <c r="B8" s="102">
        <v>1960</v>
      </c>
    </row>
    <row r="9" spans="1:11" x14ac:dyDescent="0.25">
      <c r="A9" s="99" t="s">
        <v>281</v>
      </c>
      <c r="B9" s="102">
        <v>460379.91</v>
      </c>
    </row>
    <row r="15" spans="1:11" ht="13" x14ac:dyDescent="0.3">
      <c r="A15" s="101" t="s">
        <v>280</v>
      </c>
      <c r="B15" s="99">
        <f>B26+B34</f>
        <v>7352</v>
      </c>
      <c r="K15" s="99">
        <f>K17-K18-K20-K21-K22-K23-K19</f>
        <v>17232</v>
      </c>
    </row>
    <row r="16" spans="1:11" s="103" customFormat="1" ht="13" x14ac:dyDescent="0.3">
      <c r="A16" s="105" t="s">
        <v>258</v>
      </c>
      <c r="B16" s="104">
        <v>42825</v>
      </c>
      <c r="C16" s="104">
        <v>43190</v>
      </c>
      <c r="D16" s="104">
        <v>43555</v>
      </c>
      <c r="E16" s="104">
        <v>43921</v>
      </c>
      <c r="F16" s="104">
        <v>44286</v>
      </c>
      <c r="G16" s="104">
        <v>44651</v>
      </c>
      <c r="H16" s="104">
        <v>45016</v>
      </c>
      <c r="I16" s="104">
        <v>45382</v>
      </c>
      <c r="J16" s="104">
        <v>45747</v>
      </c>
      <c r="K16" s="104">
        <v>46112</v>
      </c>
    </row>
    <row r="17" spans="1:11" x14ac:dyDescent="0.25">
      <c r="A17" s="99" t="s">
        <v>194</v>
      </c>
      <c r="B17" s="102">
        <v>33162</v>
      </c>
      <c r="C17" s="102">
        <v>35545</v>
      </c>
      <c r="D17" s="102">
        <v>39310</v>
      </c>
      <c r="E17" s="102">
        <v>39783</v>
      </c>
      <c r="F17" s="102">
        <v>47028</v>
      </c>
      <c r="G17" s="102">
        <v>52446</v>
      </c>
      <c r="H17" s="102">
        <v>60580</v>
      </c>
      <c r="I17" s="102">
        <v>61896</v>
      </c>
      <c r="J17" s="102">
        <v>61328</v>
      </c>
      <c r="K17" s="102">
        <v>64468</v>
      </c>
    </row>
    <row r="18" spans="1:11" ht="14.5" x14ac:dyDescent="0.35">
      <c r="A18" s="99" t="s">
        <v>279</v>
      </c>
      <c r="B18" s="107">
        <v>13606</v>
      </c>
      <c r="C18" s="107">
        <v>14233</v>
      </c>
      <c r="D18" s="107">
        <v>15845</v>
      </c>
      <c r="E18" s="107">
        <v>15697</v>
      </c>
      <c r="F18" s="107">
        <v>20141</v>
      </c>
      <c r="G18" s="107">
        <v>22871</v>
      </c>
      <c r="H18" s="107">
        <v>28427</v>
      </c>
      <c r="I18" s="107">
        <v>26822</v>
      </c>
      <c r="J18" s="107">
        <v>26602</v>
      </c>
      <c r="K18" s="107">
        <v>29158</v>
      </c>
    </row>
    <row r="19" spans="1:11" ht="14.5" x14ac:dyDescent="0.35">
      <c r="A19" s="99" t="s">
        <v>278</v>
      </c>
      <c r="B19" s="107">
        <v>-144</v>
      </c>
      <c r="C19" s="107">
        <v>72</v>
      </c>
      <c r="D19" s="107">
        <v>-12</v>
      </c>
      <c r="E19" s="107">
        <v>108</v>
      </c>
      <c r="F19" s="107">
        <v>405</v>
      </c>
      <c r="G19" s="107">
        <v>22</v>
      </c>
      <c r="H19" s="107">
        <v>75</v>
      </c>
      <c r="I19" s="107">
        <v>11</v>
      </c>
      <c r="J19" s="107">
        <v>125</v>
      </c>
      <c r="K19" s="107">
        <v>429</v>
      </c>
    </row>
    <row r="20" spans="1:11" x14ac:dyDescent="0.25">
      <c r="A20" s="99" t="s">
        <v>277</v>
      </c>
      <c r="B20" s="102">
        <v>295</v>
      </c>
      <c r="C20" s="102">
        <v>295</v>
      </c>
      <c r="D20" s="102">
        <v>308</v>
      </c>
      <c r="E20" s="102">
        <v>299</v>
      </c>
      <c r="F20" s="102">
        <v>339</v>
      </c>
      <c r="G20" s="102">
        <v>318</v>
      </c>
      <c r="H20" s="102">
        <v>384</v>
      </c>
      <c r="I20" s="102">
        <v>446</v>
      </c>
      <c r="J20" s="102">
        <v>403</v>
      </c>
      <c r="K20" s="102">
        <v>426</v>
      </c>
    </row>
    <row r="21" spans="1:11" x14ac:dyDescent="0.25">
      <c r="A21" s="99" t="s">
        <v>276</v>
      </c>
      <c r="B21" s="102">
        <v>2887</v>
      </c>
      <c r="C21" s="102">
        <v>2998</v>
      </c>
      <c r="D21" s="102">
        <v>3041</v>
      </c>
      <c r="E21" s="102">
        <v>2906</v>
      </c>
      <c r="F21" s="102">
        <v>2868</v>
      </c>
      <c r="G21" s="102">
        <v>3354</v>
      </c>
      <c r="H21" s="102">
        <v>3791</v>
      </c>
      <c r="I21" s="102">
        <v>3385</v>
      </c>
      <c r="J21" s="102">
        <v>3687</v>
      </c>
      <c r="K21" s="102">
        <v>3304</v>
      </c>
    </row>
    <row r="22" spans="1:11" x14ac:dyDescent="0.25">
      <c r="A22" s="99" t="s">
        <v>275</v>
      </c>
      <c r="B22" s="102">
        <v>1743</v>
      </c>
      <c r="C22" s="102">
        <v>1860</v>
      </c>
      <c r="D22" s="102">
        <v>1875</v>
      </c>
      <c r="E22" s="102">
        <v>1820</v>
      </c>
      <c r="F22" s="102">
        <v>2358</v>
      </c>
      <c r="G22" s="102">
        <v>2545</v>
      </c>
      <c r="H22" s="102">
        <v>2854</v>
      </c>
      <c r="I22" s="102">
        <v>3009</v>
      </c>
      <c r="J22" s="102">
        <v>2952</v>
      </c>
      <c r="K22" s="102">
        <v>3175</v>
      </c>
    </row>
    <row r="23" spans="1:11" x14ac:dyDescent="0.25">
      <c r="A23" s="99" t="s">
        <v>274</v>
      </c>
      <c r="B23" s="102">
        <v>6689</v>
      </c>
      <c r="C23" s="102">
        <v>7252</v>
      </c>
      <c r="D23" s="102">
        <v>7796</v>
      </c>
      <c r="E23" s="102">
        <v>7620</v>
      </c>
      <c r="F23" s="102">
        <v>7906</v>
      </c>
      <c r="G23" s="102">
        <v>8164</v>
      </c>
      <c r="H23" s="102">
        <v>8785</v>
      </c>
      <c r="I23" s="102">
        <v>10780</v>
      </c>
      <c r="J23" s="102">
        <v>10145</v>
      </c>
      <c r="K23" s="102">
        <v>10744</v>
      </c>
    </row>
    <row r="24" spans="1:11" x14ac:dyDescent="0.25">
      <c r="A24" s="99" t="s">
        <v>273</v>
      </c>
      <c r="B24" s="102">
        <v>1470</v>
      </c>
      <c r="C24" s="102">
        <v>1480</v>
      </c>
      <c r="D24" s="102">
        <v>1553</v>
      </c>
      <c r="E24" s="102">
        <v>1688</v>
      </c>
      <c r="F24" s="102">
        <v>2195</v>
      </c>
      <c r="G24" s="102">
        <v>2359</v>
      </c>
      <c r="H24" s="102">
        <v>2267</v>
      </c>
      <c r="I24" s="102">
        <v>2806</v>
      </c>
      <c r="J24" s="102">
        <v>2966</v>
      </c>
      <c r="K24" s="102">
        <v>3051</v>
      </c>
    </row>
    <row r="25" spans="1:11" x14ac:dyDescent="0.25">
      <c r="A25" s="99" t="s">
        <v>268</v>
      </c>
      <c r="B25" s="102">
        <v>606</v>
      </c>
      <c r="C25" s="102">
        <v>353</v>
      </c>
      <c r="D25" s="102">
        <v>322</v>
      </c>
      <c r="E25" s="102">
        <v>424</v>
      </c>
      <c r="F25" s="102">
        <v>170</v>
      </c>
      <c r="G25" s="102">
        <v>219</v>
      </c>
      <c r="H25" s="102">
        <v>448</v>
      </c>
      <c r="I25" s="102">
        <v>817</v>
      </c>
      <c r="J25" s="102">
        <v>1355</v>
      </c>
      <c r="K25" s="102">
        <v>4923</v>
      </c>
    </row>
    <row r="26" spans="1:11" x14ac:dyDescent="0.25">
      <c r="A26" s="99" t="s">
        <v>267</v>
      </c>
      <c r="B26" s="102">
        <v>432</v>
      </c>
      <c r="C26" s="102">
        <v>520</v>
      </c>
      <c r="D26" s="102">
        <v>565</v>
      </c>
      <c r="E26" s="102">
        <v>1002</v>
      </c>
      <c r="F26" s="102">
        <v>1074</v>
      </c>
      <c r="G26" s="102">
        <v>1091</v>
      </c>
      <c r="H26" s="102">
        <v>1137</v>
      </c>
      <c r="I26" s="102">
        <v>1216</v>
      </c>
      <c r="J26" s="102">
        <v>1253</v>
      </c>
      <c r="K26" s="102">
        <v>1333</v>
      </c>
    </row>
    <row r="27" spans="1:11" ht="14.5" x14ac:dyDescent="0.35">
      <c r="A27" s="99" t="s">
        <v>183</v>
      </c>
      <c r="B27" s="102">
        <v>35</v>
      </c>
      <c r="C27" s="102">
        <v>26</v>
      </c>
      <c r="D27" s="102">
        <v>33</v>
      </c>
      <c r="E27" s="102">
        <v>118</v>
      </c>
      <c r="F27" s="102">
        <v>117</v>
      </c>
      <c r="G27" s="102">
        <v>106</v>
      </c>
      <c r="H27" s="102">
        <v>114</v>
      </c>
      <c r="I27" s="102">
        <v>334</v>
      </c>
      <c r="J27" s="107">
        <v>381</v>
      </c>
      <c r="K27" s="107">
        <v>410</v>
      </c>
    </row>
    <row r="28" spans="1:11" x14ac:dyDescent="0.25">
      <c r="A28" s="99" t="s">
        <v>266</v>
      </c>
      <c r="B28" s="102">
        <v>6467</v>
      </c>
      <c r="C28" s="102">
        <v>7306</v>
      </c>
      <c r="D28" s="102">
        <v>8604</v>
      </c>
      <c r="E28" s="102">
        <v>9165</v>
      </c>
      <c r="F28" s="102">
        <v>10605</v>
      </c>
      <c r="G28" s="102">
        <v>11879</v>
      </c>
      <c r="H28" s="102">
        <v>13344</v>
      </c>
      <c r="I28" s="102">
        <v>13926</v>
      </c>
      <c r="J28" s="102">
        <v>14419</v>
      </c>
      <c r="K28" s="102">
        <v>18219</v>
      </c>
    </row>
    <row r="29" spans="1:11" x14ac:dyDescent="0.25">
      <c r="A29" s="99" t="s">
        <v>177</v>
      </c>
      <c r="B29" s="102">
        <v>1977</v>
      </c>
      <c r="C29" s="102">
        <v>2079</v>
      </c>
      <c r="D29" s="102">
        <v>2544</v>
      </c>
      <c r="E29" s="102">
        <v>2409</v>
      </c>
      <c r="F29" s="102">
        <v>2606</v>
      </c>
      <c r="G29" s="102">
        <v>2987</v>
      </c>
      <c r="H29" s="102">
        <v>3201</v>
      </c>
      <c r="I29" s="102">
        <v>3644</v>
      </c>
      <c r="J29" s="102">
        <v>3748</v>
      </c>
      <c r="K29" s="102">
        <v>3160</v>
      </c>
    </row>
    <row r="30" spans="1:11" x14ac:dyDescent="0.25">
      <c r="A30" s="99" t="s">
        <v>265</v>
      </c>
      <c r="B30" s="102">
        <v>4476</v>
      </c>
      <c r="C30" s="102">
        <v>5214</v>
      </c>
      <c r="D30" s="102">
        <v>6054</v>
      </c>
      <c r="E30" s="102">
        <v>6748</v>
      </c>
      <c r="F30" s="102">
        <v>7995</v>
      </c>
      <c r="G30" s="102">
        <v>8879</v>
      </c>
      <c r="H30" s="102">
        <v>10120</v>
      </c>
      <c r="I30" s="102">
        <v>10277</v>
      </c>
      <c r="J30" s="102">
        <v>10649</v>
      </c>
      <c r="K30" s="102">
        <v>15040</v>
      </c>
    </row>
    <row r="31" spans="1:11" x14ac:dyDescent="0.25">
      <c r="A31" s="99" t="s">
        <v>272</v>
      </c>
      <c r="B31" s="102">
        <v>3672</v>
      </c>
      <c r="C31" s="102">
        <v>4320</v>
      </c>
      <c r="D31" s="102">
        <v>4752</v>
      </c>
      <c r="E31" s="102">
        <v>5400</v>
      </c>
      <c r="F31" s="102">
        <v>9517.5</v>
      </c>
      <c r="G31" s="102">
        <v>7990</v>
      </c>
      <c r="H31" s="102">
        <v>9165</v>
      </c>
      <c r="I31" s="102">
        <v>9870</v>
      </c>
      <c r="J31" s="102">
        <v>12455</v>
      </c>
      <c r="K31" s="102">
        <v>9635</v>
      </c>
    </row>
    <row r="32" spans="1:11" x14ac:dyDescent="0.25">
      <c r="A32" s="99" t="s">
        <v>271</v>
      </c>
      <c r="B32" s="108">
        <f t="shared" ref="B32:K32" si="0">B29/B28</f>
        <v>0.30570589144889437</v>
      </c>
      <c r="C32" s="108">
        <f t="shared" si="0"/>
        <v>0.2845606350944429</v>
      </c>
      <c r="D32" s="108">
        <f t="shared" si="0"/>
        <v>0.29567642956764295</v>
      </c>
      <c r="E32" s="108">
        <f t="shared" si="0"/>
        <v>0.26284779050736495</v>
      </c>
      <c r="F32" s="108">
        <f t="shared" si="0"/>
        <v>0.24573314474304572</v>
      </c>
      <c r="G32" s="108">
        <f t="shared" si="0"/>
        <v>0.25145214243623198</v>
      </c>
      <c r="H32" s="108">
        <f t="shared" si="0"/>
        <v>0.23988309352517986</v>
      </c>
      <c r="I32" s="108">
        <f t="shared" si="0"/>
        <v>0.26166882091052707</v>
      </c>
      <c r="J32" s="108">
        <f t="shared" si="0"/>
        <v>0.2599348082391289</v>
      </c>
      <c r="K32" s="108">
        <f t="shared" si="0"/>
        <v>0.17344530435259894</v>
      </c>
    </row>
    <row r="34" spans="1:11" x14ac:dyDescent="0.25">
      <c r="A34" s="99" t="s">
        <v>185</v>
      </c>
      <c r="B34" s="99">
        <f t="shared" ref="B34:K34" si="1">+B30+B29+B27+B26</f>
        <v>6920</v>
      </c>
      <c r="C34" s="99">
        <f t="shared" si="1"/>
        <v>7839</v>
      </c>
      <c r="D34" s="99">
        <f t="shared" si="1"/>
        <v>9196</v>
      </c>
      <c r="E34" s="99">
        <f t="shared" si="1"/>
        <v>10277</v>
      </c>
      <c r="F34" s="99">
        <f t="shared" si="1"/>
        <v>11792</v>
      </c>
      <c r="G34" s="99">
        <f t="shared" si="1"/>
        <v>13063</v>
      </c>
      <c r="H34" s="99">
        <f t="shared" si="1"/>
        <v>14572</v>
      </c>
      <c r="I34" s="99">
        <f t="shared" si="1"/>
        <v>15471</v>
      </c>
      <c r="J34" s="99">
        <f t="shared" si="1"/>
        <v>16031</v>
      </c>
      <c r="K34" s="99">
        <f t="shared" si="1"/>
        <v>19943</v>
      </c>
    </row>
    <row r="37" spans="1:11" x14ac:dyDescent="0.25">
      <c r="B37" s="99">
        <f>B30-B31</f>
        <v>804</v>
      </c>
      <c r="C37" s="99">
        <f t="shared" ref="C37:K37" si="2">C30-C31</f>
        <v>894</v>
      </c>
      <c r="D37" s="99">
        <f t="shared" si="2"/>
        <v>1302</v>
      </c>
      <c r="E37" s="99">
        <f t="shared" si="2"/>
        <v>1348</v>
      </c>
      <c r="F37" s="99">
        <f t="shared" si="2"/>
        <v>-1522.5</v>
      </c>
      <c r="G37" s="99">
        <f t="shared" si="2"/>
        <v>889</v>
      </c>
      <c r="H37" s="99">
        <f t="shared" si="2"/>
        <v>955</v>
      </c>
      <c r="I37" s="99">
        <f t="shared" si="2"/>
        <v>407</v>
      </c>
      <c r="J37" s="99">
        <f t="shared" si="2"/>
        <v>-1806</v>
      </c>
      <c r="K37" s="99">
        <f t="shared" si="2"/>
        <v>5405</v>
      </c>
    </row>
    <row r="40" spans="1:11" ht="13" x14ac:dyDescent="0.3">
      <c r="A40" s="101" t="s">
        <v>270</v>
      </c>
    </row>
    <row r="41" spans="1:11" s="103" customFormat="1" ht="13" x14ac:dyDescent="0.3">
      <c r="A41" s="105" t="s">
        <v>258</v>
      </c>
      <c r="B41" s="104">
        <v>45382</v>
      </c>
      <c r="C41" s="104">
        <v>45473</v>
      </c>
      <c r="D41" s="104">
        <v>45565</v>
      </c>
      <c r="E41" s="104">
        <v>45657</v>
      </c>
      <c r="F41" s="104">
        <v>45747</v>
      </c>
      <c r="G41" s="104">
        <v>45838</v>
      </c>
      <c r="H41" s="104">
        <v>45930</v>
      </c>
      <c r="I41" s="104">
        <v>46022</v>
      </c>
      <c r="J41" s="104">
        <v>46112</v>
      </c>
      <c r="K41" s="104">
        <v>46203</v>
      </c>
    </row>
    <row r="42" spans="1:11" x14ac:dyDescent="0.25">
      <c r="A42" s="99" t="s">
        <v>194</v>
      </c>
      <c r="B42" s="102">
        <v>15210</v>
      </c>
      <c r="C42" s="102">
        <v>15707</v>
      </c>
      <c r="D42" s="102">
        <v>15926</v>
      </c>
      <c r="E42" s="102">
        <v>15556</v>
      </c>
      <c r="F42" s="102">
        <v>15190</v>
      </c>
      <c r="G42" s="102">
        <v>15757</v>
      </c>
      <c r="H42" s="102">
        <v>15919</v>
      </c>
      <c r="I42" s="102">
        <v>16441</v>
      </c>
      <c r="J42" s="102">
        <v>16351</v>
      </c>
      <c r="K42" s="102">
        <v>17341</v>
      </c>
    </row>
    <row r="43" spans="1:11" x14ac:dyDescent="0.25">
      <c r="A43" s="99" t="s">
        <v>269</v>
      </c>
      <c r="B43" s="102">
        <v>11675</v>
      </c>
      <c r="C43" s="102">
        <v>11965</v>
      </c>
      <c r="D43" s="102">
        <v>12139</v>
      </c>
      <c r="E43" s="102">
        <v>11867</v>
      </c>
      <c r="F43" s="102">
        <v>11572</v>
      </c>
      <c r="G43" s="102">
        <v>12118</v>
      </c>
      <c r="H43" s="102">
        <v>12137</v>
      </c>
      <c r="I43" s="102">
        <v>12660</v>
      </c>
      <c r="J43" s="102">
        <v>12514</v>
      </c>
      <c r="K43" s="102">
        <v>13394</v>
      </c>
    </row>
    <row r="44" spans="1:11" x14ac:dyDescent="0.25">
      <c r="A44" s="99" t="s">
        <v>268</v>
      </c>
      <c r="B44" s="102">
        <v>309</v>
      </c>
      <c r="C44" s="102">
        <v>209</v>
      </c>
      <c r="D44" s="102">
        <v>203</v>
      </c>
      <c r="E44" s="102">
        <v>733</v>
      </c>
      <c r="F44" s="102">
        <v>149</v>
      </c>
      <c r="G44" s="102">
        <v>103</v>
      </c>
      <c r="H44" s="102">
        <v>269</v>
      </c>
      <c r="I44" s="102">
        <v>4048</v>
      </c>
      <c r="J44" s="102">
        <v>503</v>
      </c>
      <c r="K44" s="102">
        <v>113</v>
      </c>
    </row>
    <row r="45" spans="1:11" x14ac:dyDescent="0.25">
      <c r="A45" s="99" t="s">
        <v>267</v>
      </c>
      <c r="B45" s="102">
        <v>320</v>
      </c>
      <c r="C45" s="102">
        <v>329</v>
      </c>
      <c r="D45" s="102">
        <v>338</v>
      </c>
      <c r="E45" s="102">
        <v>318</v>
      </c>
      <c r="F45" s="102">
        <v>318</v>
      </c>
      <c r="G45" s="102">
        <v>326</v>
      </c>
      <c r="H45" s="102">
        <v>322</v>
      </c>
      <c r="I45" s="102">
        <v>337</v>
      </c>
      <c r="J45" s="102">
        <v>348</v>
      </c>
      <c r="K45" s="102">
        <v>353</v>
      </c>
    </row>
    <row r="46" spans="1:11" ht="14.5" x14ac:dyDescent="0.35">
      <c r="A46" s="99" t="s">
        <v>183</v>
      </c>
      <c r="B46" s="107">
        <v>105</v>
      </c>
      <c r="C46" s="107">
        <v>93</v>
      </c>
      <c r="D46" s="107">
        <v>110</v>
      </c>
      <c r="E46" s="107">
        <v>109</v>
      </c>
      <c r="F46" s="107">
        <v>77</v>
      </c>
      <c r="G46" s="107">
        <v>122</v>
      </c>
      <c r="H46" s="107">
        <v>124</v>
      </c>
      <c r="I46" s="107">
        <v>88</v>
      </c>
      <c r="J46" s="107">
        <v>76</v>
      </c>
      <c r="K46" s="107">
        <v>75</v>
      </c>
    </row>
    <row r="47" spans="1:11" x14ac:dyDescent="0.25">
      <c r="A47" s="99" t="s">
        <v>266</v>
      </c>
      <c r="B47" s="102">
        <v>3419</v>
      </c>
      <c r="C47" s="102">
        <v>3529</v>
      </c>
      <c r="D47" s="102">
        <v>3542</v>
      </c>
      <c r="E47" s="102">
        <v>3995</v>
      </c>
      <c r="F47" s="102">
        <v>3372</v>
      </c>
      <c r="G47" s="102">
        <v>3294</v>
      </c>
      <c r="H47" s="102">
        <v>3605</v>
      </c>
      <c r="I47" s="102">
        <v>7404</v>
      </c>
      <c r="J47" s="102">
        <v>3916</v>
      </c>
      <c r="K47" s="102">
        <v>3632</v>
      </c>
    </row>
    <row r="48" spans="1:11" x14ac:dyDescent="0.25">
      <c r="A48" s="99" t="s">
        <v>177</v>
      </c>
      <c r="B48" s="102">
        <v>858</v>
      </c>
      <c r="C48" s="102">
        <v>917</v>
      </c>
      <c r="D48" s="102">
        <v>947</v>
      </c>
      <c r="E48" s="102">
        <v>1006</v>
      </c>
      <c r="F48" s="102">
        <v>897</v>
      </c>
      <c r="G48" s="102">
        <v>526</v>
      </c>
      <c r="H48" s="102">
        <v>911</v>
      </c>
      <c r="I48" s="102">
        <v>801</v>
      </c>
      <c r="J48" s="102">
        <v>922</v>
      </c>
      <c r="K48" s="102">
        <v>952</v>
      </c>
    </row>
    <row r="49" spans="1:11" x14ac:dyDescent="0.25">
      <c r="A49" s="99" t="s">
        <v>265</v>
      </c>
      <c r="B49" s="102">
        <v>2558</v>
      </c>
      <c r="C49" s="102">
        <v>2610</v>
      </c>
      <c r="D49" s="102">
        <v>2591</v>
      </c>
      <c r="E49" s="102">
        <v>2984</v>
      </c>
      <c r="F49" s="102">
        <v>2464</v>
      </c>
      <c r="G49" s="102">
        <v>2756</v>
      </c>
      <c r="H49" s="102">
        <v>2685</v>
      </c>
      <c r="I49" s="102">
        <v>6607</v>
      </c>
      <c r="J49" s="102">
        <v>2992</v>
      </c>
      <c r="K49" s="102">
        <v>2673</v>
      </c>
    </row>
    <row r="50" spans="1:11" x14ac:dyDescent="0.25">
      <c r="A50" s="99" t="s">
        <v>264</v>
      </c>
      <c r="B50" s="102">
        <v>3535</v>
      </c>
      <c r="C50" s="102">
        <v>3742</v>
      </c>
      <c r="D50" s="102">
        <v>3787</v>
      </c>
      <c r="E50" s="102">
        <v>3689</v>
      </c>
      <c r="F50" s="102">
        <v>3618</v>
      </c>
      <c r="G50" s="102">
        <v>3639</v>
      </c>
      <c r="H50" s="102">
        <v>3782</v>
      </c>
      <c r="I50" s="102">
        <v>3781</v>
      </c>
      <c r="J50" s="102">
        <v>3837</v>
      </c>
      <c r="K50" s="102">
        <v>3947</v>
      </c>
    </row>
    <row r="51" spans="1:11" x14ac:dyDescent="0.25">
      <c r="A51" s="99" t="s">
        <v>185</v>
      </c>
      <c r="B51" s="99">
        <f t="shared" ref="B51:K51" si="3">B49+B48+B46+B45</f>
        <v>3841</v>
      </c>
      <c r="C51" s="99">
        <f t="shared" si="3"/>
        <v>3949</v>
      </c>
      <c r="D51" s="99">
        <f t="shared" si="3"/>
        <v>3986</v>
      </c>
      <c r="E51" s="99">
        <f t="shared" si="3"/>
        <v>4417</v>
      </c>
      <c r="F51" s="99">
        <f t="shared" si="3"/>
        <v>3756</v>
      </c>
      <c r="G51" s="99">
        <f t="shared" si="3"/>
        <v>3730</v>
      </c>
      <c r="H51" s="99">
        <f t="shared" si="3"/>
        <v>4042</v>
      </c>
      <c r="I51" s="99">
        <f t="shared" si="3"/>
        <v>7833</v>
      </c>
      <c r="J51" s="99">
        <f t="shared" si="3"/>
        <v>4338</v>
      </c>
      <c r="K51" s="99">
        <f t="shared" si="3"/>
        <v>4053</v>
      </c>
    </row>
    <row r="55" spans="1:11" ht="13" x14ac:dyDescent="0.3">
      <c r="A55" s="101" t="s">
        <v>263</v>
      </c>
    </row>
    <row r="56" spans="1:11" s="103" customFormat="1" ht="13" x14ac:dyDescent="0.3">
      <c r="A56" s="105" t="s">
        <v>258</v>
      </c>
      <c r="B56" s="104">
        <v>42825</v>
      </c>
      <c r="C56" s="104">
        <v>43190</v>
      </c>
      <c r="D56" s="104">
        <v>43555</v>
      </c>
      <c r="E56" s="104">
        <v>43921</v>
      </c>
      <c r="F56" s="104">
        <v>44286</v>
      </c>
      <c r="G56" s="104">
        <v>44651</v>
      </c>
      <c r="H56" s="104">
        <v>45016</v>
      </c>
      <c r="I56" s="104">
        <v>45382</v>
      </c>
      <c r="J56" s="104">
        <v>45747</v>
      </c>
      <c r="K56" s="104">
        <v>46112</v>
      </c>
    </row>
    <row r="57" spans="1:11" x14ac:dyDescent="0.25">
      <c r="A57" s="99" t="s">
        <v>166</v>
      </c>
      <c r="B57" s="102">
        <v>216</v>
      </c>
      <c r="C57" s="102">
        <v>216</v>
      </c>
      <c r="D57" s="102">
        <v>216</v>
      </c>
      <c r="E57" s="102">
        <v>216</v>
      </c>
      <c r="F57" s="102">
        <v>235</v>
      </c>
      <c r="G57" s="102">
        <v>235</v>
      </c>
      <c r="H57" s="102">
        <v>235</v>
      </c>
      <c r="I57" s="102">
        <v>235</v>
      </c>
      <c r="J57" s="102">
        <v>235</v>
      </c>
      <c r="K57" s="102">
        <v>235</v>
      </c>
    </row>
    <row r="58" spans="1:11" x14ac:dyDescent="0.25">
      <c r="A58" s="99" t="s">
        <v>104</v>
      </c>
      <c r="B58" s="102">
        <v>6528</v>
      </c>
      <c r="C58" s="102">
        <v>7065</v>
      </c>
      <c r="D58" s="102">
        <v>7651</v>
      </c>
      <c r="E58" s="102">
        <v>8013</v>
      </c>
      <c r="F58" s="102">
        <v>47439</v>
      </c>
      <c r="G58" s="102">
        <v>48826</v>
      </c>
      <c r="H58" s="102">
        <v>50069</v>
      </c>
      <c r="I58" s="102">
        <v>50983</v>
      </c>
      <c r="J58" s="102">
        <v>49167</v>
      </c>
      <c r="K58" s="102">
        <v>48504</v>
      </c>
    </row>
    <row r="59" spans="1:11" ht="14.5" x14ac:dyDescent="0.35">
      <c r="A59" s="99" t="s">
        <v>165</v>
      </c>
      <c r="B59" s="107">
        <v>277</v>
      </c>
      <c r="C59" s="107"/>
      <c r="D59" s="107">
        <v>99</v>
      </c>
      <c r="E59" s="107"/>
      <c r="F59" s="107"/>
      <c r="G59" s="107">
        <v>1043</v>
      </c>
      <c r="H59" s="107">
        <v>1219</v>
      </c>
      <c r="I59" s="107">
        <v>1484</v>
      </c>
      <c r="J59" s="107">
        <v>1648</v>
      </c>
      <c r="K59" s="107">
        <v>1478</v>
      </c>
    </row>
    <row r="60" spans="1:11" s="239" customFormat="1" x14ac:dyDescent="0.25">
      <c r="A60" s="239" t="s">
        <v>164</v>
      </c>
      <c r="B60" s="240">
        <v>8685</v>
      </c>
      <c r="C60" s="240">
        <v>10581</v>
      </c>
      <c r="D60" s="240">
        <v>10663</v>
      </c>
      <c r="E60" s="240">
        <v>11924</v>
      </c>
      <c r="F60" s="240">
        <v>21066</v>
      </c>
      <c r="G60" s="240">
        <v>20402</v>
      </c>
      <c r="H60" s="240">
        <v>21554</v>
      </c>
      <c r="I60" s="240">
        <v>25787</v>
      </c>
      <c r="J60" s="240">
        <v>28813</v>
      </c>
      <c r="K60" s="240">
        <v>29521</v>
      </c>
    </row>
    <row r="61" spans="1:11" s="101" customFormat="1" ht="13" x14ac:dyDescent="0.3">
      <c r="A61" s="101" t="s">
        <v>18</v>
      </c>
      <c r="B61" s="102">
        <v>15706</v>
      </c>
      <c r="C61" s="102">
        <v>17862</v>
      </c>
      <c r="D61" s="102">
        <v>18629</v>
      </c>
      <c r="E61" s="102">
        <v>20153</v>
      </c>
      <c r="F61" s="102">
        <v>68740</v>
      </c>
      <c r="G61" s="102">
        <v>70506</v>
      </c>
      <c r="H61" s="102">
        <v>73077</v>
      </c>
      <c r="I61" s="102">
        <v>78489</v>
      </c>
      <c r="J61" s="102">
        <v>79863</v>
      </c>
      <c r="K61" s="102">
        <v>79738</v>
      </c>
    </row>
    <row r="62" spans="1:11" x14ac:dyDescent="0.25">
      <c r="A62" s="99" t="s">
        <v>139</v>
      </c>
      <c r="B62" s="102">
        <v>4419</v>
      </c>
      <c r="C62" s="102">
        <v>4528</v>
      </c>
      <c r="D62" s="102">
        <v>4715</v>
      </c>
      <c r="E62" s="102">
        <v>5479</v>
      </c>
      <c r="F62" s="102">
        <v>51443</v>
      </c>
      <c r="G62" s="102">
        <v>51473</v>
      </c>
      <c r="H62" s="102">
        <v>52678</v>
      </c>
      <c r="I62" s="102">
        <v>53744</v>
      </c>
      <c r="J62" s="102">
        <v>54335</v>
      </c>
      <c r="K62" s="102">
        <v>57428</v>
      </c>
    </row>
    <row r="63" spans="1:11" x14ac:dyDescent="0.25">
      <c r="A63" s="99" t="s">
        <v>162</v>
      </c>
      <c r="B63" s="102">
        <v>229</v>
      </c>
      <c r="C63" s="102">
        <v>461</v>
      </c>
      <c r="D63" s="102">
        <v>406</v>
      </c>
      <c r="E63" s="102">
        <v>597</v>
      </c>
      <c r="F63" s="102">
        <v>745</v>
      </c>
      <c r="G63" s="102">
        <v>1313</v>
      </c>
      <c r="H63" s="102">
        <v>1132</v>
      </c>
      <c r="I63" s="102">
        <v>1025</v>
      </c>
      <c r="J63" s="102">
        <v>1009</v>
      </c>
      <c r="K63" s="102">
        <v>880</v>
      </c>
    </row>
    <row r="64" spans="1:11" ht="14.5" x14ac:dyDescent="0.35">
      <c r="A64" s="99" t="s">
        <v>128</v>
      </c>
      <c r="B64" s="102">
        <v>3794</v>
      </c>
      <c r="C64" s="107">
        <v>2873</v>
      </c>
      <c r="D64" s="102">
        <v>2716</v>
      </c>
      <c r="E64" s="102">
        <v>1255</v>
      </c>
      <c r="F64" s="102">
        <v>2709</v>
      </c>
      <c r="G64" s="102">
        <v>3521</v>
      </c>
      <c r="H64" s="102">
        <v>2882</v>
      </c>
      <c r="I64" s="102">
        <v>4625</v>
      </c>
      <c r="J64" s="102">
        <v>3810</v>
      </c>
      <c r="K64" s="102">
        <v>4359</v>
      </c>
    </row>
    <row r="65" spans="1:11" s="239" customFormat="1" x14ac:dyDescent="0.25">
      <c r="A65" s="239" t="s">
        <v>161</v>
      </c>
      <c r="B65" s="240">
        <v>7264</v>
      </c>
      <c r="C65" s="240">
        <v>10000</v>
      </c>
      <c r="D65" s="240">
        <v>10792</v>
      </c>
      <c r="E65" s="240">
        <v>12822</v>
      </c>
      <c r="F65" s="240">
        <v>13843</v>
      </c>
      <c r="G65" s="240">
        <v>14199</v>
      </c>
      <c r="H65" s="240">
        <v>16385</v>
      </c>
      <c r="I65" s="240">
        <v>19095</v>
      </c>
      <c r="J65" s="240">
        <v>20709</v>
      </c>
      <c r="K65" s="240">
        <v>17071</v>
      </c>
    </row>
    <row r="66" spans="1:11" s="101" customFormat="1" ht="13" x14ac:dyDescent="0.3">
      <c r="A66" s="101" t="s">
        <v>18</v>
      </c>
      <c r="B66" s="102">
        <v>15706</v>
      </c>
      <c r="C66" s="102">
        <v>17862</v>
      </c>
      <c r="D66" s="102">
        <v>18629</v>
      </c>
      <c r="E66" s="102">
        <v>20153</v>
      </c>
      <c r="F66" s="102">
        <v>68740</v>
      </c>
      <c r="G66" s="102">
        <v>70506</v>
      </c>
      <c r="H66" s="102">
        <v>73077</v>
      </c>
      <c r="I66" s="102">
        <v>78489</v>
      </c>
      <c r="J66" s="102">
        <v>79863</v>
      </c>
      <c r="K66" s="102">
        <v>79738</v>
      </c>
    </row>
    <row r="67" spans="1:11" x14ac:dyDescent="0.25">
      <c r="A67" s="99" t="s">
        <v>159</v>
      </c>
      <c r="B67" s="102">
        <v>1085</v>
      </c>
      <c r="C67" s="102">
        <v>1310</v>
      </c>
      <c r="D67" s="102">
        <v>1816</v>
      </c>
      <c r="E67" s="102">
        <v>1149</v>
      </c>
      <c r="F67" s="102">
        <v>1758</v>
      </c>
      <c r="G67" s="102">
        <v>2236</v>
      </c>
      <c r="H67" s="102">
        <v>3079</v>
      </c>
      <c r="I67" s="102">
        <v>2997</v>
      </c>
      <c r="J67" s="102">
        <v>3819</v>
      </c>
      <c r="K67" s="102">
        <v>3379</v>
      </c>
    </row>
    <row r="68" spans="1:11" ht="14.5" x14ac:dyDescent="0.35">
      <c r="A68" s="99" t="s">
        <v>158</v>
      </c>
      <c r="B68" s="107">
        <v>2541</v>
      </c>
      <c r="C68" s="107">
        <v>2513</v>
      </c>
      <c r="D68" s="107">
        <v>2574</v>
      </c>
      <c r="E68" s="107">
        <v>2767</v>
      </c>
      <c r="F68" s="107">
        <v>3579</v>
      </c>
      <c r="G68" s="107">
        <v>4096</v>
      </c>
      <c r="H68" s="107">
        <v>4251</v>
      </c>
      <c r="I68" s="107">
        <v>4022</v>
      </c>
      <c r="J68" s="107">
        <v>4415</v>
      </c>
      <c r="K68" s="107">
        <v>4789</v>
      </c>
    </row>
    <row r="69" spans="1:11" x14ac:dyDescent="0.25">
      <c r="A69" s="99" t="s">
        <v>157</v>
      </c>
      <c r="B69" s="102">
        <v>1828</v>
      </c>
      <c r="C69" s="102">
        <v>3485</v>
      </c>
      <c r="D69" s="102">
        <v>3757</v>
      </c>
      <c r="E69" s="102">
        <v>5113</v>
      </c>
      <c r="F69" s="102">
        <v>4471</v>
      </c>
      <c r="G69" s="102">
        <v>3846</v>
      </c>
      <c r="H69" s="102">
        <v>4678</v>
      </c>
      <c r="I69" s="102">
        <v>7559</v>
      </c>
      <c r="J69" s="102">
        <v>7554</v>
      </c>
      <c r="K69" s="102">
        <v>3248</v>
      </c>
    </row>
    <row r="70" spans="1:11" x14ac:dyDescent="0.25">
      <c r="A70" s="99" t="s">
        <v>173</v>
      </c>
      <c r="B70" s="102">
        <v>216</v>
      </c>
      <c r="C70" s="102">
        <v>216</v>
      </c>
      <c r="D70" s="102">
        <v>216</v>
      </c>
      <c r="E70" s="102">
        <v>216</v>
      </c>
      <c r="F70" s="102">
        <v>235</v>
      </c>
      <c r="G70" s="102">
        <v>235</v>
      </c>
      <c r="H70" s="102">
        <v>235</v>
      </c>
      <c r="I70" s="102">
        <v>235</v>
      </c>
      <c r="J70" s="102">
        <v>235</v>
      </c>
      <c r="K70" s="102">
        <v>235</v>
      </c>
    </row>
    <row r="71" spans="1:11" ht="14" x14ac:dyDescent="0.3">
      <c r="A71" s="99" t="s">
        <v>262</v>
      </c>
      <c r="B71" s="106"/>
      <c r="C71" s="106"/>
      <c r="G71" s="106"/>
      <c r="H71" s="106"/>
    </row>
    <row r="72" spans="1:11" x14ac:dyDescent="0.25">
      <c r="A72" s="99" t="s">
        <v>261</v>
      </c>
      <c r="B72" s="102">
        <v>1</v>
      </c>
      <c r="C72" s="102">
        <v>1</v>
      </c>
      <c r="D72" s="102">
        <v>1</v>
      </c>
      <c r="E72" s="102">
        <v>1</v>
      </c>
      <c r="F72" s="102">
        <v>1</v>
      </c>
      <c r="G72" s="102">
        <v>1</v>
      </c>
      <c r="H72" s="102">
        <v>1</v>
      </c>
      <c r="I72" s="102">
        <v>1</v>
      </c>
      <c r="J72" s="102">
        <v>1</v>
      </c>
      <c r="K72" s="102">
        <v>1</v>
      </c>
    </row>
    <row r="73" spans="1:11" x14ac:dyDescent="0.25">
      <c r="H73" s="99">
        <f>H62-G62+H45</f>
        <v>1527</v>
      </c>
      <c r="I73" s="99">
        <f>I62-H62+I45</f>
        <v>1403</v>
      </c>
      <c r="J73" s="99">
        <f>J62-I62+J45</f>
        <v>939</v>
      </c>
      <c r="K73" s="99">
        <f>K62-J62+K45</f>
        <v>3446</v>
      </c>
    </row>
    <row r="74" spans="1:11" x14ac:dyDescent="0.25">
      <c r="A74" s="99" t="s">
        <v>161</v>
      </c>
      <c r="B74" s="99">
        <f t="shared" ref="B74:K74" si="4">B65-SUM(B67:B69)</f>
        <v>1810</v>
      </c>
      <c r="C74" s="99">
        <f t="shared" si="4"/>
        <v>2692</v>
      </c>
      <c r="D74" s="99">
        <f t="shared" si="4"/>
        <v>2645</v>
      </c>
      <c r="E74" s="99">
        <f t="shared" si="4"/>
        <v>3793</v>
      </c>
      <c r="F74" s="99">
        <f t="shared" si="4"/>
        <v>4035</v>
      </c>
      <c r="G74" s="99">
        <f t="shared" si="4"/>
        <v>4021</v>
      </c>
      <c r="H74" s="99">
        <f t="shared" si="4"/>
        <v>4377</v>
      </c>
      <c r="I74" s="99">
        <f t="shared" si="4"/>
        <v>4517</v>
      </c>
      <c r="J74" s="99">
        <f t="shared" si="4"/>
        <v>4921</v>
      </c>
      <c r="K74" s="99">
        <f t="shared" si="4"/>
        <v>5655</v>
      </c>
    </row>
    <row r="75" spans="1:11" x14ac:dyDescent="0.25">
      <c r="A75" s="99" t="s">
        <v>260</v>
      </c>
      <c r="B75" s="99">
        <f t="shared" ref="B75:K75" si="5">B61</f>
        <v>15706</v>
      </c>
      <c r="C75" s="99">
        <f t="shared" si="5"/>
        <v>17862</v>
      </c>
      <c r="D75" s="99">
        <f t="shared" si="5"/>
        <v>18629</v>
      </c>
      <c r="E75" s="99">
        <f t="shared" si="5"/>
        <v>20153</v>
      </c>
      <c r="F75" s="99">
        <f t="shared" si="5"/>
        <v>68740</v>
      </c>
      <c r="G75" s="99">
        <f t="shared" si="5"/>
        <v>70506</v>
      </c>
      <c r="H75" s="99">
        <f t="shared" si="5"/>
        <v>73077</v>
      </c>
      <c r="I75" s="99">
        <f t="shared" si="5"/>
        <v>78489</v>
      </c>
      <c r="J75" s="99">
        <f t="shared" si="5"/>
        <v>79863</v>
      </c>
      <c r="K75" s="99">
        <f t="shared" si="5"/>
        <v>79738</v>
      </c>
    </row>
    <row r="80" spans="1:11" ht="13" x14ac:dyDescent="0.3">
      <c r="A80" s="101" t="s">
        <v>259</v>
      </c>
    </row>
    <row r="81" spans="1:12" s="103" customFormat="1" ht="13" x14ac:dyDescent="0.3">
      <c r="A81" s="105" t="s">
        <v>258</v>
      </c>
      <c r="B81" s="104">
        <v>42825</v>
      </c>
      <c r="C81" s="104">
        <v>43190</v>
      </c>
      <c r="D81" s="104">
        <v>43555</v>
      </c>
      <c r="E81" s="104">
        <v>43921</v>
      </c>
      <c r="F81" s="104">
        <v>44286</v>
      </c>
      <c r="G81" s="104">
        <v>44651</v>
      </c>
      <c r="H81" s="104">
        <v>45016</v>
      </c>
      <c r="I81" s="104">
        <v>45382</v>
      </c>
      <c r="J81" s="104">
        <v>45747</v>
      </c>
      <c r="K81" s="104">
        <v>46112</v>
      </c>
      <c r="L81" s="104"/>
    </row>
    <row r="82" spans="1:12" s="101" customFormat="1" ht="13" x14ac:dyDescent="0.3">
      <c r="A82" s="99" t="s">
        <v>152</v>
      </c>
      <c r="B82" s="102">
        <v>5185</v>
      </c>
      <c r="C82" s="102">
        <v>6059</v>
      </c>
      <c r="D82" s="102">
        <v>5800</v>
      </c>
      <c r="E82" s="102">
        <v>7623</v>
      </c>
      <c r="F82" s="102">
        <v>9163</v>
      </c>
      <c r="G82" s="102">
        <v>9048</v>
      </c>
      <c r="H82" s="102">
        <v>9991</v>
      </c>
      <c r="I82" s="102">
        <v>15469</v>
      </c>
      <c r="J82" s="102">
        <v>11886</v>
      </c>
      <c r="K82" s="102">
        <v>10999</v>
      </c>
    </row>
    <row r="83" spans="1:12" x14ac:dyDescent="0.25">
      <c r="A83" s="99" t="s">
        <v>151</v>
      </c>
      <c r="B83" s="102">
        <v>-1173</v>
      </c>
      <c r="C83" s="102">
        <v>-1063</v>
      </c>
      <c r="D83" s="102">
        <v>-438</v>
      </c>
      <c r="E83" s="102">
        <v>1791</v>
      </c>
      <c r="F83" s="102">
        <v>-1228</v>
      </c>
      <c r="G83" s="102">
        <v>-1728</v>
      </c>
      <c r="H83" s="102">
        <v>-1484</v>
      </c>
      <c r="I83" s="102">
        <v>-5324</v>
      </c>
      <c r="J83" s="102">
        <v>6473</v>
      </c>
      <c r="K83" s="102">
        <v>-3676</v>
      </c>
    </row>
    <row r="84" spans="1:12" x14ac:dyDescent="0.25">
      <c r="A84" s="99" t="s">
        <v>150</v>
      </c>
      <c r="B84" s="102">
        <v>-4214</v>
      </c>
      <c r="C84" s="102">
        <v>-4975</v>
      </c>
      <c r="D84" s="102">
        <v>-5390</v>
      </c>
      <c r="E84" s="102">
        <v>-6819</v>
      </c>
      <c r="F84" s="102">
        <v>-9309</v>
      </c>
      <c r="G84" s="102">
        <v>-8015</v>
      </c>
      <c r="H84" s="102">
        <v>-8953</v>
      </c>
      <c r="I84" s="102">
        <v>-10034</v>
      </c>
      <c r="J84" s="102">
        <v>-13101</v>
      </c>
      <c r="K84" s="102">
        <v>-10810</v>
      </c>
    </row>
    <row r="85" spans="1:12" s="101" customFormat="1" ht="13" x14ac:dyDescent="0.3">
      <c r="A85" s="99" t="s">
        <v>149</v>
      </c>
      <c r="B85" s="102">
        <v>-202</v>
      </c>
      <c r="C85" s="102">
        <v>21</v>
      </c>
      <c r="D85" s="102">
        <v>-28</v>
      </c>
      <c r="E85" s="102">
        <v>2595</v>
      </c>
      <c r="F85" s="102">
        <v>-1374</v>
      </c>
      <c r="G85" s="102">
        <v>-695</v>
      </c>
      <c r="H85" s="102">
        <v>-446</v>
      </c>
      <c r="I85" s="102">
        <v>111</v>
      </c>
      <c r="J85" s="102">
        <v>5258</v>
      </c>
      <c r="K85" s="102">
        <v>-3487</v>
      </c>
    </row>
    <row r="90" spans="1:12" s="101" customFormat="1" ht="13" x14ac:dyDescent="0.3">
      <c r="A90" s="101" t="s">
        <v>257</v>
      </c>
      <c r="B90" s="102">
        <v>872.61</v>
      </c>
      <c r="C90" s="102">
        <v>1276.1099999999999</v>
      </c>
      <c r="D90" s="102">
        <v>1633.53</v>
      </c>
      <c r="E90" s="102">
        <v>2199.83</v>
      </c>
      <c r="F90" s="102">
        <v>2327.12</v>
      </c>
      <c r="G90" s="102">
        <v>1960.7</v>
      </c>
      <c r="H90" s="102">
        <v>2450.44</v>
      </c>
      <c r="I90" s="102">
        <v>2167.14</v>
      </c>
      <c r="J90" s="102">
        <v>2161.88</v>
      </c>
      <c r="K90" s="102">
        <v>2055.1999999999998</v>
      </c>
    </row>
    <row r="92" spans="1:12" s="101" customFormat="1" ht="13" x14ac:dyDescent="0.3">
      <c r="A92" s="101" t="s">
        <v>256</v>
      </c>
    </row>
    <row r="93" spans="1:12" x14ac:dyDescent="0.25">
      <c r="A93" s="99" t="s">
        <v>255</v>
      </c>
      <c r="B93" s="100">
        <v>216.43</v>
      </c>
      <c r="C93" s="100">
        <v>216.45</v>
      </c>
      <c r="D93" s="100">
        <v>216.47</v>
      </c>
      <c r="E93" s="100">
        <v>216.48</v>
      </c>
      <c r="F93" s="100">
        <v>234.96</v>
      </c>
      <c r="G93" s="100">
        <v>234.96</v>
      </c>
      <c r="H93" s="100">
        <v>234.96</v>
      </c>
      <c r="I93" s="100">
        <v>234.96</v>
      </c>
      <c r="J93" s="100">
        <v>234.96</v>
      </c>
      <c r="K93" s="100">
        <v>234.96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22730E9-146F-44AF-8F6F-20DEDDCEA3D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6865-87B3-4B37-8931-B97D9203F5F1}">
  <dimension ref="B2:N35"/>
  <sheetViews>
    <sheetView topLeftCell="A9" workbookViewId="0">
      <selection activeCell="B12" sqref="B12"/>
    </sheetView>
  </sheetViews>
  <sheetFormatPr defaultRowHeight="14.5" x14ac:dyDescent="0.35"/>
  <cols>
    <col min="2" max="2" width="26" bestFit="1" customWidth="1"/>
  </cols>
  <sheetData>
    <row r="2" spans="2:14" x14ac:dyDescent="0.35">
      <c r="C2" s="98">
        <v>42064</v>
      </c>
      <c r="D2" s="98">
        <v>42430</v>
      </c>
      <c r="E2" s="98">
        <v>42795</v>
      </c>
      <c r="F2" s="98">
        <v>43160</v>
      </c>
      <c r="G2" s="98">
        <v>43525</v>
      </c>
      <c r="H2" s="98">
        <v>43891</v>
      </c>
      <c r="I2" s="98">
        <v>44256</v>
      </c>
      <c r="J2" s="98">
        <v>44621</v>
      </c>
      <c r="K2" s="98">
        <v>44986</v>
      </c>
      <c r="L2" s="98">
        <v>45352</v>
      </c>
      <c r="M2" s="98">
        <v>45717</v>
      </c>
      <c r="N2" s="98">
        <v>46082</v>
      </c>
    </row>
    <row r="3" spans="2:14" x14ac:dyDescent="0.35">
      <c r="B3" t="s">
        <v>254</v>
      </c>
      <c r="C3" s="46">
        <v>3292</v>
      </c>
      <c r="D3" s="46">
        <v>4171</v>
      </c>
      <c r="E3" s="46">
        <v>5185</v>
      </c>
      <c r="F3" s="46">
        <v>6059</v>
      </c>
      <c r="G3" s="46">
        <v>5800</v>
      </c>
      <c r="H3" s="46">
        <v>7623</v>
      </c>
      <c r="I3" s="46">
        <v>9163</v>
      </c>
      <c r="J3" s="46">
        <v>9048</v>
      </c>
      <c r="K3" s="46">
        <v>9991</v>
      </c>
      <c r="L3" s="46">
        <v>15469</v>
      </c>
      <c r="M3" s="46">
        <v>11886</v>
      </c>
      <c r="N3" s="46">
        <v>10999</v>
      </c>
    </row>
    <row r="4" spans="2:14" x14ac:dyDescent="0.35">
      <c r="B4" t="s">
        <v>253</v>
      </c>
      <c r="C4" s="46">
        <v>5510</v>
      </c>
      <c r="D4" s="46">
        <v>6025</v>
      </c>
      <c r="E4" s="46">
        <v>6512</v>
      </c>
      <c r="F4" s="46">
        <v>7485</v>
      </c>
      <c r="G4" s="46">
        <v>8909</v>
      </c>
      <c r="H4" s="46">
        <v>9723</v>
      </c>
      <c r="I4" s="46">
        <v>11672</v>
      </c>
      <c r="J4" s="46">
        <v>12829</v>
      </c>
      <c r="K4" s="46">
        <v>14089</v>
      </c>
      <c r="L4" s="46">
        <v>14537</v>
      </c>
      <c r="M4" s="46">
        <v>14942</v>
      </c>
      <c r="N4" s="46">
        <v>15153</v>
      </c>
    </row>
    <row r="5" spans="2:14" x14ac:dyDescent="0.35">
      <c r="B5" t="s">
        <v>159</v>
      </c>
      <c r="C5">
        <v>3</v>
      </c>
      <c r="D5">
        <v>-257</v>
      </c>
      <c r="E5">
        <v>173</v>
      </c>
      <c r="F5">
        <v>0</v>
      </c>
      <c r="G5">
        <v>0</v>
      </c>
      <c r="H5">
        <v>0</v>
      </c>
      <c r="I5">
        <v>0</v>
      </c>
      <c r="J5">
        <v>0</v>
      </c>
      <c r="K5">
        <v>0</v>
      </c>
      <c r="L5">
        <v>0</v>
      </c>
      <c r="M5">
        <v>0</v>
      </c>
      <c r="N5">
        <v>0</v>
      </c>
    </row>
    <row r="6" spans="2:14" x14ac:dyDescent="0.35">
      <c r="B6" t="s">
        <v>158</v>
      </c>
      <c r="C6">
        <v>91</v>
      </c>
      <c r="D6">
        <v>89</v>
      </c>
      <c r="E6">
        <v>37</v>
      </c>
      <c r="F6">
        <v>-146</v>
      </c>
      <c r="G6">
        <v>-195</v>
      </c>
      <c r="H6">
        <v>-331</v>
      </c>
      <c r="I6">
        <v>-543</v>
      </c>
      <c r="J6">
        <v>-758</v>
      </c>
      <c r="K6">
        <v>-339</v>
      </c>
      <c r="L6">
        <v>74</v>
      </c>
      <c r="M6">
        <v>-584</v>
      </c>
      <c r="N6">
        <v>-692</v>
      </c>
    </row>
    <row r="7" spans="2:14" x14ac:dyDescent="0.35">
      <c r="B7" t="s">
        <v>252</v>
      </c>
      <c r="C7">
        <v>-327</v>
      </c>
      <c r="D7">
        <v>164</v>
      </c>
      <c r="E7">
        <v>501</v>
      </c>
      <c r="F7">
        <v>0</v>
      </c>
      <c r="G7">
        <v>0</v>
      </c>
      <c r="H7">
        <v>0</v>
      </c>
      <c r="I7">
        <v>0</v>
      </c>
      <c r="J7">
        <v>0</v>
      </c>
      <c r="K7">
        <v>0</v>
      </c>
      <c r="L7">
        <v>0</v>
      </c>
      <c r="M7">
        <v>0</v>
      </c>
      <c r="N7">
        <v>0</v>
      </c>
    </row>
    <row r="8" spans="2:14" x14ac:dyDescent="0.35">
      <c r="B8" t="s">
        <v>251</v>
      </c>
      <c r="C8">
        <v>-148</v>
      </c>
      <c r="D8">
        <v>0</v>
      </c>
      <c r="E8">
        <v>0</v>
      </c>
      <c r="F8">
        <v>0</v>
      </c>
      <c r="G8">
        <v>0</v>
      </c>
      <c r="H8">
        <v>0</v>
      </c>
      <c r="I8">
        <v>0</v>
      </c>
      <c r="J8">
        <v>0</v>
      </c>
      <c r="K8">
        <v>0</v>
      </c>
      <c r="L8">
        <v>0</v>
      </c>
      <c r="M8">
        <v>0</v>
      </c>
      <c r="N8">
        <v>0</v>
      </c>
    </row>
    <row r="9" spans="2:14" x14ac:dyDescent="0.35">
      <c r="B9" t="s">
        <v>299</v>
      </c>
      <c r="C9">
        <v>0</v>
      </c>
      <c r="D9">
        <v>0</v>
      </c>
      <c r="E9">
        <v>-46</v>
      </c>
      <c r="F9">
        <v>0</v>
      </c>
      <c r="G9">
        <v>0</v>
      </c>
      <c r="H9">
        <v>0</v>
      </c>
      <c r="I9">
        <v>0</v>
      </c>
      <c r="J9">
        <v>0</v>
      </c>
      <c r="K9">
        <v>0</v>
      </c>
      <c r="L9">
        <v>0</v>
      </c>
      <c r="M9">
        <v>0</v>
      </c>
      <c r="N9">
        <v>0</v>
      </c>
    </row>
    <row r="10" spans="2:14" x14ac:dyDescent="0.35">
      <c r="B10" t="s">
        <v>250</v>
      </c>
      <c r="C10">
        <v>38</v>
      </c>
      <c r="D10">
        <v>-77</v>
      </c>
      <c r="E10">
        <v>-99</v>
      </c>
      <c r="F10">
        <v>982</v>
      </c>
      <c r="G10">
        <v>-147</v>
      </c>
      <c r="H10">
        <v>742</v>
      </c>
      <c r="I10">
        <v>442</v>
      </c>
      <c r="J10">
        <v>-242</v>
      </c>
      <c r="K10">
        <v>-621</v>
      </c>
      <c r="L10" s="46">
        <v>1239</v>
      </c>
      <c r="M10">
        <v>-204</v>
      </c>
      <c r="N10" s="46">
        <v>1378</v>
      </c>
    </row>
    <row r="11" spans="2:14" x14ac:dyDescent="0.35">
      <c r="B11" t="s">
        <v>249</v>
      </c>
      <c r="C11">
        <v>-342</v>
      </c>
      <c r="D11">
        <v>-81</v>
      </c>
      <c r="E11">
        <v>566</v>
      </c>
      <c r="F11">
        <v>836</v>
      </c>
      <c r="G11">
        <v>-342</v>
      </c>
      <c r="H11">
        <v>411</v>
      </c>
      <c r="I11">
        <v>-101</v>
      </c>
      <c r="J11" s="46">
        <v>-1000</v>
      </c>
      <c r="K11">
        <v>-960</v>
      </c>
      <c r="L11" s="46">
        <v>1313</v>
      </c>
      <c r="M11">
        <v>-788</v>
      </c>
      <c r="N11">
        <v>686</v>
      </c>
    </row>
    <row r="12" spans="2:14" x14ac:dyDescent="0.35">
      <c r="B12" t="s">
        <v>248</v>
      </c>
      <c r="C12" s="46">
        <v>-1862</v>
      </c>
      <c r="D12" s="46">
        <v>-1765</v>
      </c>
      <c r="E12" s="46">
        <v>-1859</v>
      </c>
      <c r="F12" s="46">
        <v>-2264</v>
      </c>
      <c r="G12" s="46">
        <v>-2767</v>
      </c>
      <c r="H12" s="46">
        <v>-2505</v>
      </c>
      <c r="I12" s="46">
        <v>-2407</v>
      </c>
      <c r="J12" s="46">
        <v>-2784</v>
      </c>
      <c r="K12" s="46">
        <v>-3138</v>
      </c>
      <c r="L12">
        <v>-381</v>
      </c>
      <c r="M12" s="46">
        <v>-2268</v>
      </c>
      <c r="N12" s="46">
        <v>-4840</v>
      </c>
    </row>
    <row r="13" spans="2:14" x14ac:dyDescent="0.35">
      <c r="B13" t="s">
        <v>300</v>
      </c>
      <c r="C13">
        <v>-14</v>
      </c>
      <c r="D13">
        <v>-8</v>
      </c>
      <c r="E13">
        <v>-21</v>
      </c>
      <c r="F13">
        <v>0</v>
      </c>
      <c r="G13">
        <v>0</v>
      </c>
      <c r="H13">
        <v>0</v>
      </c>
      <c r="I13">
        <v>0</v>
      </c>
      <c r="J13">
        <v>0</v>
      </c>
      <c r="K13">
        <v>0</v>
      </c>
      <c r="L13">
        <v>0</v>
      </c>
      <c r="M13">
        <v>0</v>
      </c>
      <c r="N13">
        <v>0</v>
      </c>
    </row>
    <row r="14" spans="2:14" x14ac:dyDescent="0.35">
      <c r="B14" t="s">
        <v>301</v>
      </c>
      <c r="C14">
        <v>0</v>
      </c>
      <c r="D14">
        <v>0</v>
      </c>
      <c r="E14">
        <v>-13</v>
      </c>
      <c r="F14">
        <v>2</v>
      </c>
      <c r="G14">
        <v>0</v>
      </c>
      <c r="H14">
        <v>-6</v>
      </c>
      <c r="I14">
        <v>-1</v>
      </c>
      <c r="J14">
        <v>3</v>
      </c>
      <c r="K14">
        <v>0</v>
      </c>
      <c r="L14">
        <v>0</v>
      </c>
      <c r="M14">
        <v>0</v>
      </c>
      <c r="N14">
        <v>0</v>
      </c>
    </row>
    <row r="15" spans="2:14" x14ac:dyDescent="0.35">
      <c r="B15" t="s">
        <v>247</v>
      </c>
      <c r="C15">
        <v>138</v>
      </c>
      <c r="D15">
        <v>-282</v>
      </c>
      <c r="E15" s="46">
        <v>-1173</v>
      </c>
      <c r="F15" s="46">
        <v>-1063</v>
      </c>
      <c r="G15">
        <v>-438</v>
      </c>
      <c r="H15" s="46">
        <v>1791</v>
      </c>
      <c r="I15" s="46">
        <v>-1228</v>
      </c>
      <c r="J15" s="46">
        <v>-1728</v>
      </c>
      <c r="K15" s="46">
        <v>-1484</v>
      </c>
      <c r="L15" s="46">
        <v>-5324</v>
      </c>
      <c r="M15" s="46">
        <v>6473</v>
      </c>
      <c r="N15" s="46">
        <v>-3676</v>
      </c>
    </row>
    <row r="16" spans="2:14" x14ac:dyDescent="0.35">
      <c r="B16" t="s">
        <v>246</v>
      </c>
      <c r="C16">
        <v>-606</v>
      </c>
      <c r="D16">
        <v>-810</v>
      </c>
      <c r="E16" s="46">
        <v>-1113</v>
      </c>
      <c r="F16">
        <v>-895</v>
      </c>
      <c r="G16">
        <v>-767</v>
      </c>
      <c r="H16">
        <v>-862</v>
      </c>
      <c r="I16" s="46">
        <v>-4163</v>
      </c>
      <c r="J16" s="46">
        <v>-1228</v>
      </c>
      <c r="K16" s="46">
        <v>-1192</v>
      </c>
      <c r="L16" s="46">
        <v>-1477</v>
      </c>
      <c r="M16" s="46">
        <v>-1275</v>
      </c>
      <c r="N16" s="46">
        <v>-1361</v>
      </c>
    </row>
    <row r="17" spans="2:14" x14ac:dyDescent="0.35">
      <c r="B17" t="s">
        <v>245</v>
      </c>
      <c r="C17">
        <v>560</v>
      </c>
      <c r="D17">
        <v>99</v>
      </c>
      <c r="E17">
        <v>176</v>
      </c>
      <c r="F17">
        <v>32</v>
      </c>
      <c r="G17">
        <v>13</v>
      </c>
      <c r="H17">
        <v>52</v>
      </c>
      <c r="I17">
        <v>97</v>
      </c>
      <c r="J17">
        <v>175</v>
      </c>
      <c r="K17">
        <v>181</v>
      </c>
      <c r="L17">
        <v>20</v>
      </c>
      <c r="M17">
        <v>13</v>
      </c>
      <c r="N17">
        <v>29</v>
      </c>
    </row>
    <row r="18" spans="2:14" x14ac:dyDescent="0.35">
      <c r="B18" t="s">
        <v>244</v>
      </c>
      <c r="C18" s="46">
        <v>-19353</v>
      </c>
      <c r="D18" s="46">
        <v>-20666</v>
      </c>
      <c r="E18" s="46">
        <v>-31214</v>
      </c>
      <c r="F18" s="46">
        <v>-51855</v>
      </c>
      <c r="G18" s="46">
        <v>-74365</v>
      </c>
      <c r="H18" s="46">
        <v>-36090</v>
      </c>
      <c r="I18" s="46">
        <v>-39920</v>
      </c>
      <c r="J18" s="46">
        <v>-48522</v>
      </c>
      <c r="K18" s="46">
        <v>-22649</v>
      </c>
      <c r="L18" s="46">
        <v>-21337</v>
      </c>
      <c r="M18" s="46">
        <v>-22957</v>
      </c>
      <c r="N18" s="46">
        <v>-25529</v>
      </c>
    </row>
    <row r="19" spans="2:14" x14ac:dyDescent="0.35">
      <c r="B19" t="s">
        <v>243</v>
      </c>
      <c r="C19" s="46">
        <v>19461</v>
      </c>
      <c r="D19" s="46">
        <v>20937</v>
      </c>
      <c r="E19" s="46">
        <v>30083</v>
      </c>
      <c r="F19" s="46">
        <v>52897</v>
      </c>
      <c r="G19" s="46">
        <v>74691</v>
      </c>
      <c r="H19" s="46">
        <v>37690</v>
      </c>
      <c r="I19" s="46">
        <v>38486</v>
      </c>
      <c r="J19" s="46">
        <v>47786</v>
      </c>
      <c r="K19" s="46">
        <v>23462</v>
      </c>
      <c r="L19" s="46">
        <v>19846</v>
      </c>
      <c r="M19" s="46">
        <v>23987</v>
      </c>
      <c r="N19" s="46">
        <v>25117</v>
      </c>
    </row>
    <row r="20" spans="2:14" x14ac:dyDescent="0.35">
      <c r="B20" t="s">
        <v>242</v>
      </c>
      <c r="C20">
        <v>218</v>
      </c>
      <c r="D20">
        <v>315</v>
      </c>
      <c r="E20">
        <v>264</v>
      </c>
      <c r="F20">
        <v>297</v>
      </c>
      <c r="G20">
        <v>289</v>
      </c>
      <c r="H20">
        <v>351</v>
      </c>
      <c r="I20">
        <v>277</v>
      </c>
      <c r="J20">
        <v>161</v>
      </c>
      <c r="K20">
        <v>259</v>
      </c>
      <c r="L20">
        <v>425</v>
      </c>
      <c r="M20">
        <v>835</v>
      </c>
      <c r="N20">
        <v>428</v>
      </c>
    </row>
    <row r="21" spans="2:14" x14ac:dyDescent="0.35">
      <c r="B21" t="s">
        <v>241</v>
      </c>
      <c r="C21">
        <v>24</v>
      </c>
      <c r="D21">
        <v>33</v>
      </c>
      <c r="E21">
        <v>14</v>
      </c>
      <c r="F21">
        <v>0</v>
      </c>
      <c r="G21">
        <v>1</v>
      </c>
      <c r="H21">
        <v>1</v>
      </c>
      <c r="I21">
        <v>1</v>
      </c>
      <c r="J21">
        <v>1</v>
      </c>
      <c r="K21">
        <v>2</v>
      </c>
      <c r="L21">
        <v>3</v>
      </c>
      <c r="M21">
        <v>0</v>
      </c>
      <c r="N21">
        <v>5</v>
      </c>
    </row>
    <row r="22" spans="2:14" x14ac:dyDescent="0.35">
      <c r="B22" t="s">
        <v>240</v>
      </c>
      <c r="C22">
        <v>200</v>
      </c>
      <c r="D22">
        <v>161</v>
      </c>
      <c r="E22">
        <v>20</v>
      </c>
      <c r="F22">
        <v>73</v>
      </c>
      <c r="G22">
        <v>0</v>
      </c>
      <c r="H22">
        <v>0</v>
      </c>
      <c r="I22">
        <v>0</v>
      </c>
      <c r="J22">
        <v>0</v>
      </c>
      <c r="K22">
        <v>0</v>
      </c>
      <c r="L22">
        <v>0</v>
      </c>
      <c r="M22">
        <v>0</v>
      </c>
      <c r="N22">
        <v>298</v>
      </c>
    </row>
    <row r="23" spans="2:14" x14ac:dyDescent="0.35">
      <c r="B23" t="s">
        <v>239</v>
      </c>
      <c r="C23">
        <v>0</v>
      </c>
      <c r="D23">
        <v>0</v>
      </c>
      <c r="E23">
        <v>0</v>
      </c>
      <c r="F23">
        <v>0</v>
      </c>
      <c r="G23">
        <v>0</v>
      </c>
      <c r="H23">
        <v>0</v>
      </c>
      <c r="I23">
        <v>0</v>
      </c>
      <c r="J23">
        <v>0</v>
      </c>
      <c r="K23">
        <v>-334</v>
      </c>
      <c r="L23">
        <v>0</v>
      </c>
      <c r="M23">
        <v>0</v>
      </c>
      <c r="N23">
        <v>0</v>
      </c>
    </row>
    <row r="24" spans="2:14" x14ac:dyDescent="0.35">
      <c r="B24" t="s">
        <v>238</v>
      </c>
      <c r="C24">
        <v>-367</v>
      </c>
      <c r="D24">
        <v>-351</v>
      </c>
      <c r="E24">
        <v>597</v>
      </c>
      <c r="F24" s="46">
        <v>-1612</v>
      </c>
      <c r="G24">
        <v>-300</v>
      </c>
      <c r="H24">
        <v>649</v>
      </c>
      <c r="I24" s="46">
        <v>3994</v>
      </c>
      <c r="J24">
        <v>-101</v>
      </c>
      <c r="K24" s="46">
        <v>-1213</v>
      </c>
      <c r="L24" s="46">
        <v>-2804</v>
      </c>
      <c r="M24" s="46">
        <v>5870</v>
      </c>
      <c r="N24" s="46">
        <v>-2663</v>
      </c>
    </row>
    <row r="25" spans="2:14" x14ac:dyDescent="0.35">
      <c r="B25" t="s">
        <v>237</v>
      </c>
      <c r="C25" s="46">
        <v>-3462</v>
      </c>
      <c r="D25" s="46">
        <v>-3864</v>
      </c>
      <c r="E25" s="46">
        <v>-4214</v>
      </c>
      <c r="F25" s="46">
        <v>-4975</v>
      </c>
      <c r="G25" s="46">
        <v>-5390</v>
      </c>
      <c r="H25" s="46">
        <v>-6819</v>
      </c>
      <c r="I25" s="46">
        <v>-9309</v>
      </c>
      <c r="J25" s="46">
        <v>-8015</v>
      </c>
      <c r="K25" s="46">
        <v>-8953</v>
      </c>
      <c r="L25" s="46">
        <v>-10034</v>
      </c>
      <c r="M25" s="46">
        <v>-13101</v>
      </c>
      <c r="N25" s="46">
        <v>-10810</v>
      </c>
    </row>
    <row r="26" spans="2:14" x14ac:dyDescent="0.35">
      <c r="B26" t="s">
        <v>236</v>
      </c>
      <c r="C26">
        <v>2</v>
      </c>
      <c r="D26">
        <v>0</v>
      </c>
      <c r="E26">
        <v>0</v>
      </c>
      <c r="F26">
        <v>0</v>
      </c>
      <c r="G26">
        <v>0</v>
      </c>
      <c r="H26">
        <v>0</v>
      </c>
      <c r="I26">
        <v>0</v>
      </c>
      <c r="J26">
        <v>0</v>
      </c>
      <c r="K26">
        <v>0</v>
      </c>
      <c r="L26">
        <v>0</v>
      </c>
      <c r="M26">
        <v>0</v>
      </c>
      <c r="N26">
        <v>0</v>
      </c>
    </row>
    <row r="27" spans="2:14" x14ac:dyDescent="0.35">
      <c r="B27" t="s">
        <v>235</v>
      </c>
      <c r="C27">
        <v>0</v>
      </c>
      <c r="D27">
        <v>177</v>
      </c>
      <c r="E27">
        <v>460</v>
      </c>
      <c r="F27">
        <v>0</v>
      </c>
      <c r="G27">
        <v>99</v>
      </c>
      <c r="H27">
        <v>0</v>
      </c>
      <c r="I27">
        <v>188</v>
      </c>
      <c r="J27">
        <v>55</v>
      </c>
      <c r="K27">
        <v>286</v>
      </c>
      <c r="L27">
        <v>0</v>
      </c>
      <c r="M27">
        <v>0</v>
      </c>
      <c r="N27">
        <v>0</v>
      </c>
    </row>
    <row r="28" spans="2:14" x14ac:dyDescent="0.35">
      <c r="B28" t="s">
        <v>234</v>
      </c>
      <c r="C28">
        <v>-3</v>
      </c>
      <c r="D28">
        <v>0</v>
      </c>
      <c r="E28">
        <v>-360</v>
      </c>
      <c r="F28">
        <v>-277</v>
      </c>
      <c r="G28">
        <v>0</v>
      </c>
      <c r="H28">
        <v>-99</v>
      </c>
      <c r="I28">
        <v>-188</v>
      </c>
      <c r="J28">
        <v>-55</v>
      </c>
      <c r="K28">
        <v>-208</v>
      </c>
      <c r="L28">
        <v>-85</v>
      </c>
      <c r="M28">
        <v>0</v>
      </c>
      <c r="N28">
        <v>-46</v>
      </c>
    </row>
    <row r="29" spans="2:14" x14ac:dyDescent="0.35">
      <c r="B29" t="s">
        <v>233</v>
      </c>
      <c r="C29">
        <v>-18</v>
      </c>
      <c r="D29">
        <v>-2</v>
      </c>
      <c r="E29">
        <v>-14</v>
      </c>
      <c r="F29">
        <v>-6</v>
      </c>
      <c r="G29">
        <v>-7</v>
      </c>
      <c r="H29">
        <v>-90</v>
      </c>
      <c r="I29">
        <v>-92</v>
      </c>
      <c r="J29">
        <v>-82</v>
      </c>
      <c r="K29">
        <v>-88</v>
      </c>
      <c r="L29">
        <v>-110</v>
      </c>
      <c r="M29">
        <v>-130</v>
      </c>
      <c r="N29">
        <v>-133</v>
      </c>
    </row>
    <row r="30" spans="2:14" x14ac:dyDescent="0.35">
      <c r="B30" t="s">
        <v>232</v>
      </c>
      <c r="C30" s="46">
        <v>-2912</v>
      </c>
      <c r="D30" s="46">
        <v>-3354</v>
      </c>
      <c r="E30" s="46">
        <v>-3572</v>
      </c>
      <c r="F30" s="46">
        <v>-3911</v>
      </c>
      <c r="G30" s="46">
        <v>-4554</v>
      </c>
      <c r="H30" s="46">
        <v>-5196</v>
      </c>
      <c r="I30" s="46">
        <v>-8811</v>
      </c>
      <c r="J30" s="46">
        <v>-7526</v>
      </c>
      <c r="K30" s="46">
        <v>-8474</v>
      </c>
      <c r="L30" s="46">
        <v>-9416</v>
      </c>
      <c r="M30" s="46">
        <v>-12473</v>
      </c>
      <c r="N30" s="46">
        <v>-10124</v>
      </c>
    </row>
    <row r="31" spans="2:14" x14ac:dyDescent="0.35">
      <c r="B31" t="s">
        <v>231</v>
      </c>
      <c r="C31">
        <v>0</v>
      </c>
      <c r="D31">
        <v>0</v>
      </c>
      <c r="E31">
        <v>0</v>
      </c>
      <c r="F31">
        <v>0</v>
      </c>
      <c r="G31">
        <v>0</v>
      </c>
      <c r="H31">
        <v>-373</v>
      </c>
      <c r="I31">
        <v>-406</v>
      </c>
      <c r="J31">
        <v>-407</v>
      </c>
      <c r="K31">
        <v>-467</v>
      </c>
      <c r="L31">
        <v>-423</v>
      </c>
      <c r="M31">
        <v>-498</v>
      </c>
      <c r="N31">
        <v>-507</v>
      </c>
    </row>
    <row r="32" spans="2:14" x14ac:dyDescent="0.35">
      <c r="B32" t="s">
        <v>230</v>
      </c>
      <c r="C32">
        <v>-533</v>
      </c>
      <c r="D32">
        <v>-685</v>
      </c>
      <c r="E32">
        <v>-728</v>
      </c>
      <c r="F32">
        <v>-781</v>
      </c>
      <c r="G32">
        <v>-928</v>
      </c>
      <c r="H32" s="46">
        <v>-1061</v>
      </c>
      <c r="I32">
        <v>0</v>
      </c>
      <c r="J32">
        <v>0</v>
      </c>
      <c r="K32">
        <v>-2</v>
      </c>
      <c r="L32">
        <v>0</v>
      </c>
      <c r="M32">
        <v>0</v>
      </c>
      <c r="N32">
        <v>0</v>
      </c>
    </row>
    <row r="33" spans="2:14" x14ac:dyDescent="0.35">
      <c r="B33" t="s">
        <v>149</v>
      </c>
      <c r="C33">
        <v>-33</v>
      </c>
      <c r="D33">
        <v>25</v>
      </c>
      <c r="E33">
        <v>-202</v>
      </c>
      <c r="F33">
        <v>21</v>
      </c>
      <c r="G33">
        <v>-28</v>
      </c>
      <c r="H33" s="46">
        <v>2595</v>
      </c>
      <c r="I33" s="46">
        <v>-1374</v>
      </c>
      <c r="J33">
        <v>-695</v>
      </c>
      <c r="K33">
        <v>-446</v>
      </c>
      <c r="L33">
        <v>111</v>
      </c>
      <c r="M33" s="46">
        <v>5258</v>
      </c>
      <c r="N33" s="46">
        <v>-3487</v>
      </c>
    </row>
    <row r="34" spans="2:14" x14ac:dyDescent="0.35">
      <c r="B34" t="s">
        <v>302</v>
      </c>
      <c r="C34" s="46">
        <v>3246</v>
      </c>
      <c r="D34" s="46">
        <v>3460</v>
      </c>
      <c r="E34" s="46">
        <v>4248</v>
      </c>
      <c r="F34" s="46">
        <v>5196</v>
      </c>
      <c r="G34" s="46">
        <v>5046</v>
      </c>
      <c r="H34" s="46">
        <v>6813</v>
      </c>
      <c r="I34" s="46">
        <v>5097</v>
      </c>
      <c r="J34" s="46">
        <v>7995</v>
      </c>
      <c r="K34" s="46">
        <v>8980</v>
      </c>
      <c r="L34" s="46">
        <v>14012</v>
      </c>
      <c r="M34" s="46">
        <v>10624</v>
      </c>
      <c r="N34" s="46">
        <v>9667</v>
      </c>
    </row>
    <row r="35" spans="2:14" x14ac:dyDescent="0.35">
      <c r="B35" t="s">
        <v>303</v>
      </c>
      <c r="C35" s="114">
        <v>0.95</v>
      </c>
      <c r="D35" s="114">
        <v>1</v>
      </c>
      <c r="E35" s="114">
        <v>1.1100000000000001</v>
      </c>
      <c r="F35" s="114">
        <v>1.1100000000000001</v>
      </c>
      <c r="G35" s="114">
        <v>0.96</v>
      </c>
      <c r="H35" s="114">
        <v>1.03</v>
      </c>
      <c r="I35" s="114">
        <v>1</v>
      </c>
      <c r="J35" s="114">
        <v>0.92</v>
      </c>
      <c r="K35" s="114">
        <v>0.93</v>
      </c>
      <c r="L35" s="114">
        <v>1.08</v>
      </c>
      <c r="M35" s="114">
        <v>0.96</v>
      </c>
      <c r="N35">
        <v>10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CC10-05F6-4E99-88F3-EDAFFDD22CED}">
  <dimension ref="B2:N24"/>
  <sheetViews>
    <sheetView workbookViewId="0">
      <selection activeCell="G20" sqref="G20"/>
    </sheetView>
  </sheetViews>
  <sheetFormatPr defaultRowHeight="14.5" x14ac:dyDescent="0.35"/>
  <cols>
    <col min="2" max="2" width="5.1796875" bestFit="1" customWidth="1"/>
    <col min="3" max="3" width="15.54296875" bestFit="1" customWidth="1"/>
    <col min="4" max="4" width="7.54296875" bestFit="1" customWidth="1"/>
    <col min="5" max="5" width="15.7265625" bestFit="1" customWidth="1"/>
    <col min="6" max="6" width="15.7265625" customWidth="1"/>
    <col min="7" max="7" width="10.08984375" bestFit="1" customWidth="1"/>
    <col min="8" max="8" width="13.81640625" bestFit="1" customWidth="1"/>
    <col min="9" max="10" width="13.81640625" customWidth="1"/>
    <col min="11" max="11" width="10.26953125" bestFit="1" customWidth="1"/>
    <col min="12" max="12" width="10.26953125" customWidth="1"/>
    <col min="13" max="13" width="12.54296875" bestFit="1" customWidth="1"/>
    <col min="14" max="14" width="10.7265625" bestFit="1" customWidth="1"/>
    <col min="15" max="15" width="13.7265625" bestFit="1" customWidth="1"/>
  </cols>
  <sheetData>
    <row r="2" spans="2:14" x14ac:dyDescent="0.35">
      <c r="B2" t="s">
        <v>82</v>
      </c>
      <c r="C2" t="s">
        <v>83</v>
      </c>
      <c r="D2" t="s">
        <v>84</v>
      </c>
      <c r="E2" t="s">
        <v>347</v>
      </c>
      <c r="F2" t="s">
        <v>362</v>
      </c>
      <c r="G2" t="s">
        <v>86</v>
      </c>
      <c r="H2" t="s">
        <v>348</v>
      </c>
      <c r="I2" t="s">
        <v>340</v>
      </c>
      <c r="J2" t="s">
        <v>363</v>
      </c>
      <c r="K2" t="s">
        <v>349</v>
      </c>
      <c r="L2" t="s">
        <v>185</v>
      </c>
      <c r="M2" t="s">
        <v>350</v>
      </c>
      <c r="N2" t="s">
        <v>351</v>
      </c>
    </row>
    <row r="3" spans="2:14" x14ac:dyDescent="0.35">
      <c r="B3">
        <v>1</v>
      </c>
      <c r="C3" t="s">
        <v>88</v>
      </c>
      <c r="D3" s="144">
        <v>1927</v>
      </c>
      <c r="E3" s="144">
        <v>234.96</v>
      </c>
      <c r="F3" s="144">
        <f>E3*D3</f>
        <v>452767.92000000004</v>
      </c>
      <c r="G3" s="144">
        <v>1478</v>
      </c>
      <c r="H3" s="144">
        <v>3248</v>
      </c>
      <c r="I3" s="144">
        <f>G3-H3</f>
        <v>-1770</v>
      </c>
      <c r="J3" s="144">
        <f>F3+G3-H3</f>
        <v>450997.92000000004</v>
      </c>
      <c r="K3" s="144">
        <v>66052</v>
      </c>
      <c r="L3" s="144">
        <f>J3/N3</f>
        <v>16084.091298145508</v>
      </c>
      <c r="M3" s="144">
        <v>14971</v>
      </c>
      <c r="N3" s="144">
        <v>28.04</v>
      </c>
    </row>
    <row r="4" spans="2:14" x14ac:dyDescent="0.35">
      <c r="B4">
        <v>2</v>
      </c>
      <c r="C4" t="s">
        <v>54</v>
      </c>
      <c r="D4" s="144">
        <v>259.85000000000002</v>
      </c>
      <c r="E4" s="144">
        <v>1252.98</v>
      </c>
      <c r="F4" s="144">
        <f t="shared" ref="F4:F24" si="0">E4*D4</f>
        <v>325586.85300000006</v>
      </c>
      <c r="G4" s="144">
        <v>2399.06</v>
      </c>
      <c r="H4" s="144">
        <v>3008.79</v>
      </c>
      <c r="I4" s="144">
        <f t="shared" ref="I4:I12" si="1">G4-H4</f>
        <v>-609.73</v>
      </c>
      <c r="J4" s="144">
        <f t="shared" ref="J4:J24" si="2">F4+G4-H4</f>
        <v>324977.12300000008</v>
      </c>
      <c r="K4" s="144">
        <v>76487.98</v>
      </c>
      <c r="L4" s="144">
        <f t="shared" ref="L4:L24" si="3">J4/N4</f>
        <v>28481.781156879937</v>
      </c>
      <c r="M4" s="144">
        <v>20183.53</v>
      </c>
      <c r="N4" s="144">
        <v>11.41</v>
      </c>
    </row>
    <row r="5" spans="2:14" x14ac:dyDescent="0.35">
      <c r="B5">
        <v>3</v>
      </c>
      <c r="C5" t="s">
        <v>89</v>
      </c>
      <c r="D5" s="144">
        <v>1383.3</v>
      </c>
      <c r="E5" s="144">
        <v>192.83</v>
      </c>
      <c r="F5" s="144">
        <f t="shared" si="0"/>
        <v>266741.739</v>
      </c>
      <c r="G5" s="144">
        <v>444.16</v>
      </c>
      <c r="H5" s="144">
        <v>1340.87</v>
      </c>
      <c r="I5" s="144">
        <f t="shared" si="1"/>
        <v>-896.70999999999981</v>
      </c>
      <c r="J5" s="144">
        <f t="shared" si="2"/>
        <v>265845.02899999998</v>
      </c>
      <c r="K5" s="144">
        <v>24436.62</v>
      </c>
      <c r="L5" s="144">
        <f t="shared" si="3"/>
        <v>5803.209539401877</v>
      </c>
      <c r="M5" s="144">
        <v>3860.49</v>
      </c>
      <c r="N5" s="144">
        <v>45.81</v>
      </c>
    </row>
    <row r="6" spans="2:14" x14ac:dyDescent="0.35">
      <c r="B6">
        <v>4</v>
      </c>
      <c r="C6" t="s">
        <v>90</v>
      </c>
      <c r="D6" s="144">
        <v>416.5</v>
      </c>
      <c r="E6" s="144">
        <v>338.25</v>
      </c>
      <c r="F6" s="144">
        <f t="shared" si="0"/>
        <v>140881.125</v>
      </c>
      <c r="G6" s="144">
        <v>2508.1799999999998</v>
      </c>
      <c r="H6" s="144">
        <v>1998.49</v>
      </c>
      <c r="I6" s="144">
        <f t="shared" si="1"/>
        <v>509.68999999999983</v>
      </c>
      <c r="J6" s="144">
        <f t="shared" si="2"/>
        <v>141390.815</v>
      </c>
      <c r="K6" s="144">
        <v>24126.49</v>
      </c>
      <c r="L6" s="144">
        <f t="shared" si="3"/>
        <v>6042.3425213675218</v>
      </c>
      <c r="M6" s="144">
        <v>3409.28</v>
      </c>
      <c r="N6" s="144">
        <v>23.4</v>
      </c>
    </row>
    <row r="7" spans="2:14" x14ac:dyDescent="0.35">
      <c r="B7">
        <v>5</v>
      </c>
      <c r="C7" t="s">
        <v>91</v>
      </c>
      <c r="D7" s="144">
        <v>4962</v>
      </c>
      <c r="E7" s="144">
        <v>24.09</v>
      </c>
      <c r="F7" s="144">
        <f t="shared" si="0"/>
        <v>119534.58</v>
      </c>
      <c r="G7" s="144">
        <v>1380.28</v>
      </c>
      <c r="H7" s="144">
        <v>352.44</v>
      </c>
      <c r="I7" s="144">
        <f t="shared" si="1"/>
        <v>1027.8399999999999</v>
      </c>
      <c r="J7" s="144">
        <f t="shared" si="2"/>
        <v>120562.42</v>
      </c>
      <c r="K7" s="144">
        <v>19529.34</v>
      </c>
      <c r="L7" s="144">
        <f t="shared" si="3"/>
        <v>3829.8100381194408</v>
      </c>
      <c r="M7" s="144">
        <v>2610.2600000000002</v>
      </c>
      <c r="N7" s="144">
        <v>31.48</v>
      </c>
    </row>
    <row r="8" spans="2:14" x14ac:dyDescent="0.35">
      <c r="B8">
        <v>6</v>
      </c>
      <c r="C8" t="s">
        <v>352</v>
      </c>
      <c r="D8" s="144">
        <v>802.1</v>
      </c>
      <c r="E8" s="144">
        <v>130.02000000000001</v>
      </c>
      <c r="F8" s="144">
        <f t="shared" si="0"/>
        <v>104289.04200000002</v>
      </c>
      <c r="G8" s="144">
        <v>557</v>
      </c>
      <c r="H8" s="144">
        <v>493</v>
      </c>
      <c r="I8" s="144">
        <f t="shared" si="1"/>
        <v>64</v>
      </c>
      <c r="J8" s="144">
        <f t="shared" si="2"/>
        <v>104353.04200000002</v>
      </c>
      <c r="K8" s="144">
        <v>14277</v>
      </c>
      <c r="L8" s="144">
        <f t="shared" si="3"/>
        <v>2688.1257599175688</v>
      </c>
      <c r="M8" s="144">
        <v>1952</v>
      </c>
      <c r="N8" s="144">
        <v>38.82</v>
      </c>
    </row>
    <row r="9" spans="2:14" x14ac:dyDescent="0.35">
      <c r="B9">
        <v>7</v>
      </c>
      <c r="C9" t="s">
        <v>353</v>
      </c>
      <c r="D9" s="144">
        <v>1395</v>
      </c>
      <c r="E9" s="144">
        <v>72.739999999999995</v>
      </c>
      <c r="F9" s="144">
        <f t="shared" si="0"/>
        <v>101472.29999999999</v>
      </c>
      <c r="G9" s="144">
        <v>413</v>
      </c>
      <c r="H9" s="144">
        <v>1977</v>
      </c>
      <c r="I9" s="144">
        <f t="shared" si="1"/>
        <v>-1564</v>
      </c>
      <c r="J9" s="144">
        <f t="shared" si="2"/>
        <v>99908.299999999988</v>
      </c>
      <c r="K9" s="144">
        <v>12626</v>
      </c>
      <c r="L9" s="144">
        <f t="shared" si="3"/>
        <v>2789.1764377442764</v>
      </c>
      <c r="M9" s="144">
        <v>1884</v>
      </c>
      <c r="N9" s="144">
        <v>35.82</v>
      </c>
    </row>
    <row r="10" spans="2:14" x14ac:dyDescent="0.35">
      <c r="B10">
        <v>8</v>
      </c>
      <c r="C10" t="s">
        <v>354</v>
      </c>
      <c r="D10" s="144">
        <v>991</v>
      </c>
      <c r="E10" s="144">
        <v>98.97</v>
      </c>
      <c r="F10" s="144">
        <f t="shared" si="0"/>
        <v>98079.27</v>
      </c>
      <c r="G10" s="144">
        <v>2819.51</v>
      </c>
      <c r="H10" s="144">
        <v>3420.49</v>
      </c>
      <c r="I10" s="144">
        <f t="shared" si="1"/>
        <v>-600.97999999999956</v>
      </c>
      <c r="J10" s="144">
        <f t="shared" si="2"/>
        <v>97478.29</v>
      </c>
      <c r="K10" s="144">
        <v>20860.400000000001</v>
      </c>
      <c r="L10" s="144">
        <f t="shared" si="3"/>
        <v>3104.4041401273885</v>
      </c>
      <c r="M10" s="144">
        <v>1642.24</v>
      </c>
      <c r="N10" s="144">
        <v>31.4</v>
      </c>
    </row>
    <row r="11" spans="2:14" x14ac:dyDescent="0.35">
      <c r="B11">
        <v>9</v>
      </c>
      <c r="C11" t="s">
        <v>355</v>
      </c>
      <c r="D11" s="144">
        <v>865</v>
      </c>
      <c r="E11" s="144">
        <v>102.33</v>
      </c>
      <c r="F11" s="144">
        <f t="shared" si="0"/>
        <v>88515.45</v>
      </c>
      <c r="G11" s="144">
        <v>4420.5200000000004</v>
      </c>
      <c r="H11" s="144">
        <v>1005.41</v>
      </c>
      <c r="I11" s="144">
        <f t="shared" si="1"/>
        <v>3415.1100000000006</v>
      </c>
      <c r="J11" s="144">
        <f t="shared" si="2"/>
        <v>91930.559999999998</v>
      </c>
      <c r="K11" s="144">
        <v>15948.95</v>
      </c>
      <c r="L11" s="144">
        <f t="shared" si="3"/>
        <v>3496.7881323697225</v>
      </c>
      <c r="M11" s="144">
        <v>1913.54</v>
      </c>
      <c r="N11" s="144">
        <v>26.29</v>
      </c>
    </row>
    <row r="12" spans="2:14" x14ac:dyDescent="0.35">
      <c r="B12">
        <v>10</v>
      </c>
      <c r="C12" t="s">
        <v>356</v>
      </c>
      <c r="D12" s="144">
        <v>376</v>
      </c>
      <c r="E12" s="144">
        <v>177.4</v>
      </c>
      <c r="F12" s="144">
        <f t="shared" si="0"/>
        <v>66702.400000000009</v>
      </c>
      <c r="G12" s="144">
        <v>1287.32</v>
      </c>
      <c r="H12" s="144">
        <v>562.07000000000005</v>
      </c>
      <c r="I12" s="144">
        <f t="shared" si="1"/>
        <v>725.24999999999989</v>
      </c>
      <c r="J12" s="144">
        <f t="shared" si="2"/>
        <v>67427.650000000009</v>
      </c>
      <c r="K12" s="144">
        <v>13552.38</v>
      </c>
      <c r="L12" s="144">
        <f t="shared" si="3"/>
        <v>3152.2978027115478</v>
      </c>
      <c r="M12" s="144">
        <v>1946.56</v>
      </c>
      <c r="N12" s="144">
        <v>21.39</v>
      </c>
    </row>
    <row r="13" spans="2:14" x14ac:dyDescent="0.35">
      <c r="D13" s="144"/>
      <c r="E13" s="144"/>
      <c r="F13" s="144"/>
      <c r="G13" s="144"/>
      <c r="H13" s="144"/>
      <c r="I13" s="144"/>
      <c r="J13" s="144"/>
      <c r="K13" s="144"/>
      <c r="L13" s="144"/>
      <c r="M13" s="144"/>
      <c r="N13" s="144"/>
    </row>
    <row r="14" spans="2:14" x14ac:dyDescent="0.35">
      <c r="D14" s="144"/>
      <c r="E14" s="144"/>
      <c r="F14" s="144"/>
      <c r="G14" s="144"/>
      <c r="H14" s="144"/>
      <c r="I14" s="144"/>
      <c r="J14" s="144"/>
      <c r="K14" s="144"/>
      <c r="L14" s="144"/>
      <c r="M14" s="144"/>
      <c r="N14" s="144"/>
    </row>
    <row r="15" spans="2:14" x14ac:dyDescent="0.35">
      <c r="D15" s="144"/>
      <c r="E15" s="144"/>
      <c r="F15" s="144"/>
      <c r="G15" s="144"/>
      <c r="H15" s="144"/>
      <c r="I15" s="144"/>
      <c r="J15" s="144"/>
      <c r="K15" s="144"/>
      <c r="L15" s="144"/>
      <c r="M15" s="144"/>
      <c r="N15" s="144"/>
    </row>
    <row r="16" spans="2:14" x14ac:dyDescent="0.35">
      <c r="D16" s="144"/>
      <c r="E16" s="144"/>
      <c r="F16" s="144"/>
      <c r="G16" s="144"/>
      <c r="H16" s="144"/>
      <c r="I16" s="144"/>
      <c r="J16" s="144"/>
      <c r="K16" s="144"/>
      <c r="L16" s="144"/>
      <c r="M16" s="144"/>
      <c r="N16" s="144"/>
    </row>
    <row r="17" spans="2:14" x14ac:dyDescent="0.35">
      <c r="D17" s="144"/>
      <c r="E17" s="144"/>
      <c r="F17" s="144"/>
      <c r="G17" s="144"/>
      <c r="H17" s="144"/>
      <c r="I17" s="144"/>
      <c r="J17" s="144"/>
      <c r="K17" s="144"/>
      <c r="L17" s="144"/>
      <c r="M17" s="144"/>
      <c r="N17" s="144"/>
    </row>
    <row r="18" spans="2:14" x14ac:dyDescent="0.35">
      <c r="D18" s="144"/>
      <c r="E18" s="144"/>
      <c r="F18" s="144"/>
      <c r="G18" s="144"/>
      <c r="H18" s="144"/>
      <c r="I18" s="144"/>
      <c r="J18" s="144"/>
      <c r="K18" s="144"/>
      <c r="L18" s="144"/>
      <c r="M18" s="144"/>
      <c r="N18" s="144"/>
    </row>
    <row r="19" spans="2:14" x14ac:dyDescent="0.35">
      <c r="D19" s="144"/>
      <c r="E19" s="144"/>
      <c r="F19" s="144"/>
      <c r="G19" s="144"/>
      <c r="H19" s="144"/>
      <c r="I19" s="144"/>
      <c r="J19" s="144"/>
      <c r="K19" s="144"/>
      <c r="L19" s="144"/>
      <c r="M19" s="144"/>
      <c r="N19" s="144"/>
    </row>
    <row r="20" spans="2:14" x14ac:dyDescent="0.35">
      <c r="B20">
        <v>11</v>
      </c>
      <c r="C20" t="s">
        <v>357</v>
      </c>
      <c r="D20" s="144">
        <v>4368.1000000000004</v>
      </c>
      <c r="E20" s="144">
        <v>13.4</v>
      </c>
      <c r="F20" s="144">
        <f t="shared" si="0"/>
        <v>58532.540000000008</v>
      </c>
      <c r="G20" s="144">
        <v>498.45</v>
      </c>
      <c r="H20" s="144">
        <v>88.33</v>
      </c>
      <c r="I20" s="144"/>
      <c r="J20" s="144">
        <f t="shared" si="2"/>
        <v>58942.66</v>
      </c>
      <c r="K20" s="144">
        <v>6228.08</v>
      </c>
      <c r="L20" s="144">
        <f t="shared" si="3"/>
        <v>1162.8064707042811</v>
      </c>
      <c r="M20" s="144">
        <v>703.55</v>
      </c>
      <c r="N20" s="144">
        <v>50.69</v>
      </c>
    </row>
    <row r="21" spans="2:14" x14ac:dyDescent="0.35">
      <c r="B21">
        <v>12</v>
      </c>
      <c r="C21" t="s">
        <v>358</v>
      </c>
      <c r="D21" s="144">
        <v>1797.4</v>
      </c>
      <c r="E21" s="144">
        <v>27.2</v>
      </c>
      <c r="F21" s="144">
        <f t="shared" si="0"/>
        <v>48889.279999999999</v>
      </c>
      <c r="G21" s="144">
        <v>47.41</v>
      </c>
      <c r="H21" s="144">
        <v>1468.82</v>
      </c>
      <c r="I21" s="144"/>
      <c r="J21" s="144">
        <f t="shared" si="2"/>
        <v>47467.87</v>
      </c>
      <c r="K21" s="144">
        <v>6204.28</v>
      </c>
      <c r="L21" s="144">
        <f t="shared" si="3"/>
        <v>1994.448319327731</v>
      </c>
      <c r="M21" s="144">
        <v>1347.77</v>
      </c>
      <c r="N21" s="144">
        <v>23.8</v>
      </c>
    </row>
    <row r="22" spans="2:14" x14ac:dyDescent="0.35">
      <c r="B22">
        <v>13</v>
      </c>
      <c r="C22" t="s">
        <v>359</v>
      </c>
      <c r="D22" s="144">
        <v>280</v>
      </c>
      <c r="E22" s="144">
        <v>134.47</v>
      </c>
      <c r="F22" s="144">
        <f t="shared" si="0"/>
        <v>37651.599999999999</v>
      </c>
      <c r="G22" s="144">
        <v>56.38</v>
      </c>
      <c r="H22" s="144">
        <v>186.45</v>
      </c>
      <c r="I22" s="144"/>
      <c r="J22" s="144">
        <f t="shared" si="2"/>
        <v>37521.53</v>
      </c>
      <c r="K22" s="144">
        <v>483.64</v>
      </c>
      <c r="L22" s="144">
        <f t="shared" si="3"/>
        <v>191.33875573686893</v>
      </c>
      <c r="M22" s="144">
        <v>137.41</v>
      </c>
      <c r="N22" s="144">
        <v>196.1</v>
      </c>
    </row>
    <row r="23" spans="2:14" x14ac:dyDescent="0.35">
      <c r="B23">
        <v>14</v>
      </c>
      <c r="C23" t="s">
        <v>360</v>
      </c>
      <c r="D23" s="144">
        <v>341</v>
      </c>
      <c r="E23" s="144">
        <v>108.81</v>
      </c>
      <c r="F23" s="144">
        <f t="shared" si="0"/>
        <v>37104.21</v>
      </c>
      <c r="G23" s="144">
        <v>2788.83</v>
      </c>
      <c r="H23" s="144">
        <v>746.36</v>
      </c>
      <c r="I23" s="144"/>
      <c r="J23" s="144">
        <f t="shared" si="2"/>
        <v>39146.68</v>
      </c>
      <c r="K23" s="144">
        <v>42753.63</v>
      </c>
      <c r="L23" s="144">
        <f t="shared" si="3"/>
        <v>2145.0235616438358</v>
      </c>
      <c r="M23" s="144">
        <v>1970.34</v>
      </c>
      <c r="N23" s="144">
        <v>18.25</v>
      </c>
    </row>
    <row r="24" spans="2:14" x14ac:dyDescent="0.35">
      <c r="B24">
        <v>15</v>
      </c>
      <c r="C24" t="s">
        <v>361</v>
      </c>
      <c r="D24" s="144">
        <v>1256.0999999999999</v>
      </c>
      <c r="E24" s="144">
        <v>26.44</v>
      </c>
      <c r="F24" s="144">
        <f t="shared" si="0"/>
        <v>33211.284</v>
      </c>
      <c r="G24" s="144">
        <v>1316.53</v>
      </c>
      <c r="H24" s="144">
        <v>571.55999999999995</v>
      </c>
      <c r="I24" s="144"/>
      <c r="J24" s="144">
        <f t="shared" si="2"/>
        <v>33956.254000000001</v>
      </c>
      <c r="K24" s="144">
        <v>9442.48</v>
      </c>
      <c r="L24" s="144">
        <f t="shared" si="3"/>
        <v>862.05265295760341</v>
      </c>
      <c r="M24" s="144">
        <v>395.64</v>
      </c>
      <c r="N24" s="144">
        <v>39.39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725D1-4A81-4871-9430-FE425C46D20B}">
  <dimension ref="B3:O83"/>
  <sheetViews>
    <sheetView showGridLines="0" workbookViewId="0">
      <pane ySplit="3" topLeftCell="A55" activePane="bottomLeft" state="frozen"/>
      <selection pane="bottomLeft" activeCell="N63" sqref="N63"/>
    </sheetView>
  </sheetViews>
  <sheetFormatPr defaultRowHeight="14.5" x14ac:dyDescent="0.35"/>
  <cols>
    <col min="1" max="1" width="1.81640625" customWidth="1"/>
    <col min="3" max="3" width="26" bestFit="1" customWidth="1"/>
    <col min="4" max="15" width="7.90625" bestFit="1" customWidth="1"/>
  </cols>
  <sheetData>
    <row r="3" spans="2:15" x14ac:dyDescent="0.35">
      <c r="C3" s="47" t="s">
        <v>138</v>
      </c>
      <c r="D3" s="48">
        <v>42064</v>
      </c>
      <c r="E3" s="48">
        <v>42430</v>
      </c>
      <c r="F3" s="48">
        <v>42795</v>
      </c>
      <c r="G3" s="48">
        <v>43160</v>
      </c>
      <c r="H3" s="48">
        <v>43525</v>
      </c>
      <c r="I3" s="48">
        <v>43891</v>
      </c>
      <c r="J3" s="48">
        <v>44256</v>
      </c>
      <c r="K3" s="48">
        <v>44621</v>
      </c>
      <c r="L3" s="48">
        <v>44986</v>
      </c>
      <c r="M3" s="48">
        <v>45352</v>
      </c>
      <c r="N3" s="48">
        <v>45717</v>
      </c>
      <c r="O3" s="48">
        <v>46082</v>
      </c>
    </row>
    <row r="4" spans="2:15" ht="15" thickBot="1" x14ac:dyDescent="0.4">
      <c r="D4" s="45"/>
      <c r="E4" s="45"/>
      <c r="F4" s="45"/>
      <c r="G4" s="45"/>
      <c r="H4" s="45"/>
      <c r="I4" s="45"/>
      <c r="J4" s="45"/>
      <c r="K4" s="45"/>
      <c r="L4" s="45"/>
      <c r="M4" s="45"/>
      <c r="N4" s="45"/>
      <c r="O4" s="45"/>
    </row>
    <row r="5" spans="2:15" ht="15" thickBot="1" x14ac:dyDescent="0.4">
      <c r="C5" s="3" t="s">
        <v>103</v>
      </c>
      <c r="D5" s="51">
        <v>216</v>
      </c>
      <c r="E5" s="51">
        <v>216</v>
      </c>
      <c r="F5" s="51">
        <v>216</v>
      </c>
      <c r="G5" s="51">
        <v>216</v>
      </c>
      <c r="H5" s="51">
        <v>216</v>
      </c>
      <c r="I5" s="51">
        <v>216</v>
      </c>
      <c r="J5" s="51">
        <v>235</v>
      </c>
      <c r="K5" s="51">
        <v>235</v>
      </c>
      <c r="L5" s="51">
        <v>235</v>
      </c>
      <c r="M5" s="51">
        <v>235</v>
      </c>
      <c r="N5" s="51">
        <v>235</v>
      </c>
      <c r="O5" s="51">
        <v>235</v>
      </c>
    </row>
    <row r="6" spans="2:15" ht="15" thickBot="1" x14ac:dyDescent="0.4">
      <c r="C6" s="3" t="s">
        <v>104</v>
      </c>
      <c r="D6" s="51">
        <v>3811</v>
      </c>
      <c r="E6" s="51">
        <v>6357</v>
      </c>
      <c r="F6" s="51">
        <v>6528</v>
      </c>
      <c r="G6" s="51">
        <v>7065</v>
      </c>
      <c r="H6" s="51">
        <v>7651</v>
      </c>
      <c r="I6" s="51">
        <v>8013</v>
      </c>
      <c r="J6" s="51">
        <v>47439</v>
      </c>
      <c r="K6" s="51">
        <v>48826</v>
      </c>
      <c r="L6" s="51">
        <v>50069</v>
      </c>
      <c r="M6" s="51">
        <v>50983</v>
      </c>
      <c r="N6" s="51">
        <v>49167</v>
      </c>
      <c r="O6" s="51">
        <v>48504</v>
      </c>
    </row>
    <row r="7" spans="2:15" ht="15" thickBot="1" x14ac:dyDescent="0.4">
      <c r="B7" s="3"/>
      <c r="C7" s="3" t="s">
        <v>105</v>
      </c>
      <c r="D7" s="51"/>
      <c r="E7" s="51"/>
      <c r="F7" s="51"/>
      <c r="G7" s="51"/>
      <c r="H7" s="51"/>
      <c r="I7" s="51"/>
      <c r="J7" s="51"/>
      <c r="K7" s="51"/>
      <c r="L7" s="51"/>
      <c r="M7" s="51"/>
      <c r="N7" s="51"/>
      <c r="O7" s="51"/>
    </row>
    <row r="8" spans="2:15" ht="15" thickBot="1" x14ac:dyDescent="0.4">
      <c r="C8" t="s">
        <v>106</v>
      </c>
      <c r="D8" s="51">
        <v>7</v>
      </c>
      <c r="E8" s="51">
        <v>0</v>
      </c>
      <c r="F8" s="51">
        <v>0</v>
      </c>
      <c r="G8" s="51">
        <v>0</v>
      </c>
      <c r="H8" s="51">
        <v>0</v>
      </c>
      <c r="I8" s="51">
        <v>0</v>
      </c>
      <c r="J8" s="51">
        <v>0</v>
      </c>
      <c r="K8" s="51">
        <v>0</v>
      </c>
      <c r="L8" s="51">
        <v>0</v>
      </c>
      <c r="M8" s="51">
        <v>0</v>
      </c>
      <c r="N8" s="51">
        <v>0</v>
      </c>
      <c r="O8" s="51">
        <v>0</v>
      </c>
    </row>
    <row r="9" spans="2:15" ht="15" thickBot="1" x14ac:dyDescent="0.4">
      <c r="C9" t="s">
        <v>107</v>
      </c>
      <c r="D9" s="51">
        <v>36</v>
      </c>
      <c r="E9" s="51">
        <v>177</v>
      </c>
      <c r="F9" s="51">
        <v>277</v>
      </c>
      <c r="G9" s="51">
        <v>0</v>
      </c>
      <c r="H9" s="51">
        <v>99</v>
      </c>
      <c r="I9" s="51">
        <v>0</v>
      </c>
      <c r="J9" s="51">
        <v>0</v>
      </c>
      <c r="K9" s="51">
        <v>0</v>
      </c>
      <c r="L9" s="51">
        <v>98</v>
      </c>
      <c r="M9" s="51">
        <v>13</v>
      </c>
      <c r="N9" s="51">
        <v>1</v>
      </c>
      <c r="O9" s="51">
        <v>0</v>
      </c>
    </row>
    <row r="10" spans="2:15" ht="15" thickBot="1" x14ac:dyDescent="0.4">
      <c r="C10" t="s">
        <v>108</v>
      </c>
      <c r="D10" s="51">
        <v>0</v>
      </c>
      <c r="E10" s="51">
        <v>0</v>
      </c>
      <c r="F10" s="51">
        <v>0</v>
      </c>
      <c r="G10" s="51">
        <v>0</v>
      </c>
      <c r="H10" s="51">
        <v>0</v>
      </c>
      <c r="I10" s="51">
        <v>0</v>
      </c>
      <c r="J10" s="51">
        <v>0</v>
      </c>
      <c r="K10" s="51">
        <v>1043</v>
      </c>
      <c r="L10" s="51">
        <v>1121</v>
      </c>
      <c r="M10" s="51">
        <v>1471</v>
      </c>
      <c r="N10" s="51">
        <v>1647</v>
      </c>
      <c r="O10" s="51">
        <v>1478</v>
      </c>
    </row>
    <row r="11" spans="2:15" ht="15" thickBot="1" x14ac:dyDescent="0.4">
      <c r="C11" s="3" t="s">
        <v>109</v>
      </c>
      <c r="D11" s="51"/>
      <c r="E11" s="51"/>
      <c r="F11" s="51"/>
      <c r="G11" s="51"/>
      <c r="H11" s="51"/>
      <c r="I11" s="51"/>
      <c r="J11" s="51"/>
      <c r="K11" s="51"/>
      <c r="L11" s="51"/>
      <c r="M11" s="51"/>
      <c r="N11" s="51"/>
      <c r="O11" s="51"/>
    </row>
    <row r="12" spans="2:15" ht="15" thickBot="1" x14ac:dyDescent="0.4">
      <c r="C12" t="s">
        <v>110</v>
      </c>
      <c r="D12" s="51">
        <v>25</v>
      </c>
      <c r="E12" s="51">
        <v>20</v>
      </c>
      <c r="F12" s="51">
        <v>22</v>
      </c>
      <c r="G12" s="51">
        <v>20</v>
      </c>
      <c r="H12" s="51">
        <v>18</v>
      </c>
      <c r="I12" s="51">
        <v>17</v>
      </c>
      <c r="J12" s="51">
        <v>20</v>
      </c>
      <c r="K12" s="51">
        <v>26</v>
      </c>
      <c r="L12" s="51">
        <v>218</v>
      </c>
      <c r="M12" s="51">
        <v>205</v>
      </c>
      <c r="N12" s="51">
        <v>207</v>
      </c>
      <c r="O12" s="51">
        <v>269</v>
      </c>
    </row>
    <row r="13" spans="2:15" ht="15" thickBot="1" x14ac:dyDescent="0.4">
      <c r="C13" t="s">
        <v>111</v>
      </c>
      <c r="D13" s="51">
        <v>5506</v>
      </c>
      <c r="E13" s="51">
        <v>5685</v>
      </c>
      <c r="F13" s="51">
        <v>6186</v>
      </c>
      <c r="G13" s="51">
        <v>7170</v>
      </c>
      <c r="H13" s="51">
        <v>7206</v>
      </c>
      <c r="I13" s="51">
        <v>7535</v>
      </c>
      <c r="J13" s="51">
        <v>8802</v>
      </c>
      <c r="K13" s="51">
        <v>9068</v>
      </c>
      <c r="L13" s="51">
        <v>9574</v>
      </c>
      <c r="M13" s="51">
        <v>10486</v>
      </c>
      <c r="N13" s="51">
        <v>11315</v>
      </c>
      <c r="O13" s="51">
        <v>13325</v>
      </c>
    </row>
    <row r="14" spans="2:15" ht="15" thickBot="1" x14ac:dyDescent="0.4">
      <c r="C14" t="s">
        <v>112</v>
      </c>
      <c r="D14" s="51">
        <v>45</v>
      </c>
      <c r="E14" s="51">
        <v>45</v>
      </c>
      <c r="F14" s="51">
        <v>78</v>
      </c>
      <c r="G14" s="51">
        <v>62</v>
      </c>
      <c r="H14" s="51">
        <v>43</v>
      </c>
      <c r="I14" s="51">
        <v>158</v>
      </c>
      <c r="J14" s="51">
        <v>96</v>
      </c>
      <c r="K14" s="51">
        <v>119</v>
      </c>
      <c r="L14" s="51">
        <v>98</v>
      </c>
      <c r="M14" s="51">
        <v>91</v>
      </c>
      <c r="N14" s="51">
        <v>0</v>
      </c>
      <c r="O14" s="51">
        <v>0</v>
      </c>
    </row>
    <row r="15" spans="2:15" ht="15" thickBot="1" x14ac:dyDescent="0.4">
      <c r="C15" t="s">
        <v>113</v>
      </c>
      <c r="D15" s="52">
        <v>4783</v>
      </c>
      <c r="E15" s="52">
        <v>2293</v>
      </c>
      <c r="F15" s="52">
        <v>2399</v>
      </c>
      <c r="G15" s="52">
        <v>3329</v>
      </c>
      <c r="H15" s="52">
        <v>3396</v>
      </c>
      <c r="I15" s="52">
        <v>4214</v>
      </c>
      <c r="J15" s="52">
        <v>12148</v>
      </c>
      <c r="K15" s="52">
        <v>11189</v>
      </c>
      <c r="L15" s="52">
        <v>11664</v>
      </c>
      <c r="M15" s="52">
        <v>15005</v>
      </c>
      <c r="N15" s="52">
        <v>17291</v>
      </c>
      <c r="O15" s="52">
        <v>15927</v>
      </c>
    </row>
    <row r="16" spans="2:15" ht="15" thickBot="1" x14ac:dyDescent="0.4">
      <c r="C16" s="50" t="s">
        <v>114</v>
      </c>
      <c r="D16" s="53">
        <v>14430</v>
      </c>
      <c r="E16" s="53">
        <v>14793</v>
      </c>
      <c r="F16" s="53">
        <v>15706</v>
      </c>
      <c r="G16" s="53">
        <v>17862</v>
      </c>
      <c r="H16" s="53">
        <v>18629</v>
      </c>
      <c r="I16" s="53">
        <v>20153</v>
      </c>
      <c r="J16" s="53">
        <v>68740</v>
      </c>
      <c r="K16" s="53">
        <v>70506</v>
      </c>
      <c r="L16" s="53">
        <v>73077</v>
      </c>
      <c r="M16" s="53">
        <v>78489</v>
      </c>
      <c r="N16" s="53">
        <v>79863</v>
      </c>
      <c r="O16" s="53">
        <v>79738</v>
      </c>
    </row>
    <row r="17" spans="3:15" x14ac:dyDescent="0.35">
      <c r="D17" s="46"/>
      <c r="E17" s="46"/>
      <c r="F17" s="46"/>
      <c r="G17" s="46"/>
      <c r="H17" s="46"/>
      <c r="I17" s="46"/>
      <c r="J17" s="46"/>
      <c r="K17" s="46"/>
      <c r="L17" s="46"/>
      <c r="M17" s="46"/>
      <c r="N17" s="46"/>
      <c r="O17" s="46"/>
    </row>
    <row r="18" spans="3:15" ht="15" thickBot="1" x14ac:dyDescent="0.4">
      <c r="C18" s="3" t="s">
        <v>115</v>
      </c>
      <c r="D18" s="54"/>
      <c r="E18" s="54"/>
      <c r="F18" s="54"/>
      <c r="G18" s="54"/>
      <c r="H18" s="54"/>
      <c r="I18" s="54"/>
      <c r="J18" s="54"/>
      <c r="K18" s="54"/>
      <c r="L18" s="54"/>
      <c r="M18" s="54"/>
      <c r="N18" s="54"/>
      <c r="O18" s="54"/>
    </row>
    <row r="19" spans="3:15" ht="15" thickBot="1" x14ac:dyDescent="0.4">
      <c r="C19" t="s">
        <v>116</v>
      </c>
      <c r="D19" s="51">
        <v>102</v>
      </c>
      <c r="E19" s="51">
        <v>88</v>
      </c>
      <c r="F19" s="51">
        <v>89</v>
      </c>
      <c r="G19" s="51">
        <v>87</v>
      </c>
      <c r="H19" s="51">
        <v>86</v>
      </c>
      <c r="I19" s="51">
        <v>59</v>
      </c>
      <c r="J19" s="51">
        <v>477</v>
      </c>
      <c r="K19" s="51">
        <v>477</v>
      </c>
      <c r="L19" s="51">
        <v>609</v>
      </c>
      <c r="M19" s="51">
        <v>633</v>
      </c>
      <c r="N19" s="51">
        <v>628</v>
      </c>
      <c r="O19" s="51">
        <v>636</v>
      </c>
    </row>
    <row r="20" spans="3:15" ht="15" thickBot="1" x14ac:dyDescent="0.4">
      <c r="C20" t="s">
        <v>117</v>
      </c>
      <c r="D20" s="51">
        <v>1173</v>
      </c>
      <c r="E20" s="51">
        <v>931</v>
      </c>
      <c r="F20" s="51">
        <v>1210</v>
      </c>
      <c r="G20" s="51">
        <v>1343</v>
      </c>
      <c r="H20" s="51">
        <v>1527</v>
      </c>
      <c r="I20" s="51">
        <v>2044</v>
      </c>
      <c r="J20" s="51">
        <v>2602</v>
      </c>
      <c r="K20" s="51">
        <v>2788</v>
      </c>
      <c r="L20" s="51">
        <v>3101</v>
      </c>
      <c r="M20" s="51">
        <v>3590</v>
      </c>
      <c r="N20" s="51">
        <v>3833</v>
      </c>
      <c r="O20" s="51">
        <v>4067</v>
      </c>
    </row>
    <row r="21" spans="3:15" ht="15" thickBot="1" x14ac:dyDescent="0.4">
      <c r="C21" t="s">
        <v>118</v>
      </c>
      <c r="D21" s="51">
        <v>3481</v>
      </c>
      <c r="E21" s="51">
        <v>2370</v>
      </c>
      <c r="F21" s="51">
        <v>3270</v>
      </c>
      <c r="G21" s="51">
        <v>3691</v>
      </c>
      <c r="H21" s="51">
        <v>4092</v>
      </c>
      <c r="I21" s="51">
        <v>5001</v>
      </c>
      <c r="J21" s="51">
        <v>6097</v>
      </c>
      <c r="K21" s="51">
        <v>6566</v>
      </c>
      <c r="L21" s="51">
        <v>7612</v>
      </c>
      <c r="M21" s="51">
        <v>8946</v>
      </c>
      <c r="N21" s="51">
        <v>9900</v>
      </c>
      <c r="O21" s="51">
        <v>9296</v>
      </c>
    </row>
    <row r="22" spans="3:15" ht="15" thickBot="1" x14ac:dyDescent="0.4">
      <c r="C22" t="s">
        <v>119</v>
      </c>
      <c r="D22" s="51">
        <v>106</v>
      </c>
      <c r="E22" s="51">
        <v>41</v>
      </c>
      <c r="F22" s="51">
        <v>62</v>
      </c>
      <c r="G22" s="51">
        <v>74</v>
      </c>
      <c r="H22" s="51">
        <v>95</v>
      </c>
      <c r="I22" s="51">
        <v>139</v>
      </c>
      <c r="J22" s="51">
        <v>175</v>
      </c>
      <c r="K22" s="51">
        <v>181</v>
      </c>
      <c r="L22" s="51">
        <v>185</v>
      </c>
      <c r="M22" s="51">
        <v>206</v>
      </c>
      <c r="N22" s="51">
        <v>245</v>
      </c>
      <c r="O22" s="51">
        <v>286</v>
      </c>
    </row>
    <row r="23" spans="3:15" ht="15" thickBot="1" x14ac:dyDescent="0.4">
      <c r="C23" t="s">
        <v>120</v>
      </c>
      <c r="D23" s="51">
        <v>108</v>
      </c>
      <c r="E23" s="51">
        <v>61</v>
      </c>
      <c r="F23" s="51">
        <v>66</v>
      </c>
      <c r="G23" s="51">
        <v>76</v>
      </c>
      <c r="H23" s="51">
        <v>88</v>
      </c>
      <c r="I23" s="51">
        <v>154</v>
      </c>
      <c r="J23" s="51">
        <v>156</v>
      </c>
      <c r="K23" s="51">
        <v>152</v>
      </c>
      <c r="L23" s="51">
        <v>161</v>
      </c>
      <c r="M23" s="51">
        <v>165</v>
      </c>
      <c r="N23" s="51">
        <v>174</v>
      </c>
      <c r="O23" s="51">
        <v>220</v>
      </c>
    </row>
    <row r="24" spans="3:15" ht="15" thickBot="1" x14ac:dyDescent="0.4">
      <c r="C24" t="s">
        <v>121</v>
      </c>
      <c r="D24" s="51">
        <v>0</v>
      </c>
      <c r="E24" s="51">
        <v>0</v>
      </c>
      <c r="F24" s="51">
        <v>0</v>
      </c>
      <c r="G24" s="51">
        <v>0</v>
      </c>
      <c r="H24" s="51">
        <v>0</v>
      </c>
      <c r="I24" s="51">
        <v>0</v>
      </c>
      <c r="J24" s="51">
        <v>0</v>
      </c>
      <c r="K24" s="51">
        <v>0</v>
      </c>
      <c r="L24" s="51">
        <v>0</v>
      </c>
      <c r="M24" s="51">
        <v>0</v>
      </c>
      <c r="N24" s="51">
        <v>0</v>
      </c>
      <c r="O24" s="51">
        <v>0</v>
      </c>
    </row>
    <row r="25" spans="3:15" ht="15" thickBot="1" x14ac:dyDescent="0.4">
      <c r="C25" t="s">
        <v>122</v>
      </c>
      <c r="D25" s="51">
        <v>1</v>
      </c>
      <c r="E25" s="51">
        <v>0</v>
      </c>
      <c r="F25" s="51">
        <v>0</v>
      </c>
      <c r="G25" s="51">
        <v>0</v>
      </c>
      <c r="H25" s="51">
        <v>0</v>
      </c>
      <c r="I25" s="51">
        <v>0</v>
      </c>
      <c r="J25" s="51">
        <v>0</v>
      </c>
      <c r="K25" s="51">
        <v>0</v>
      </c>
      <c r="L25" s="51">
        <v>33</v>
      </c>
      <c r="M25" s="51">
        <v>39</v>
      </c>
      <c r="N25" s="51">
        <v>102</v>
      </c>
      <c r="O25" s="51">
        <v>103</v>
      </c>
    </row>
    <row r="26" spans="3:15" ht="15" thickBot="1" x14ac:dyDescent="0.4">
      <c r="C26" t="s">
        <v>123</v>
      </c>
      <c r="D26" s="51">
        <v>247</v>
      </c>
      <c r="E26" s="51">
        <v>85</v>
      </c>
      <c r="F26" s="51">
        <v>455</v>
      </c>
      <c r="G26" s="51">
        <v>455</v>
      </c>
      <c r="H26" s="51">
        <v>511</v>
      </c>
      <c r="I26" s="51">
        <v>511</v>
      </c>
      <c r="J26" s="51">
        <v>45262</v>
      </c>
      <c r="K26" s="51">
        <v>45262</v>
      </c>
      <c r="L26" s="51">
        <v>45692</v>
      </c>
      <c r="M26" s="51">
        <v>45692</v>
      </c>
      <c r="N26" s="51">
        <v>45692</v>
      </c>
      <c r="O26" s="51">
        <v>49195</v>
      </c>
    </row>
    <row r="27" spans="3:15" ht="15" thickBot="1" x14ac:dyDescent="0.4">
      <c r="C27" t="s">
        <v>124</v>
      </c>
      <c r="D27" s="51">
        <v>193</v>
      </c>
      <c r="E27" s="51">
        <v>19</v>
      </c>
      <c r="F27" s="51">
        <v>19</v>
      </c>
      <c r="G27" s="51">
        <v>26</v>
      </c>
      <c r="H27" s="51">
        <v>60</v>
      </c>
      <c r="I27" s="51">
        <v>71</v>
      </c>
      <c r="J27" s="51">
        <v>155</v>
      </c>
      <c r="K27" s="51">
        <v>152</v>
      </c>
      <c r="L27" s="51">
        <v>171</v>
      </c>
      <c r="M27" s="51">
        <v>180</v>
      </c>
      <c r="N27" s="51">
        <v>190</v>
      </c>
      <c r="O27" s="51">
        <v>210</v>
      </c>
    </row>
    <row r="28" spans="3:15" x14ac:dyDescent="0.35">
      <c r="C28" s="3" t="s">
        <v>125</v>
      </c>
      <c r="D28" s="55">
        <v>5412</v>
      </c>
      <c r="E28" s="55">
        <v>3595</v>
      </c>
      <c r="F28" s="55">
        <v>5171</v>
      </c>
      <c r="G28" s="55">
        <v>5752</v>
      </c>
      <c r="H28" s="55">
        <v>6459</v>
      </c>
      <c r="I28" s="55">
        <v>7979</v>
      </c>
      <c r="J28" s="55">
        <v>54924</v>
      </c>
      <c r="K28" s="55">
        <v>55578</v>
      </c>
      <c r="L28" s="55">
        <v>57564</v>
      </c>
      <c r="M28" s="55">
        <v>59451</v>
      </c>
      <c r="N28" s="55">
        <v>60764</v>
      </c>
      <c r="O28" s="55">
        <v>64013</v>
      </c>
    </row>
    <row r="29" spans="3:15" ht="15" thickBot="1" x14ac:dyDescent="0.4">
      <c r="C29" s="3" t="s">
        <v>126</v>
      </c>
      <c r="D29" s="54">
        <v>2591</v>
      </c>
      <c r="E29" s="54">
        <v>337</v>
      </c>
      <c r="F29" s="54">
        <v>752</v>
      </c>
      <c r="G29" s="54">
        <v>1224</v>
      </c>
      <c r="H29" s="54">
        <v>1744</v>
      </c>
      <c r="I29" s="54">
        <v>2500</v>
      </c>
      <c r="J29" s="54">
        <v>3481</v>
      </c>
      <c r="K29" s="54">
        <v>4105</v>
      </c>
      <c r="L29" s="54">
        <v>4886</v>
      </c>
      <c r="M29" s="54">
        <v>5707</v>
      </c>
      <c r="N29" s="54">
        <v>6429</v>
      </c>
      <c r="O29" s="54">
        <v>6585</v>
      </c>
    </row>
    <row r="30" spans="3:15" x14ac:dyDescent="0.35">
      <c r="C30" s="22" t="s">
        <v>139</v>
      </c>
      <c r="D30" s="56">
        <f>D28-D29</f>
        <v>2821</v>
      </c>
      <c r="E30" s="56">
        <f t="shared" ref="E30:O30" si="0">E28-E29</f>
        <v>3258</v>
      </c>
      <c r="F30" s="56">
        <f t="shared" si="0"/>
        <v>4419</v>
      </c>
      <c r="G30" s="56">
        <f t="shared" si="0"/>
        <v>4528</v>
      </c>
      <c r="H30" s="56">
        <f t="shared" si="0"/>
        <v>4715</v>
      </c>
      <c r="I30" s="56">
        <f t="shared" si="0"/>
        <v>5479</v>
      </c>
      <c r="J30" s="56">
        <f t="shared" si="0"/>
        <v>51443</v>
      </c>
      <c r="K30" s="56">
        <f t="shared" si="0"/>
        <v>51473</v>
      </c>
      <c r="L30" s="56">
        <f t="shared" si="0"/>
        <v>52678</v>
      </c>
      <c r="M30" s="56">
        <f t="shared" si="0"/>
        <v>53744</v>
      </c>
      <c r="N30" s="56">
        <f t="shared" si="0"/>
        <v>54335</v>
      </c>
      <c r="O30" s="56">
        <f t="shared" si="0"/>
        <v>57428</v>
      </c>
    </row>
    <row r="31" spans="3:15" ht="15" thickBot="1" x14ac:dyDescent="0.4">
      <c r="C31" s="3"/>
      <c r="D31" s="54"/>
      <c r="E31" s="54"/>
      <c r="F31" s="54"/>
      <c r="G31" s="54"/>
      <c r="H31" s="54"/>
      <c r="I31" s="54"/>
      <c r="J31" s="54"/>
      <c r="K31" s="54"/>
      <c r="L31" s="54"/>
      <c r="M31" s="54"/>
      <c r="N31" s="54"/>
      <c r="O31" s="54"/>
    </row>
    <row r="32" spans="3:15" ht="15" thickBot="1" x14ac:dyDescent="0.4">
      <c r="C32" s="3" t="s">
        <v>127</v>
      </c>
      <c r="D32" s="51">
        <v>516</v>
      </c>
      <c r="E32" s="51">
        <v>408</v>
      </c>
      <c r="F32" s="51">
        <v>229</v>
      </c>
      <c r="G32" s="51">
        <v>461</v>
      </c>
      <c r="H32" s="51">
        <v>406</v>
      </c>
      <c r="I32" s="51">
        <v>597</v>
      </c>
      <c r="J32" s="51">
        <v>745</v>
      </c>
      <c r="K32" s="51">
        <v>1313</v>
      </c>
      <c r="L32" s="51">
        <v>1132</v>
      </c>
      <c r="M32" s="51">
        <v>1025</v>
      </c>
      <c r="N32" s="51">
        <v>1009</v>
      </c>
      <c r="O32" s="51">
        <v>880</v>
      </c>
    </row>
    <row r="33" spans="3:15" ht="15" thickBot="1" x14ac:dyDescent="0.4">
      <c r="C33" s="3" t="s">
        <v>128</v>
      </c>
      <c r="D33" s="51">
        <v>3025</v>
      </c>
      <c r="E33" s="51">
        <v>2592</v>
      </c>
      <c r="F33" s="51">
        <v>3794</v>
      </c>
      <c r="G33" s="51">
        <v>2873</v>
      </c>
      <c r="H33" s="51">
        <v>2716</v>
      </c>
      <c r="I33" s="51">
        <v>1255</v>
      </c>
      <c r="J33" s="51">
        <v>2709</v>
      </c>
      <c r="K33" s="51">
        <v>3521</v>
      </c>
      <c r="L33" s="51">
        <v>2882</v>
      </c>
      <c r="M33" s="51">
        <v>4625</v>
      </c>
      <c r="N33" s="51">
        <v>3810</v>
      </c>
      <c r="O33" s="51">
        <v>4359</v>
      </c>
    </row>
    <row r="34" spans="3:15" x14ac:dyDescent="0.35">
      <c r="C34" s="3"/>
      <c r="D34" s="54"/>
      <c r="E34" s="54"/>
      <c r="F34" s="54"/>
      <c r="G34" s="54"/>
      <c r="H34" s="54"/>
      <c r="I34" s="54"/>
      <c r="J34" s="54"/>
      <c r="K34" s="54"/>
      <c r="L34" s="54"/>
      <c r="M34" s="54"/>
      <c r="N34" s="54"/>
      <c r="O34" s="54"/>
    </row>
    <row r="35" spans="3:15" ht="15" thickBot="1" x14ac:dyDescent="0.4">
      <c r="C35" s="3" t="s">
        <v>129</v>
      </c>
      <c r="D35" s="54"/>
      <c r="E35" s="54"/>
      <c r="F35" s="54"/>
      <c r="G35" s="54"/>
      <c r="H35" s="54"/>
      <c r="I35" s="54"/>
      <c r="J35" s="54"/>
      <c r="K35" s="54"/>
      <c r="L35" s="54"/>
      <c r="M35" s="54"/>
      <c r="N35" s="54"/>
      <c r="O35" s="54"/>
    </row>
    <row r="36" spans="3:15" ht="15" thickBot="1" x14ac:dyDescent="0.4">
      <c r="C36" t="s">
        <v>130</v>
      </c>
      <c r="D36" s="51">
        <v>2849</v>
      </c>
      <c r="E36" s="51">
        <v>2726</v>
      </c>
      <c r="F36" s="51">
        <v>2541</v>
      </c>
      <c r="G36" s="51">
        <v>2513</v>
      </c>
      <c r="H36" s="51">
        <v>2574</v>
      </c>
      <c r="I36" s="51">
        <v>2767</v>
      </c>
      <c r="J36" s="51">
        <v>3579</v>
      </c>
      <c r="K36" s="51">
        <v>4096</v>
      </c>
      <c r="L36" s="51">
        <v>4251</v>
      </c>
      <c r="M36" s="51">
        <v>4022</v>
      </c>
      <c r="N36" s="51">
        <v>4415</v>
      </c>
      <c r="O36" s="51">
        <v>4789</v>
      </c>
    </row>
    <row r="37" spans="3:15" ht="15" thickBot="1" x14ac:dyDescent="0.4">
      <c r="C37" t="s">
        <v>141</v>
      </c>
      <c r="D37" s="51">
        <v>1010</v>
      </c>
      <c r="E37" s="51">
        <v>1264</v>
      </c>
      <c r="F37" s="51">
        <v>1085</v>
      </c>
      <c r="G37" s="51">
        <v>1310</v>
      </c>
      <c r="H37" s="51">
        <v>1816</v>
      </c>
      <c r="I37" s="51">
        <v>1149</v>
      </c>
      <c r="J37" s="51">
        <v>1758</v>
      </c>
      <c r="K37" s="51">
        <v>2236</v>
      </c>
      <c r="L37" s="51">
        <v>3079</v>
      </c>
      <c r="M37" s="51">
        <v>2997</v>
      </c>
      <c r="N37" s="51">
        <v>3819</v>
      </c>
      <c r="O37" s="51">
        <v>3379</v>
      </c>
    </row>
    <row r="38" spans="3:15" ht="15" thickBot="1" x14ac:dyDescent="0.4">
      <c r="C38" t="s">
        <v>131</v>
      </c>
      <c r="D38" s="51">
        <v>78</v>
      </c>
      <c r="E38" s="51">
        <v>0</v>
      </c>
      <c r="F38" s="51">
        <v>0</v>
      </c>
      <c r="G38" s="51">
        <v>0</v>
      </c>
      <c r="H38" s="51">
        <v>0</v>
      </c>
      <c r="I38" s="51">
        <v>0</v>
      </c>
      <c r="J38" s="51">
        <v>0</v>
      </c>
      <c r="K38" s="51">
        <v>197</v>
      </c>
      <c r="L38" s="51">
        <v>407</v>
      </c>
      <c r="M38" s="51">
        <v>200</v>
      </c>
      <c r="N38" s="51">
        <v>313</v>
      </c>
      <c r="O38" s="51">
        <v>339</v>
      </c>
    </row>
    <row r="39" spans="3:15" ht="15" thickBot="1" x14ac:dyDescent="0.4">
      <c r="C39" t="s">
        <v>132</v>
      </c>
      <c r="D39" s="51">
        <v>973</v>
      </c>
      <c r="E39" s="51">
        <v>1294</v>
      </c>
      <c r="F39" s="51">
        <v>1124</v>
      </c>
      <c r="G39" s="51">
        <v>1359</v>
      </c>
      <c r="H39" s="51">
        <v>1848</v>
      </c>
      <c r="I39" s="51">
        <v>1185</v>
      </c>
      <c r="J39" s="51">
        <v>1869</v>
      </c>
      <c r="K39" s="51">
        <v>2142</v>
      </c>
      <c r="L39" s="51">
        <v>2748</v>
      </c>
      <c r="M39" s="51">
        <v>2862</v>
      </c>
      <c r="N39" s="51">
        <v>3574</v>
      </c>
      <c r="O39" s="51">
        <v>3117</v>
      </c>
    </row>
    <row r="40" spans="3:15" ht="15" thickBot="1" x14ac:dyDescent="0.4">
      <c r="C40" t="s">
        <v>133</v>
      </c>
      <c r="D40" s="51">
        <v>-41</v>
      </c>
      <c r="E40" s="51">
        <v>-30</v>
      </c>
      <c r="F40" s="51">
        <v>-39</v>
      </c>
      <c r="G40" s="51">
        <v>-49</v>
      </c>
      <c r="H40" s="51">
        <v>-32</v>
      </c>
      <c r="I40" s="51">
        <v>-36</v>
      </c>
      <c r="J40" s="51">
        <v>-111</v>
      </c>
      <c r="K40" s="51">
        <v>-103</v>
      </c>
      <c r="L40" s="51">
        <v>-76</v>
      </c>
      <c r="M40" s="51">
        <v>-65</v>
      </c>
      <c r="N40" s="51">
        <v>-68</v>
      </c>
      <c r="O40" s="51">
        <v>-77</v>
      </c>
    </row>
    <row r="41" spans="3:15" ht="15" thickBot="1" x14ac:dyDescent="0.4">
      <c r="C41" t="s">
        <v>134</v>
      </c>
      <c r="D41" s="51">
        <v>2689</v>
      </c>
      <c r="E41" s="51">
        <v>3009</v>
      </c>
      <c r="F41" s="51">
        <v>1828</v>
      </c>
      <c r="G41" s="51">
        <v>3485</v>
      </c>
      <c r="H41" s="51">
        <v>3757</v>
      </c>
      <c r="I41" s="51">
        <v>5113</v>
      </c>
      <c r="J41" s="51">
        <v>4471</v>
      </c>
      <c r="K41" s="51">
        <v>3846</v>
      </c>
      <c r="L41" s="51">
        <v>4678</v>
      </c>
      <c r="M41" s="51">
        <v>7559</v>
      </c>
      <c r="N41" s="51">
        <v>7554</v>
      </c>
      <c r="O41" s="51">
        <v>3248</v>
      </c>
    </row>
    <row r="42" spans="3:15" ht="15" thickBot="1" x14ac:dyDescent="0.4">
      <c r="C42" t="s">
        <v>135</v>
      </c>
      <c r="D42" s="51">
        <v>0</v>
      </c>
      <c r="E42" s="51">
        <v>0</v>
      </c>
      <c r="F42" s="51">
        <v>71</v>
      </c>
      <c r="G42" s="51">
        <v>40</v>
      </c>
      <c r="H42" s="51">
        <v>26</v>
      </c>
      <c r="I42" s="51">
        <v>19</v>
      </c>
      <c r="J42" s="51">
        <v>78</v>
      </c>
      <c r="K42" s="51">
        <v>170</v>
      </c>
      <c r="L42" s="51">
        <v>188</v>
      </c>
      <c r="M42" s="51">
        <v>172</v>
      </c>
      <c r="N42" s="51">
        <v>619</v>
      </c>
      <c r="O42" s="51">
        <v>1024</v>
      </c>
    </row>
    <row r="43" spans="3:15" ht="15" thickBot="1" x14ac:dyDescent="0.4">
      <c r="C43" t="s">
        <v>136</v>
      </c>
      <c r="D43" s="52">
        <v>1519</v>
      </c>
      <c r="E43" s="52">
        <v>1536</v>
      </c>
      <c r="F43" s="52">
        <v>1739</v>
      </c>
      <c r="G43" s="52">
        <v>2652</v>
      </c>
      <c r="H43" s="52">
        <v>2619</v>
      </c>
      <c r="I43" s="52">
        <v>3774</v>
      </c>
      <c r="J43" s="52">
        <v>3957</v>
      </c>
      <c r="K43" s="52">
        <v>3851</v>
      </c>
      <c r="L43" s="52">
        <v>4189</v>
      </c>
      <c r="M43" s="52">
        <v>4345</v>
      </c>
      <c r="N43" s="52">
        <v>4302</v>
      </c>
      <c r="O43" s="52">
        <v>4631</v>
      </c>
    </row>
    <row r="44" spans="3:15" ht="15" thickBot="1" x14ac:dyDescent="0.4">
      <c r="C44" s="50" t="s">
        <v>137</v>
      </c>
      <c r="D44" s="57">
        <v>14430</v>
      </c>
      <c r="E44" s="57">
        <v>14793</v>
      </c>
      <c r="F44" s="57">
        <v>15706</v>
      </c>
      <c r="G44" s="57">
        <v>17862</v>
      </c>
      <c r="H44" s="57">
        <v>18629</v>
      </c>
      <c r="I44" s="57">
        <v>20153</v>
      </c>
      <c r="J44" s="57">
        <v>68740</v>
      </c>
      <c r="K44" s="57">
        <v>70506</v>
      </c>
      <c r="L44" s="57">
        <v>73077</v>
      </c>
      <c r="M44" s="57">
        <v>78489</v>
      </c>
      <c r="N44" s="57">
        <v>79863</v>
      </c>
      <c r="O44" s="57">
        <v>79738</v>
      </c>
    </row>
    <row r="47" spans="3:15" x14ac:dyDescent="0.35">
      <c r="D47" s="45"/>
      <c r="E47" s="45"/>
      <c r="F47" s="45"/>
      <c r="G47" s="45"/>
      <c r="H47" s="45"/>
      <c r="I47" s="45"/>
      <c r="J47" s="45"/>
      <c r="K47" s="45"/>
      <c r="L47" s="45"/>
      <c r="M47" s="45"/>
      <c r="N47" s="45"/>
      <c r="O47" s="45"/>
    </row>
    <row r="48" spans="3:15" x14ac:dyDescent="0.35">
      <c r="C48" s="3" t="s">
        <v>254</v>
      </c>
      <c r="D48" s="115">
        <v>3292</v>
      </c>
      <c r="E48" s="115">
        <v>4171</v>
      </c>
      <c r="F48" s="115">
        <v>5185</v>
      </c>
      <c r="G48" s="115">
        <v>6059</v>
      </c>
      <c r="H48" s="115">
        <v>5800</v>
      </c>
      <c r="I48" s="115">
        <v>7623</v>
      </c>
      <c r="J48" s="115">
        <v>9163</v>
      </c>
      <c r="K48" s="115">
        <v>9048</v>
      </c>
      <c r="L48" s="115">
        <v>9991</v>
      </c>
      <c r="M48" s="115">
        <v>15469</v>
      </c>
      <c r="N48" s="115">
        <v>11886</v>
      </c>
      <c r="O48" s="115">
        <v>10999</v>
      </c>
    </row>
    <row r="49" spans="3:15" x14ac:dyDescent="0.35">
      <c r="C49" s="3" t="s">
        <v>253</v>
      </c>
      <c r="D49" s="115">
        <v>5510</v>
      </c>
      <c r="E49" s="115">
        <v>6025</v>
      </c>
      <c r="F49" s="115">
        <v>6512</v>
      </c>
      <c r="G49" s="115">
        <v>7485</v>
      </c>
      <c r="H49" s="115">
        <v>8909</v>
      </c>
      <c r="I49" s="115">
        <v>9723</v>
      </c>
      <c r="J49" s="115">
        <v>11672</v>
      </c>
      <c r="K49" s="115">
        <v>12829</v>
      </c>
      <c r="L49" s="115">
        <v>14089</v>
      </c>
      <c r="M49" s="115">
        <v>14537</v>
      </c>
      <c r="N49" s="115">
        <v>14942</v>
      </c>
      <c r="O49" s="115">
        <v>15153</v>
      </c>
    </row>
    <row r="50" spans="3:15" x14ac:dyDescent="0.35">
      <c r="C50" t="s">
        <v>159</v>
      </c>
      <c r="D50">
        <v>3</v>
      </c>
      <c r="E50">
        <v>-257</v>
      </c>
      <c r="F50">
        <v>173</v>
      </c>
      <c r="G50">
        <v>0</v>
      </c>
      <c r="H50">
        <v>0</v>
      </c>
      <c r="I50">
        <v>0</v>
      </c>
      <c r="J50">
        <v>0</v>
      </c>
      <c r="K50">
        <v>0</v>
      </c>
      <c r="L50">
        <v>0</v>
      </c>
      <c r="M50">
        <v>0</v>
      </c>
      <c r="N50">
        <v>0</v>
      </c>
      <c r="O50">
        <v>0</v>
      </c>
    </row>
    <row r="51" spans="3:15" x14ac:dyDescent="0.35">
      <c r="C51" t="s">
        <v>158</v>
      </c>
      <c r="D51">
        <v>91</v>
      </c>
      <c r="E51">
        <v>89</v>
      </c>
      <c r="F51">
        <v>37</v>
      </c>
      <c r="G51">
        <v>-146</v>
      </c>
      <c r="H51">
        <v>-195</v>
      </c>
      <c r="I51">
        <v>-331</v>
      </c>
      <c r="J51">
        <v>-543</v>
      </c>
      <c r="K51">
        <v>-758</v>
      </c>
      <c r="L51">
        <v>-339</v>
      </c>
      <c r="M51">
        <v>74</v>
      </c>
      <c r="N51">
        <v>-584</v>
      </c>
      <c r="O51">
        <v>-692</v>
      </c>
    </row>
    <row r="52" spans="3:15" x14ac:dyDescent="0.35">
      <c r="C52" t="s">
        <v>252</v>
      </c>
      <c r="D52">
        <v>-327</v>
      </c>
      <c r="E52">
        <v>164</v>
      </c>
      <c r="F52">
        <v>501</v>
      </c>
      <c r="G52">
        <v>0</v>
      </c>
      <c r="H52">
        <v>0</v>
      </c>
      <c r="I52">
        <v>0</v>
      </c>
      <c r="J52">
        <v>0</v>
      </c>
      <c r="K52">
        <v>0</v>
      </c>
      <c r="L52">
        <v>0</v>
      </c>
      <c r="M52">
        <v>0</v>
      </c>
      <c r="N52">
        <v>0</v>
      </c>
      <c r="O52">
        <v>0</v>
      </c>
    </row>
    <row r="53" spans="3:15" x14ac:dyDescent="0.35">
      <c r="C53" t="s">
        <v>251</v>
      </c>
      <c r="D53">
        <v>-148</v>
      </c>
      <c r="E53">
        <v>0</v>
      </c>
      <c r="F53">
        <v>0</v>
      </c>
      <c r="G53">
        <v>0</v>
      </c>
      <c r="H53">
        <v>0</v>
      </c>
      <c r="I53">
        <v>0</v>
      </c>
      <c r="J53">
        <v>0</v>
      </c>
      <c r="K53">
        <v>0</v>
      </c>
      <c r="L53">
        <v>0</v>
      </c>
      <c r="M53">
        <v>0</v>
      </c>
      <c r="N53">
        <v>0</v>
      </c>
      <c r="O53">
        <v>0</v>
      </c>
    </row>
    <row r="54" spans="3:15" x14ac:dyDescent="0.35">
      <c r="C54" t="s">
        <v>299</v>
      </c>
      <c r="D54">
        <v>0</v>
      </c>
      <c r="E54">
        <v>0</v>
      </c>
      <c r="F54">
        <v>-46</v>
      </c>
      <c r="G54">
        <v>0</v>
      </c>
      <c r="H54">
        <v>0</v>
      </c>
      <c r="I54">
        <v>0</v>
      </c>
      <c r="J54">
        <v>0</v>
      </c>
      <c r="K54">
        <v>0</v>
      </c>
      <c r="L54">
        <v>0</v>
      </c>
      <c r="M54">
        <v>0</v>
      </c>
      <c r="N54">
        <v>0</v>
      </c>
      <c r="O54">
        <v>0</v>
      </c>
    </row>
    <row r="55" spans="3:15" x14ac:dyDescent="0.35">
      <c r="C55" t="s">
        <v>250</v>
      </c>
      <c r="D55">
        <v>38</v>
      </c>
      <c r="E55">
        <v>-77</v>
      </c>
      <c r="F55">
        <v>-99</v>
      </c>
      <c r="G55">
        <v>982</v>
      </c>
      <c r="H55">
        <v>-147</v>
      </c>
      <c r="I55">
        <v>742</v>
      </c>
      <c r="J55">
        <v>442</v>
      </c>
      <c r="K55">
        <v>-242</v>
      </c>
      <c r="L55">
        <v>-621</v>
      </c>
      <c r="M55" s="46">
        <v>1239</v>
      </c>
      <c r="N55">
        <v>-204</v>
      </c>
      <c r="O55" s="46">
        <v>1378</v>
      </c>
    </row>
    <row r="56" spans="3:15" x14ac:dyDescent="0.35">
      <c r="C56" s="3" t="s">
        <v>249</v>
      </c>
      <c r="D56" s="3">
        <v>-342</v>
      </c>
      <c r="E56" s="3">
        <v>-81</v>
      </c>
      <c r="F56" s="3">
        <v>566</v>
      </c>
      <c r="G56" s="3">
        <v>836</v>
      </c>
      <c r="H56" s="3">
        <v>-342</v>
      </c>
      <c r="I56" s="3">
        <v>411</v>
      </c>
      <c r="J56" s="3">
        <v>-101</v>
      </c>
      <c r="K56" s="115">
        <v>-1000</v>
      </c>
      <c r="L56" s="3">
        <v>-960</v>
      </c>
      <c r="M56" s="115">
        <v>1313</v>
      </c>
      <c r="N56" s="3">
        <v>-788</v>
      </c>
      <c r="O56" s="3">
        <v>686</v>
      </c>
    </row>
    <row r="57" spans="3:15" x14ac:dyDescent="0.35">
      <c r="C57" t="s">
        <v>248</v>
      </c>
      <c r="D57" s="46">
        <v>-1862</v>
      </c>
      <c r="E57" s="46">
        <v>-1765</v>
      </c>
      <c r="F57" s="46">
        <v>-1859</v>
      </c>
      <c r="G57" s="46">
        <v>-2264</v>
      </c>
      <c r="H57" s="46">
        <v>-2767</v>
      </c>
      <c r="I57" s="46">
        <v>-2505</v>
      </c>
      <c r="J57" s="46">
        <v>-2407</v>
      </c>
      <c r="K57" s="46">
        <v>-2784</v>
      </c>
      <c r="L57" s="46">
        <v>-3138</v>
      </c>
      <c r="M57">
        <v>-381</v>
      </c>
      <c r="N57" s="46">
        <v>-2268</v>
      </c>
      <c r="O57" s="46">
        <v>-4840</v>
      </c>
    </row>
    <row r="58" spans="3:15" x14ac:dyDescent="0.35">
      <c r="C58" t="s">
        <v>300</v>
      </c>
      <c r="D58">
        <v>-14</v>
      </c>
      <c r="E58">
        <v>-8</v>
      </c>
      <c r="F58">
        <v>-21</v>
      </c>
      <c r="G58">
        <v>0</v>
      </c>
      <c r="H58">
        <v>0</v>
      </c>
      <c r="I58">
        <v>0</v>
      </c>
      <c r="J58">
        <v>0</v>
      </c>
      <c r="K58">
        <v>0</v>
      </c>
      <c r="L58">
        <v>0</v>
      </c>
      <c r="M58">
        <v>0</v>
      </c>
      <c r="N58">
        <v>0</v>
      </c>
      <c r="O58">
        <v>0</v>
      </c>
    </row>
    <row r="59" spans="3:15" x14ac:dyDescent="0.35">
      <c r="C59" t="s">
        <v>301</v>
      </c>
      <c r="D59">
        <v>0</v>
      </c>
      <c r="E59">
        <v>0</v>
      </c>
      <c r="F59">
        <v>-13</v>
      </c>
      <c r="G59">
        <v>2</v>
      </c>
      <c r="H59">
        <v>0</v>
      </c>
      <c r="I59">
        <v>-6</v>
      </c>
      <c r="J59">
        <v>-1</v>
      </c>
      <c r="K59">
        <v>3</v>
      </c>
      <c r="L59">
        <v>0</v>
      </c>
      <c r="M59">
        <v>0</v>
      </c>
      <c r="N59">
        <v>0</v>
      </c>
      <c r="O59">
        <v>0</v>
      </c>
    </row>
    <row r="61" spans="3:15" x14ac:dyDescent="0.35">
      <c r="C61" s="3" t="s">
        <v>247</v>
      </c>
      <c r="D61" s="3">
        <v>138</v>
      </c>
      <c r="E61" s="3">
        <v>-282</v>
      </c>
      <c r="F61" s="115">
        <v>-1173</v>
      </c>
      <c r="G61" s="115">
        <v>-1063</v>
      </c>
      <c r="H61" s="3">
        <v>-438</v>
      </c>
      <c r="I61" s="115">
        <v>1791</v>
      </c>
      <c r="J61" s="115">
        <v>-1228</v>
      </c>
      <c r="K61" s="115">
        <v>-1728</v>
      </c>
      <c r="L61" s="115">
        <v>-1484</v>
      </c>
      <c r="M61" s="115">
        <v>-5324</v>
      </c>
      <c r="N61" s="115">
        <v>6473</v>
      </c>
      <c r="O61" s="115">
        <v>-3676</v>
      </c>
    </row>
    <row r="62" spans="3:15" x14ac:dyDescent="0.35">
      <c r="C62" t="s">
        <v>246</v>
      </c>
      <c r="D62">
        <v>-606</v>
      </c>
      <c r="E62">
        <v>-810</v>
      </c>
      <c r="F62" s="46">
        <v>-1113</v>
      </c>
      <c r="G62">
        <v>-895</v>
      </c>
      <c r="H62">
        <v>-767</v>
      </c>
      <c r="I62">
        <v>-862</v>
      </c>
      <c r="J62" s="46">
        <v>-4163</v>
      </c>
      <c r="K62" s="46">
        <v>-1228</v>
      </c>
      <c r="L62" s="46">
        <v>-1192</v>
      </c>
      <c r="M62" s="46">
        <v>-1477</v>
      </c>
      <c r="N62" s="46">
        <v>-1275</v>
      </c>
      <c r="O62" s="46">
        <v>-1361</v>
      </c>
    </row>
    <row r="63" spans="3:15" x14ac:dyDescent="0.35">
      <c r="C63" t="s">
        <v>245</v>
      </c>
      <c r="D63">
        <v>560</v>
      </c>
      <c r="E63">
        <v>99</v>
      </c>
      <c r="F63">
        <v>176</v>
      </c>
      <c r="G63">
        <v>32</v>
      </c>
      <c r="H63">
        <v>13</v>
      </c>
      <c r="I63">
        <v>52</v>
      </c>
      <c r="J63">
        <v>97</v>
      </c>
      <c r="K63">
        <v>175</v>
      </c>
      <c r="L63">
        <v>181</v>
      </c>
      <c r="M63">
        <v>20</v>
      </c>
      <c r="N63">
        <v>13</v>
      </c>
      <c r="O63">
        <v>29</v>
      </c>
    </row>
    <row r="64" spans="3:15" x14ac:dyDescent="0.35">
      <c r="C64" t="s">
        <v>244</v>
      </c>
      <c r="D64" s="46">
        <v>-19353</v>
      </c>
      <c r="E64" s="46">
        <v>-20666</v>
      </c>
      <c r="F64" s="46">
        <v>-31214</v>
      </c>
      <c r="G64" s="46">
        <v>-51855</v>
      </c>
      <c r="H64" s="46">
        <v>-74365</v>
      </c>
      <c r="I64" s="46">
        <v>-36090</v>
      </c>
      <c r="J64" s="46">
        <v>-39920</v>
      </c>
      <c r="K64" s="46">
        <v>-48522</v>
      </c>
      <c r="L64" s="46">
        <v>-22649</v>
      </c>
      <c r="M64" s="46">
        <v>-21337</v>
      </c>
      <c r="N64" s="46">
        <v>-22957</v>
      </c>
      <c r="O64" s="46">
        <v>-25529</v>
      </c>
    </row>
    <row r="65" spans="3:15" x14ac:dyDescent="0.35">
      <c r="C65" t="s">
        <v>243</v>
      </c>
      <c r="D65" s="46">
        <v>19461</v>
      </c>
      <c r="E65" s="46">
        <v>20937</v>
      </c>
      <c r="F65" s="46">
        <v>30083</v>
      </c>
      <c r="G65" s="46">
        <v>52897</v>
      </c>
      <c r="H65" s="46">
        <v>74691</v>
      </c>
      <c r="I65" s="46">
        <v>37690</v>
      </c>
      <c r="J65" s="46">
        <v>38486</v>
      </c>
      <c r="K65" s="46">
        <v>47786</v>
      </c>
      <c r="L65" s="46">
        <v>23462</v>
      </c>
      <c r="M65" s="46">
        <v>19846</v>
      </c>
      <c r="N65" s="46">
        <v>23987</v>
      </c>
      <c r="O65" s="46">
        <v>25117</v>
      </c>
    </row>
    <row r="66" spans="3:15" x14ac:dyDescent="0.35">
      <c r="C66" t="s">
        <v>242</v>
      </c>
      <c r="D66">
        <v>218</v>
      </c>
      <c r="E66">
        <v>315</v>
      </c>
      <c r="F66">
        <v>264</v>
      </c>
      <c r="G66">
        <v>297</v>
      </c>
      <c r="H66">
        <v>289</v>
      </c>
      <c r="I66">
        <v>351</v>
      </c>
      <c r="J66">
        <v>277</v>
      </c>
      <c r="K66">
        <v>161</v>
      </c>
      <c r="L66">
        <v>259</v>
      </c>
      <c r="M66">
        <v>425</v>
      </c>
      <c r="N66">
        <v>835</v>
      </c>
      <c r="O66">
        <v>428</v>
      </c>
    </row>
    <row r="67" spans="3:15" x14ac:dyDescent="0.35">
      <c r="C67" t="s">
        <v>241</v>
      </c>
      <c r="D67">
        <v>24</v>
      </c>
      <c r="E67">
        <v>33</v>
      </c>
      <c r="F67">
        <v>14</v>
      </c>
      <c r="G67">
        <v>0</v>
      </c>
      <c r="H67">
        <v>1</v>
      </c>
      <c r="I67">
        <v>1</v>
      </c>
      <c r="J67">
        <v>1</v>
      </c>
      <c r="K67">
        <v>1</v>
      </c>
      <c r="L67">
        <v>2</v>
      </c>
      <c r="M67">
        <v>3</v>
      </c>
      <c r="N67">
        <v>0</v>
      </c>
      <c r="O67">
        <v>5</v>
      </c>
    </row>
    <row r="68" spans="3:15" x14ac:dyDescent="0.35">
      <c r="C68" t="s">
        <v>240</v>
      </c>
      <c r="D68">
        <v>200</v>
      </c>
      <c r="E68">
        <v>161</v>
      </c>
      <c r="F68">
        <v>20</v>
      </c>
      <c r="G68">
        <v>73</v>
      </c>
      <c r="H68">
        <v>0</v>
      </c>
      <c r="I68">
        <v>0</v>
      </c>
      <c r="J68">
        <v>0</v>
      </c>
      <c r="K68">
        <v>0</v>
      </c>
      <c r="L68">
        <v>0</v>
      </c>
      <c r="M68">
        <v>0</v>
      </c>
      <c r="N68">
        <v>0</v>
      </c>
      <c r="O68">
        <v>298</v>
      </c>
    </row>
    <row r="69" spans="3:15" x14ac:dyDescent="0.35">
      <c r="C69" t="s">
        <v>239</v>
      </c>
      <c r="D69">
        <v>0</v>
      </c>
      <c r="E69">
        <v>0</v>
      </c>
      <c r="F69">
        <v>0</v>
      </c>
      <c r="G69">
        <v>0</v>
      </c>
      <c r="H69">
        <v>0</v>
      </c>
      <c r="I69">
        <v>0</v>
      </c>
      <c r="J69">
        <v>0</v>
      </c>
      <c r="K69">
        <v>0</v>
      </c>
      <c r="L69">
        <v>-334</v>
      </c>
      <c r="M69">
        <v>0</v>
      </c>
      <c r="N69">
        <v>0</v>
      </c>
      <c r="O69">
        <v>0</v>
      </c>
    </row>
    <row r="70" spans="3:15" x14ac:dyDescent="0.35">
      <c r="C70" t="s">
        <v>238</v>
      </c>
      <c r="D70">
        <v>-367</v>
      </c>
      <c r="E70">
        <v>-351</v>
      </c>
      <c r="F70">
        <v>597</v>
      </c>
      <c r="G70" s="46">
        <v>-1612</v>
      </c>
      <c r="H70">
        <v>-300</v>
      </c>
      <c r="I70">
        <v>649</v>
      </c>
      <c r="J70" s="46">
        <v>3994</v>
      </c>
      <c r="K70">
        <v>-101</v>
      </c>
      <c r="L70" s="46">
        <v>-1213</v>
      </c>
      <c r="M70" s="46">
        <v>-2804</v>
      </c>
      <c r="N70" s="46">
        <v>5870</v>
      </c>
      <c r="O70" s="46">
        <v>-2663</v>
      </c>
    </row>
    <row r="71" spans="3:15" x14ac:dyDescent="0.35">
      <c r="G71" s="46"/>
      <c r="J71" s="46"/>
      <c r="L71" s="46"/>
      <c r="M71" s="46"/>
      <c r="N71" s="46"/>
      <c r="O71" s="46"/>
    </row>
    <row r="72" spans="3:15" x14ac:dyDescent="0.35">
      <c r="C72" s="3" t="s">
        <v>237</v>
      </c>
      <c r="D72" s="115">
        <v>-3462</v>
      </c>
      <c r="E72" s="115">
        <v>-3864</v>
      </c>
      <c r="F72" s="115">
        <v>-4214</v>
      </c>
      <c r="G72" s="115">
        <v>-4975</v>
      </c>
      <c r="H72" s="115">
        <v>-5390</v>
      </c>
      <c r="I72" s="115">
        <v>-6819</v>
      </c>
      <c r="J72" s="115">
        <v>-9309</v>
      </c>
      <c r="K72" s="115">
        <v>-8015</v>
      </c>
      <c r="L72" s="115">
        <v>-8953</v>
      </c>
      <c r="M72" s="115">
        <v>-10034</v>
      </c>
      <c r="N72" s="115">
        <v>-13101</v>
      </c>
      <c r="O72" s="115">
        <v>-10810</v>
      </c>
    </row>
    <row r="73" spans="3:15" x14ac:dyDescent="0.35">
      <c r="C73" t="s">
        <v>236</v>
      </c>
      <c r="D73">
        <v>2</v>
      </c>
      <c r="E73">
        <v>0</v>
      </c>
      <c r="F73">
        <v>0</v>
      </c>
      <c r="G73">
        <v>0</v>
      </c>
      <c r="H73">
        <v>0</v>
      </c>
      <c r="I73">
        <v>0</v>
      </c>
      <c r="J73">
        <v>0</v>
      </c>
      <c r="K73">
        <v>0</v>
      </c>
      <c r="L73">
        <v>0</v>
      </c>
      <c r="M73">
        <v>0</v>
      </c>
      <c r="N73">
        <v>0</v>
      </c>
      <c r="O73">
        <v>0</v>
      </c>
    </row>
    <row r="74" spans="3:15" x14ac:dyDescent="0.35">
      <c r="C74" t="s">
        <v>235</v>
      </c>
      <c r="D74">
        <v>0</v>
      </c>
      <c r="E74">
        <v>177</v>
      </c>
      <c r="F74">
        <v>460</v>
      </c>
      <c r="G74">
        <v>0</v>
      </c>
      <c r="H74">
        <v>99</v>
      </c>
      <c r="I74">
        <v>0</v>
      </c>
      <c r="J74">
        <v>188</v>
      </c>
      <c r="K74">
        <v>55</v>
      </c>
      <c r="L74">
        <v>286</v>
      </c>
      <c r="M74">
        <v>0</v>
      </c>
      <c r="N74">
        <v>0</v>
      </c>
      <c r="O74">
        <v>0</v>
      </c>
    </row>
    <row r="75" spans="3:15" x14ac:dyDescent="0.35">
      <c r="C75" t="s">
        <v>234</v>
      </c>
      <c r="D75">
        <v>-3</v>
      </c>
      <c r="E75">
        <v>0</v>
      </c>
      <c r="F75">
        <v>-360</v>
      </c>
      <c r="G75">
        <v>-277</v>
      </c>
      <c r="H75">
        <v>0</v>
      </c>
      <c r="I75">
        <v>-99</v>
      </c>
      <c r="J75">
        <v>-188</v>
      </c>
      <c r="K75">
        <v>-55</v>
      </c>
      <c r="L75">
        <v>-208</v>
      </c>
      <c r="M75">
        <v>-85</v>
      </c>
      <c r="N75">
        <v>0</v>
      </c>
      <c r="O75">
        <v>-46</v>
      </c>
    </row>
    <row r="76" spans="3:15" x14ac:dyDescent="0.35">
      <c r="C76" t="s">
        <v>233</v>
      </c>
      <c r="D76">
        <v>-18</v>
      </c>
      <c r="E76">
        <v>-2</v>
      </c>
      <c r="F76">
        <v>-14</v>
      </c>
      <c r="G76">
        <v>-6</v>
      </c>
      <c r="H76">
        <v>-7</v>
      </c>
      <c r="I76">
        <v>-90</v>
      </c>
      <c r="J76">
        <v>-92</v>
      </c>
      <c r="K76">
        <v>-82</v>
      </c>
      <c r="L76">
        <v>-88</v>
      </c>
      <c r="M76">
        <v>-110</v>
      </c>
      <c r="N76">
        <v>-130</v>
      </c>
      <c r="O76">
        <v>-133</v>
      </c>
    </row>
    <row r="77" spans="3:15" x14ac:dyDescent="0.35">
      <c r="C77" t="s">
        <v>232</v>
      </c>
      <c r="D77" s="46">
        <v>-2912</v>
      </c>
      <c r="E77" s="46">
        <v>-3354</v>
      </c>
      <c r="F77" s="46">
        <v>-3572</v>
      </c>
      <c r="G77" s="46">
        <v>-3911</v>
      </c>
      <c r="H77" s="46">
        <v>-4554</v>
      </c>
      <c r="I77" s="46">
        <v>-5196</v>
      </c>
      <c r="J77" s="46">
        <v>-8811</v>
      </c>
      <c r="K77" s="46">
        <v>-7526</v>
      </c>
      <c r="L77" s="46">
        <v>-8474</v>
      </c>
      <c r="M77" s="46">
        <v>-9416</v>
      </c>
      <c r="N77" s="46">
        <v>-12473</v>
      </c>
      <c r="O77" s="46">
        <v>-10124</v>
      </c>
    </row>
    <row r="78" spans="3:15" x14ac:dyDescent="0.35">
      <c r="C78" t="s">
        <v>231</v>
      </c>
      <c r="D78">
        <v>0</v>
      </c>
      <c r="E78">
        <v>0</v>
      </c>
      <c r="F78">
        <v>0</v>
      </c>
      <c r="G78">
        <v>0</v>
      </c>
      <c r="H78">
        <v>0</v>
      </c>
      <c r="I78">
        <v>-373</v>
      </c>
      <c r="J78">
        <v>-406</v>
      </c>
      <c r="K78">
        <v>-407</v>
      </c>
      <c r="L78">
        <v>-467</v>
      </c>
      <c r="M78">
        <v>-423</v>
      </c>
      <c r="N78">
        <v>-498</v>
      </c>
      <c r="O78">
        <v>-507</v>
      </c>
    </row>
    <row r="79" spans="3:15" x14ac:dyDescent="0.35">
      <c r="C79" t="s">
        <v>230</v>
      </c>
      <c r="D79">
        <v>-533</v>
      </c>
      <c r="E79">
        <v>-685</v>
      </c>
      <c r="F79">
        <v>-728</v>
      </c>
      <c r="G79">
        <v>-781</v>
      </c>
      <c r="H79">
        <v>-928</v>
      </c>
      <c r="I79" s="46">
        <v>-1061</v>
      </c>
      <c r="J79">
        <v>0</v>
      </c>
      <c r="K79">
        <v>0</v>
      </c>
      <c r="L79">
        <v>-2</v>
      </c>
      <c r="M79">
        <v>0</v>
      </c>
      <c r="N79">
        <v>0</v>
      </c>
      <c r="O79">
        <v>0</v>
      </c>
    </row>
    <row r="80" spans="3:15" x14ac:dyDescent="0.35">
      <c r="I80" s="46"/>
    </row>
    <row r="81" spans="3:15" x14ac:dyDescent="0.35">
      <c r="C81" t="s">
        <v>149</v>
      </c>
      <c r="D81">
        <v>-33</v>
      </c>
      <c r="E81">
        <v>25</v>
      </c>
      <c r="F81">
        <v>-202</v>
      </c>
      <c r="G81">
        <v>21</v>
      </c>
      <c r="H81">
        <v>-28</v>
      </c>
      <c r="I81" s="46">
        <v>2595</v>
      </c>
      <c r="J81" s="46">
        <v>-1374</v>
      </c>
      <c r="K81">
        <v>-695</v>
      </c>
      <c r="L81">
        <v>-446</v>
      </c>
      <c r="M81">
        <v>111</v>
      </c>
      <c r="N81" s="46">
        <v>5258</v>
      </c>
      <c r="O81" s="46">
        <v>-3487</v>
      </c>
    </row>
    <row r="82" spans="3:15" x14ac:dyDescent="0.35">
      <c r="C82" t="s">
        <v>302</v>
      </c>
      <c r="D82" s="46">
        <v>3246</v>
      </c>
      <c r="E82" s="46">
        <v>3460</v>
      </c>
      <c r="F82" s="46">
        <v>4248</v>
      </c>
      <c r="G82" s="46">
        <v>5196</v>
      </c>
      <c r="H82" s="46">
        <v>5046</v>
      </c>
      <c r="I82" s="46">
        <v>6813</v>
      </c>
      <c r="J82" s="46">
        <v>5097</v>
      </c>
      <c r="K82" s="46">
        <v>7995</v>
      </c>
      <c r="L82" s="46">
        <v>8980</v>
      </c>
      <c r="M82" s="46">
        <v>14012</v>
      </c>
      <c r="N82" s="46">
        <v>10624</v>
      </c>
      <c r="O82" s="46">
        <v>9667</v>
      </c>
    </row>
    <row r="83" spans="3:15" x14ac:dyDescent="0.35">
      <c r="C83" t="s">
        <v>303</v>
      </c>
      <c r="D83" s="114">
        <v>0.95</v>
      </c>
      <c r="E83" s="114">
        <v>1</v>
      </c>
      <c r="F83" s="114">
        <v>1.1100000000000001</v>
      </c>
      <c r="G83" s="114">
        <v>1.1100000000000001</v>
      </c>
      <c r="H83" s="114">
        <v>0.96</v>
      </c>
      <c r="I83" s="114">
        <v>1.03</v>
      </c>
      <c r="J83" s="114">
        <v>1</v>
      </c>
      <c r="K83" s="114">
        <v>0.92</v>
      </c>
      <c r="L83" s="114">
        <v>0.93</v>
      </c>
      <c r="M83" s="114">
        <v>1.08</v>
      </c>
      <c r="N83" s="114">
        <v>0.96</v>
      </c>
      <c r="O83" s="114">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8</vt:i4>
      </vt:variant>
    </vt:vector>
  </HeadingPairs>
  <TitlesOfParts>
    <vt:vector size="31" baseType="lpstr">
      <vt:lpstr>Financials&gt;</vt:lpstr>
      <vt:lpstr>HistoricalFS</vt:lpstr>
      <vt:lpstr>Forecasting</vt:lpstr>
      <vt:lpstr>Ratio Analysis</vt:lpstr>
      <vt:lpstr>Common Size Income Statement</vt:lpstr>
      <vt:lpstr>DCF&gt;</vt:lpstr>
      <vt:lpstr>WACC</vt:lpstr>
      <vt:lpstr>Beta Regression</vt:lpstr>
      <vt:lpstr>Beta Comps</vt:lpstr>
      <vt:lpstr>Rm</vt:lpstr>
      <vt:lpstr>Intrinsic Growth</vt:lpstr>
      <vt:lpstr>DCF</vt:lpstr>
      <vt:lpstr>Relative Valuation</vt:lpstr>
      <vt:lpstr>Football Field</vt:lpstr>
      <vt:lpstr>Historical Approach</vt:lpstr>
      <vt:lpstr>Monte Carlo</vt:lpstr>
      <vt:lpstr>Dupont Analysis</vt:lpstr>
      <vt:lpstr>Altman Z Score</vt:lpstr>
      <vt:lpstr>Data Room&gt;</vt:lpstr>
      <vt:lpstr>Data Sheet</vt:lpstr>
      <vt:lpstr>Cash Flow Data </vt:lpstr>
      <vt:lpstr>Data</vt:lpstr>
      <vt:lpstr>Raw FS</vt:lpstr>
      <vt:lpstr>Levered_Raw_Beta</vt:lpstr>
      <vt:lpstr>Market_Beta</vt:lpstr>
      <vt:lpstr>Market_Beta_Weight</vt:lpstr>
      <vt:lpstr>'Dupont Analysis'!Print_Area</vt:lpstr>
      <vt:lpstr>HistoricalFS!Print_Area</vt:lpstr>
      <vt:lpstr>'Monte Carlo'!Print_Area</vt:lpstr>
      <vt:lpstr>WACC!Print_Area</vt:lpstr>
      <vt:lpstr>Raw_Beta_Weight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Modak</dc:creator>
  <cp:lastModifiedBy>Anushka Modak</cp:lastModifiedBy>
  <cp:lastPrinted>2026-09-20T15:06:40Z</cp:lastPrinted>
  <dcterms:created xsi:type="dcterms:W3CDTF">2026-09-10T06:49:32Z</dcterms:created>
  <dcterms:modified xsi:type="dcterms:W3CDTF">2026-09-20T15:36:29Z</dcterms:modified>
</cp:coreProperties>
</file>